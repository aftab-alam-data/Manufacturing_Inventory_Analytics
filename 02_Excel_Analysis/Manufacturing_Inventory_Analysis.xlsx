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ftab\OneDrive\Desktop\Manufacturing_Inventory_Analytics\02_Excel_Analysis\"/>
    </mc:Choice>
  </mc:AlternateContent>
  <xr:revisionPtr revIDLastSave="0" documentId="13_ncr:1_{DC6B3C8C-2862-43F1-A260-8EBEAA183F58}" xr6:coauthVersionLast="47" xr6:coauthVersionMax="47" xr10:uidLastSave="{00000000-0000-0000-0000-000000000000}"/>
  <bookViews>
    <workbookView xWindow="-108" yWindow="-108" windowWidth="23256" windowHeight="12456" firstSheet="5" activeTab="8" xr2:uid="{7663558C-0980-4F7B-A14F-BE0A3654F10A}"/>
  </bookViews>
  <sheets>
    <sheet name="Products" sheetId="1" r:id="rId1"/>
    <sheet name="Raw_Materials" sheetId="2" r:id="rId2"/>
    <sheet name="Suppliers" sheetId="5" r:id="rId3"/>
    <sheet name="BOM" sheetId="3" r:id="rId4"/>
    <sheet name="Purchases" sheetId="4" r:id="rId5"/>
    <sheet name="Production" sheetId="6" r:id="rId6"/>
    <sheet name="Inventory" sheetId="7" r:id="rId7"/>
    <sheet name="Purchase_Analysis" sheetId="8" r:id="rId8"/>
    <sheet name="Production_Analysis" sheetId="19" r:id="rId9"/>
    <sheet name="Helper" sheetId="20" r:id="rId10"/>
  </sheets>
  <definedNames>
    <definedName name="Slicer_Product_ID">#N/A</definedName>
  </definedNames>
  <calcPr calcId="191029"/>
  <pivotCaches>
    <pivotCache cacheId="0" r:id="rId11"/>
    <pivotCache cacheId="3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9" l="1"/>
  <c r="L4" i="19"/>
  <c r="J4" i="19"/>
  <c r="H4" i="19"/>
  <c r="D4" i="19"/>
  <c r="B4" i="19"/>
  <c r="B5" i="8"/>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675"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2" i="4"/>
  <c r="E5" i="8"/>
  <c r="E6" i="8"/>
  <c r="E4" i="8"/>
  <c r="B6" i="8"/>
  <c r="B11" i="8"/>
  <c r="B10" i="8"/>
  <c r="B9" i="8"/>
  <c r="B8" i="8"/>
  <c r="B7" i="8"/>
  <c r="B4" i="8"/>
  <c r="B3" i="8"/>
  <c r="B12" i="8" l="1"/>
  <c r="B13" i="8"/>
  <c r="B14" i="8"/>
</calcChain>
</file>

<file path=xl/sharedStrings.xml><?xml version="1.0" encoding="utf-8"?>
<sst xmlns="http://schemas.openxmlformats.org/spreadsheetml/2006/main" count="37098" uniqueCount="7877">
  <si>
    <t>Product_ID</t>
  </si>
  <si>
    <t>Product_Name</t>
  </si>
  <si>
    <t>Product_Category</t>
  </si>
  <si>
    <t>Model_Name</t>
  </si>
  <si>
    <t>Unit_Price</t>
  </si>
  <si>
    <t>Standard_Production_Cost</t>
  </si>
  <si>
    <t>Reorder_Level</t>
  </si>
  <si>
    <t>Product_Status</t>
  </si>
  <si>
    <t>P001</t>
  </si>
  <si>
    <t>Brizstar Farrata 20</t>
  </si>
  <si>
    <t>Farrata Fan</t>
  </si>
  <si>
    <t>Brizstar 20</t>
  </si>
  <si>
    <t>Active</t>
  </si>
  <si>
    <t>P002</t>
  </si>
  <si>
    <t>High Speed Personal Fan</t>
  </si>
  <si>
    <t>Personal Fan</t>
  </si>
  <si>
    <t>Personal 300</t>
  </si>
  <si>
    <t>P003</t>
  </si>
  <si>
    <t>High Speed Wall Fan</t>
  </si>
  <si>
    <t>Wall Fan</t>
  </si>
  <si>
    <t>Wall 400</t>
  </si>
  <si>
    <t>P004</t>
  </si>
  <si>
    <t>High Speed Table Fan</t>
  </si>
  <si>
    <t>Table Fan</t>
  </si>
  <si>
    <t>Table 400</t>
  </si>
  <si>
    <t>P005</t>
  </si>
  <si>
    <t>High Speed Pedestal Fan</t>
  </si>
  <si>
    <t>Pedestal Fan</t>
  </si>
  <si>
    <t>Pedestal 400</t>
  </si>
  <si>
    <t>P006</t>
  </si>
  <si>
    <t>Heavy Duty Exhaust Fan</t>
  </si>
  <si>
    <t>Exhaust Fan</t>
  </si>
  <si>
    <t>Exhaust 300</t>
  </si>
  <si>
    <t>P007</t>
  </si>
  <si>
    <t>Air Flow Ventilation Fan</t>
  </si>
  <si>
    <t>Ventilation Fan</t>
  </si>
  <si>
    <t>Ventilation 250</t>
  </si>
  <si>
    <t>P008</t>
  </si>
  <si>
    <t>Industrial Axial Fan</t>
  </si>
  <si>
    <t>Axial Fan</t>
  </si>
  <si>
    <t>Axial 450</t>
  </si>
  <si>
    <t>P009</t>
  </si>
  <si>
    <t>Instant Water Geyser</t>
  </si>
  <si>
    <t>Geyser</t>
  </si>
  <si>
    <t>Instant 3L</t>
  </si>
  <si>
    <t>P010</t>
  </si>
  <si>
    <t>Storage Water Geyser</t>
  </si>
  <si>
    <t>Storage 15L</t>
  </si>
  <si>
    <t>P011</t>
  </si>
  <si>
    <t>Quartz Room Heater</t>
  </si>
  <si>
    <t>Heater</t>
  </si>
  <si>
    <t>Quartz 800</t>
  </si>
  <si>
    <t>P012</t>
  </si>
  <si>
    <t>Heat Convector</t>
  </si>
  <si>
    <t>Convector 2000</t>
  </si>
  <si>
    <t>Material_ID</t>
  </si>
  <si>
    <t>Material_Name</t>
  </si>
  <si>
    <t>Material_Category</t>
  </si>
  <si>
    <t>Unit_of_Measure</t>
  </si>
  <si>
    <t>Standard_Unit_Cost</t>
  </si>
  <si>
    <t>Material_Status</t>
  </si>
  <si>
    <t>RM001</t>
  </si>
  <si>
    <t>Fan Motor</t>
  </si>
  <si>
    <t>Electrical</t>
  </si>
  <si>
    <t>Pcs</t>
  </si>
  <si>
    <t>RM002</t>
  </si>
  <si>
    <t>Fan Blade Set</t>
  </si>
  <si>
    <t>Plastic</t>
  </si>
  <si>
    <t>RM003</t>
  </si>
  <si>
    <t>Fan Body Assembly</t>
  </si>
  <si>
    <t>RM004</t>
  </si>
  <si>
    <t>Fan Guard Set</t>
  </si>
  <si>
    <t>Metal</t>
  </si>
  <si>
    <t>RM005</t>
  </si>
  <si>
    <t>Pedestal Stand Assembly</t>
  </si>
  <si>
    <t>RM006</t>
  </si>
  <si>
    <t>Power Cord</t>
  </si>
  <si>
    <t>RM007</t>
  </si>
  <si>
    <t>Speed Control Switch</t>
  </si>
  <si>
    <t>RM008</t>
  </si>
  <si>
    <t>Capacitor</t>
  </si>
  <si>
    <t>RM009</t>
  </si>
  <si>
    <t>Bearing</t>
  </si>
  <si>
    <t>Mechanical</t>
  </si>
  <si>
    <t>RM010</t>
  </si>
  <si>
    <t>Copper Wire</t>
  </si>
  <si>
    <t>Kg</t>
  </si>
  <si>
    <t>RM011</t>
  </si>
  <si>
    <t>Plastic Granules</t>
  </si>
  <si>
    <t>RM012</t>
  </si>
  <si>
    <t>Steel Sheet</t>
  </si>
  <si>
    <t>RM013</t>
  </si>
  <si>
    <t>Heating Element</t>
  </si>
  <si>
    <t>RM014</t>
  </si>
  <si>
    <t>Geyser Inner Tank</t>
  </si>
  <si>
    <t>RM015</t>
  </si>
  <si>
    <t>Thermostat</t>
  </si>
  <si>
    <t>RM016</t>
  </si>
  <si>
    <t>Safety Valve</t>
  </si>
  <si>
    <t>RM017</t>
  </si>
  <si>
    <t>Insulation Material</t>
  </si>
  <si>
    <t>Insulation</t>
  </si>
  <si>
    <t>RM018</t>
  </si>
  <si>
    <t>Outer Body Assembly</t>
  </si>
  <si>
    <t>RM019</t>
  </si>
  <si>
    <t>Quartz Heating Tube</t>
  </si>
  <si>
    <t>RM020</t>
  </si>
  <si>
    <t>Heating Coil</t>
  </si>
  <si>
    <t>RM021</t>
  </si>
  <si>
    <t>Plastic Knob</t>
  </si>
  <si>
    <t>RM022</t>
  </si>
  <si>
    <t>Screw and Fastener Set</t>
  </si>
  <si>
    <t>Hardware</t>
  </si>
  <si>
    <t>Set</t>
  </si>
  <si>
    <t>RM023</t>
  </si>
  <si>
    <t>Product Packaging Box</t>
  </si>
  <si>
    <t>Packaging</t>
  </si>
  <si>
    <t>RM024</t>
  </si>
  <si>
    <t>User Manual and Label Set</t>
  </si>
  <si>
    <t>RM025</t>
  </si>
  <si>
    <t>Protective Packaging Material</t>
  </si>
  <si>
    <t>BOM_ID</t>
  </si>
  <si>
    <t>Quantity_Required</t>
  </si>
  <si>
    <t>Wastage_Percent</t>
  </si>
  <si>
    <t>Effective_From</t>
  </si>
  <si>
    <t>BOM_Status</t>
  </si>
  <si>
    <t>BOM001</t>
  </si>
  <si>
    <t>BOM002</t>
  </si>
  <si>
    <t>BOM003</t>
  </si>
  <si>
    <t>BOM004</t>
  </si>
  <si>
    <t>BOM005</t>
  </si>
  <si>
    <t>BOM006</t>
  </si>
  <si>
    <t>BOM007</t>
  </si>
  <si>
    <t>BOM008</t>
  </si>
  <si>
    <t>BOM009</t>
  </si>
  <si>
    <t>BOM010</t>
  </si>
  <si>
    <t>BOM011</t>
  </si>
  <si>
    <t>BOM012</t>
  </si>
  <si>
    <t>BOM013</t>
  </si>
  <si>
    <t>BOM014</t>
  </si>
  <si>
    <t>BOM015</t>
  </si>
  <si>
    <t>BOM016</t>
  </si>
  <si>
    <t>BOM017</t>
  </si>
  <si>
    <t>BOM018</t>
  </si>
  <si>
    <t>BOM019</t>
  </si>
  <si>
    <t>BOM020</t>
  </si>
  <si>
    <t>BOM021</t>
  </si>
  <si>
    <t>BOM022</t>
  </si>
  <si>
    <t>BOM023</t>
  </si>
  <si>
    <t>BOM024</t>
  </si>
  <si>
    <t>BOM025</t>
  </si>
  <si>
    <t>BOM026</t>
  </si>
  <si>
    <t>BOM027</t>
  </si>
  <si>
    <t>BOM028</t>
  </si>
  <si>
    <t>BOM029</t>
  </si>
  <si>
    <t>BOM030</t>
  </si>
  <si>
    <t>BOM031</t>
  </si>
  <si>
    <t>BOM032</t>
  </si>
  <si>
    <t>BOM033</t>
  </si>
  <si>
    <t>BOM034</t>
  </si>
  <si>
    <t>BOM035</t>
  </si>
  <si>
    <t>BOM036</t>
  </si>
  <si>
    <t>BOM037</t>
  </si>
  <si>
    <t>BOM038</t>
  </si>
  <si>
    <t>BOM039</t>
  </si>
  <si>
    <t>BOM040</t>
  </si>
  <si>
    <t>BOM041</t>
  </si>
  <si>
    <t>BOM042</t>
  </si>
  <si>
    <t>BOM043</t>
  </si>
  <si>
    <t>BOM044</t>
  </si>
  <si>
    <t>BOM045</t>
  </si>
  <si>
    <t>BOM046</t>
  </si>
  <si>
    <t>BOM047</t>
  </si>
  <si>
    <t>BOM048</t>
  </si>
  <si>
    <t>BOM049</t>
  </si>
  <si>
    <t>BOM050</t>
  </si>
  <si>
    <t>BOM051</t>
  </si>
  <si>
    <t>BOM052</t>
  </si>
  <si>
    <t>BOM053</t>
  </si>
  <si>
    <t>BOM054</t>
  </si>
  <si>
    <t>BOM055</t>
  </si>
  <si>
    <t>BOM056</t>
  </si>
  <si>
    <t>BOM057</t>
  </si>
  <si>
    <t>BOM058</t>
  </si>
  <si>
    <t>BOM059</t>
  </si>
  <si>
    <t>BOM060</t>
  </si>
  <si>
    <t>BOM061</t>
  </si>
  <si>
    <t>BOM062</t>
  </si>
  <si>
    <t>BOM063</t>
  </si>
  <si>
    <t>BOM064</t>
  </si>
  <si>
    <t>BOM065</t>
  </si>
  <si>
    <t>BOM066</t>
  </si>
  <si>
    <t>BOM067</t>
  </si>
  <si>
    <t>BOM068</t>
  </si>
  <si>
    <t>BOM069</t>
  </si>
  <si>
    <t>BOM070</t>
  </si>
  <si>
    <t>BOM071</t>
  </si>
  <si>
    <t>BOM072</t>
  </si>
  <si>
    <t>BOM073</t>
  </si>
  <si>
    <t>BOM074</t>
  </si>
  <si>
    <t>BOM075</t>
  </si>
  <si>
    <t>BOM076</t>
  </si>
  <si>
    <t>BOM077</t>
  </si>
  <si>
    <t>BOM078</t>
  </si>
  <si>
    <t>BOM079</t>
  </si>
  <si>
    <t>BOM080</t>
  </si>
  <si>
    <t>BOM081</t>
  </si>
  <si>
    <t>BOM082</t>
  </si>
  <si>
    <t>BOM083</t>
  </si>
  <si>
    <t>BOM084</t>
  </si>
  <si>
    <t>BOM085</t>
  </si>
  <si>
    <t>BOM086</t>
  </si>
  <si>
    <t>BOM087</t>
  </si>
  <si>
    <t>BOM088</t>
  </si>
  <si>
    <t>BOM089</t>
  </si>
  <si>
    <t>BOM090</t>
  </si>
  <si>
    <t>BOM091</t>
  </si>
  <si>
    <t>BOM092</t>
  </si>
  <si>
    <t>BOM093</t>
  </si>
  <si>
    <t>BOM094</t>
  </si>
  <si>
    <t>BOM095</t>
  </si>
  <si>
    <t>BOM096</t>
  </si>
  <si>
    <t>BOM097</t>
  </si>
  <si>
    <t>BOM098</t>
  </si>
  <si>
    <t>BOM099</t>
  </si>
  <si>
    <t>BOM100</t>
  </si>
  <si>
    <t>BOM101</t>
  </si>
  <si>
    <t>BOM102</t>
  </si>
  <si>
    <t>BOM103</t>
  </si>
  <si>
    <t>BOM104</t>
  </si>
  <si>
    <t>BOM105</t>
  </si>
  <si>
    <t>BOM106</t>
  </si>
  <si>
    <t>BOM107</t>
  </si>
  <si>
    <t>BOM108</t>
  </si>
  <si>
    <t>BOM109</t>
  </si>
  <si>
    <t>BOM110</t>
  </si>
  <si>
    <t>BOM111</t>
  </si>
  <si>
    <t>BOM112</t>
  </si>
  <si>
    <t>BOM113</t>
  </si>
  <si>
    <t>BOM114</t>
  </si>
  <si>
    <t>BOM115</t>
  </si>
  <si>
    <t>BOM116</t>
  </si>
  <si>
    <t>BOM117</t>
  </si>
  <si>
    <t>BOM118</t>
  </si>
  <si>
    <t>BOM119</t>
  </si>
  <si>
    <t>BOM120</t>
  </si>
  <si>
    <t>BOM121</t>
  </si>
  <si>
    <t>BOM122</t>
  </si>
  <si>
    <t>BOM123</t>
  </si>
  <si>
    <t>BOM124</t>
  </si>
  <si>
    <t>BOM125</t>
  </si>
  <si>
    <t>BOM126</t>
  </si>
  <si>
    <t>BOM127</t>
  </si>
  <si>
    <t>BOM128</t>
  </si>
  <si>
    <t>BOM129</t>
  </si>
  <si>
    <t>BOM130</t>
  </si>
  <si>
    <t>BOM131</t>
  </si>
  <si>
    <t>BOM132</t>
  </si>
  <si>
    <t>BOM133</t>
  </si>
  <si>
    <t>Supplier_ID</t>
  </si>
  <si>
    <t>Supplier_Name</t>
  </si>
  <si>
    <t>Supplier_Category</t>
  </si>
  <si>
    <t>City</t>
  </si>
  <si>
    <t>State</t>
  </si>
  <si>
    <t>Payment_Terms_Days</t>
  </si>
  <si>
    <t>Supplier_Status</t>
  </si>
  <si>
    <t>S001</t>
  </si>
  <si>
    <t>JK Industries</t>
  </si>
  <si>
    <t>Electrical Components</t>
  </si>
  <si>
    <t>Bawana</t>
  </si>
  <si>
    <t>Delhi</t>
  </si>
  <si>
    <t>S002</t>
  </si>
  <si>
    <t>VK Enterprises</t>
  </si>
  <si>
    <t>Plastic Components</t>
  </si>
  <si>
    <t>S003</t>
  </si>
  <si>
    <t>MGV Exports Pvt Ltd</t>
  </si>
  <si>
    <t>Kundli</t>
  </si>
  <si>
    <t>Haryana</t>
  </si>
  <si>
    <t>S004</t>
  </si>
  <si>
    <t>Vizag Plastics</t>
  </si>
  <si>
    <t>S005</t>
  </si>
  <si>
    <t>Himani Industries</t>
  </si>
  <si>
    <t>Metal Components</t>
  </si>
  <si>
    <t>S006</t>
  </si>
  <si>
    <t>SAI Industries</t>
  </si>
  <si>
    <t>S007</t>
  </si>
  <si>
    <t>OM Industries</t>
  </si>
  <si>
    <t>S008</t>
  </si>
  <si>
    <t>RR Industries</t>
  </si>
  <si>
    <t>Agra</t>
  </si>
  <si>
    <t>Uttar Pradesh</t>
  </si>
  <si>
    <t>S009</t>
  </si>
  <si>
    <t>Concord Industries</t>
  </si>
  <si>
    <t>S010</t>
  </si>
  <si>
    <t>Preeti Electricals</t>
  </si>
  <si>
    <t>S011</t>
  </si>
  <si>
    <t>Tuffcore Private Limited</t>
  </si>
  <si>
    <t>Electrical and Plastic Components</t>
  </si>
  <si>
    <t>S012</t>
  </si>
  <si>
    <t>Faridabad Sales Corporation</t>
  </si>
  <si>
    <t>Mechanical Components</t>
  </si>
  <si>
    <t>Faridabad</t>
  </si>
  <si>
    <t>S013</t>
  </si>
  <si>
    <t>Sterling Enamelled Wires</t>
  </si>
  <si>
    <t>Ghaziabad</t>
  </si>
  <si>
    <t>S014</t>
  </si>
  <si>
    <t>SK Wire Industries</t>
  </si>
  <si>
    <t>S015</t>
  </si>
  <si>
    <t>Batra Enterprises</t>
  </si>
  <si>
    <t>Plastic Raw Material</t>
  </si>
  <si>
    <t>S016</t>
  </si>
  <si>
    <t>RK Enterprises</t>
  </si>
  <si>
    <t>Metal Raw Material</t>
  </si>
  <si>
    <t>Tri Nagar</t>
  </si>
  <si>
    <t>S017</t>
  </si>
  <si>
    <t>Vardhman Wireforms</t>
  </si>
  <si>
    <t>Heating Components</t>
  </si>
  <si>
    <t>S018</t>
  </si>
  <si>
    <t>Vardhman Engineering</t>
  </si>
  <si>
    <t>Geyser Components</t>
  </si>
  <si>
    <t>S019</t>
  </si>
  <si>
    <t>SB Enterprises</t>
  </si>
  <si>
    <t>S020</t>
  </si>
  <si>
    <t>SG Industries</t>
  </si>
  <si>
    <t>Rai</t>
  </si>
  <si>
    <t>S021</t>
  </si>
  <si>
    <t>DK Brothers</t>
  </si>
  <si>
    <t>S022</t>
  </si>
  <si>
    <t>Manish Packers</t>
  </si>
  <si>
    <t>Packaging Components</t>
  </si>
  <si>
    <t>S023</t>
  </si>
  <si>
    <t>PRG International Pvt Ltd</t>
  </si>
  <si>
    <t>S024</t>
  </si>
  <si>
    <t>Universal Fasteners</t>
  </si>
  <si>
    <t>Hardware Components</t>
  </si>
  <si>
    <t>Chandigarh</t>
  </si>
  <si>
    <t>S025</t>
  </si>
  <si>
    <t>Ingenious Print N Pack</t>
  </si>
  <si>
    <t>Packaging Materials</t>
  </si>
  <si>
    <t>S026</t>
  </si>
  <si>
    <t>Manu International</t>
  </si>
  <si>
    <t>Printing and Labels</t>
  </si>
  <si>
    <t>S027</t>
  </si>
  <si>
    <t>Ranjan Packaging</t>
  </si>
  <si>
    <t>S028</t>
  </si>
  <si>
    <t>S Kumar Tubes</t>
  </si>
  <si>
    <t>Purchase_ID</t>
  </si>
  <si>
    <t>Purchase_Date</t>
  </si>
  <si>
    <t>Purchase_Quantity</t>
  </si>
  <si>
    <t>Unit_Cost</t>
  </si>
  <si>
    <t>Discount_Percent</t>
  </si>
  <si>
    <t>GST_Percent</t>
  </si>
  <si>
    <t>Delivery_Status</t>
  </si>
  <si>
    <t>PUR0575</t>
  </si>
  <si>
    <t>Delivered</t>
  </si>
  <si>
    <t>PUR0463</t>
  </si>
  <si>
    <t>PUR0637</t>
  </si>
  <si>
    <t>PUR0639</t>
  </si>
  <si>
    <t>PUR0070</t>
  </si>
  <si>
    <t>Partial</t>
  </si>
  <si>
    <t>PUR0112</t>
  </si>
  <si>
    <t>PUR0118</t>
  </si>
  <si>
    <t>PUR0437</t>
  </si>
  <si>
    <t>PUR0595</t>
  </si>
  <si>
    <t>PUR0650</t>
  </si>
  <si>
    <t>Delayed</t>
  </si>
  <si>
    <t>PUR0191</t>
  </si>
  <si>
    <t>PUR0694</t>
  </si>
  <si>
    <t>PUR0537</t>
  </si>
  <si>
    <t>PUR0429</t>
  </si>
  <si>
    <t>PUR0076</t>
  </si>
  <si>
    <t>PUR0206</t>
  </si>
  <si>
    <t>PUR0170</t>
  </si>
  <si>
    <t>PUR0365</t>
  </si>
  <si>
    <t>PUR0060</t>
  </si>
  <si>
    <t>PUR0153</t>
  </si>
  <si>
    <t>PUR0132</t>
  </si>
  <si>
    <t>PUR0113</t>
  </si>
  <si>
    <t>PUR0700</t>
  </si>
  <si>
    <t>PUR0296</t>
  </si>
  <si>
    <t>PUR0419</t>
  </si>
  <si>
    <t>PUR0213</t>
  </si>
  <si>
    <t>PUR0165</t>
  </si>
  <si>
    <t>PUR0352</t>
  </si>
  <si>
    <t>PUR0353</t>
  </si>
  <si>
    <t>PUR0036</t>
  </si>
  <si>
    <t>PUR0518</t>
  </si>
  <si>
    <t>PUR0254</t>
  </si>
  <si>
    <t>PUR0162</t>
  </si>
  <si>
    <t>PUR0150</t>
  </si>
  <si>
    <t>PUR0050</t>
  </si>
  <si>
    <t>PUR0457</t>
  </si>
  <si>
    <t>PUR0446</t>
  </si>
  <si>
    <t>PUR0242</t>
  </si>
  <si>
    <t>PUR0443</t>
  </si>
  <si>
    <t>PUR0230</t>
  </si>
  <si>
    <t>PUR0553</t>
  </si>
  <si>
    <t>PUR0347</t>
  </si>
  <si>
    <t>PUR0004</t>
  </si>
  <si>
    <t>PUR0247</t>
  </si>
  <si>
    <t>PUR0223</t>
  </si>
  <si>
    <t>PUR0236</t>
  </si>
  <si>
    <t>PUR0632</t>
  </si>
  <si>
    <t>PUR0110</t>
  </si>
  <si>
    <t>PUR0627</t>
  </si>
  <si>
    <t>PUR0428</t>
  </si>
  <si>
    <t>PUR0145</t>
  </si>
  <si>
    <t>PUR0422</t>
  </si>
  <si>
    <t>PUR0261</t>
  </si>
  <si>
    <t>PUR0689</t>
  </si>
  <si>
    <t>PUR0023</t>
  </si>
  <si>
    <t>PUR0240</t>
  </si>
  <si>
    <t>PUR0323</t>
  </si>
  <si>
    <t>PUR0561</t>
  </si>
  <si>
    <t>PUR0299</t>
  </si>
  <si>
    <t>PUR0211</t>
  </si>
  <si>
    <t>PUR0504</t>
  </si>
  <si>
    <t>PUR0139</t>
  </si>
  <si>
    <t>PUR0683</t>
  </si>
  <si>
    <t>PUR0003</t>
  </si>
  <si>
    <t>PUR0420</t>
  </si>
  <si>
    <t>PUR0207</t>
  </si>
  <si>
    <t>PUR0022</t>
  </si>
  <si>
    <t>PUR0237</t>
  </si>
  <si>
    <t>PUR0361</t>
  </si>
  <si>
    <t>PUR0300</t>
  </si>
  <si>
    <t>PUR0605</t>
  </si>
  <si>
    <t>PUR0434</t>
  </si>
  <si>
    <t>PUR0381</t>
  </si>
  <si>
    <t>PUR0245</t>
  </si>
  <si>
    <t>PUR0544</t>
  </si>
  <si>
    <t>PUR0506</t>
  </si>
  <si>
    <t>PUR0628</t>
  </si>
  <si>
    <t>PUR0453</t>
  </si>
  <si>
    <t>PUR0158</t>
  </si>
  <si>
    <t>PUR0441</t>
  </si>
  <si>
    <t>PUR0465</t>
  </si>
  <si>
    <t>PUR0205</t>
  </si>
  <si>
    <t>PUR0590</t>
  </si>
  <si>
    <t>PUR0074</t>
  </si>
  <si>
    <t>PUR0260</t>
  </si>
  <si>
    <t>PUR0229</t>
  </si>
  <si>
    <t>PUR0096</t>
  </si>
  <si>
    <t>PUR0216</t>
  </si>
  <si>
    <t>PUR0288</t>
  </si>
  <si>
    <t>PUR0071</t>
  </si>
  <si>
    <t>PUR0640</t>
  </si>
  <si>
    <t>PUR0147</t>
  </si>
  <si>
    <t>PUR0080</t>
  </si>
  <si>
    <t>PUR0020</t>
  </si>
  <si>
    <t>PUR0527</t>
  </si>
  <si>
    <t>PUR0233</t>
  </si>
  <si>
    <t>PUR0615</t>
  </si>
  <si>
    <t>PUR0507</t>
  </si>
  <si>
    <t>PUR0250</t>
  </si>
  <si>
    <t>PUR0619</t>
  </si>
  <si>
    <t>PUR0558</t>
  </si>
  <si>
    <t>PUR0495</t>
  </si>
  <si>
    <t>PUR0545</t>
  </si>
  <si>
    <t>PUR0321</t>
  </si>
  <si>
    <t>PUR0618</t>
  </si>
  <si>
    <t>PUR0582</t>
  </si>
  <si>
    <t>PUR0524</t>
  </si>
  <si>
    <t>PUR0581</t>
  </si>
  <si>
    <t>PUR0146</t>
  </si>
  <si>
    <t>PUR0143</t>
  </si>
  <si>
    <t>PUR0435</t>
  </si>
  <si>
    <t>PUR0531</t>
  </si>
  <si>
    <t>PUR0183</t>
  </si>
  <si>
    <t>PUR0375</t>
  </si>
  <si>
    <t>PUR0692</t>
  </si>
  <si>
    <t>PUR0006</t>
  </si>
  <si>
    <t>PUR0326</t>
  </si>
  <si>
    <t>PUR0203</t>
  </si>
  <si>
    <t>PUR0085</t>
  </si>
  <si>
    <t>PUR0243</t>
  </si>
  <si>
    <t>PUR0026</t>
  </si>
  <si>
    <t>PUR0142</t>
  </si>
  <si>
    <t>PUR0460</t>
  </si>
  <si>
    <t>PUR0135</t>
  </si>
  <si>
    <t>PUR0042</t>
  </si>
  <si>
    <t>PUR0490</t>
  </si>
  <si>
    <t>PUR0169</t>
  </si>
  <si>
    <t>PUR0322</t>
  </si>
  <si>
    <t>PUR0589</t>
  </si>
  <si>
    <t>PUR0497</t>
  </si>
  <si>
    <t>PUR0201</t>
  </si>
  <si>
    <t>PUR0062</t>
  </si>
  <si>
    <t>PUR0390</t>
  </si>
  <si>
    <t>PUR0108</t>
  </si>
  <si>
    <t>PUR0107</t>
  </si>
  <si>
    <t>PUR0292</t>
  </si>
  <si>
    <t>PUR0555</t>
  </si>
  <si>
    <t>PUR0238</t>
  </si>
  <si>
    <t>PUR0172</t>
  </si>
  <si>
    <t>PUR0672</t>
  </si>
  <si>
    <t>PUR0121</t>
  </si>
  <si>
    <t>PUR0122</t>
  </si>
  <si>
    <t>PUR0345</t>
  </si>
  <si>
    <t>PUR0269</t>
  </si>
  <si>
    <t>PUR0609</t>
  </si>
  <si>
    <t>PUR0140</t>
  </si>
  <si>
    <t>PUR0444</t>
  </si>
  <si>
    <t>PUR0662</t>
  </si>
  <si>
    <t>PUR0454</t>
  </si>
  <si>
    <t>PUR0101</t>
  </si>
  <si>
    <t>PUR0566</t>
  </si>
  <si>
    <t>PUR0049</t>
  </si>
  <si>
    <t>PUR0380</t>
  </si>
  <si>
    <t>PUR0512</t>
  </si>
  <si>
    <t>PUR0265</t>
  </si>
  <si>
    <t>PUR0021</t>
  </si>
  <si>
    <t>PUR0417</t>
  </si>
  <si>
    <t>PUR0171</t>
  </si>
  <si>
    <t>PUR0177</t>
  </si>
  <si>
    <t>PUR0501</t>
  </si>
  <si>
    <t>PUR0603</t>
  </si>
  <si>
    <t>PUR0666</t>
  </si>
  <si>
    <t>PUR0304</t>
  </si>
  <si>
    <t>PUR0098</t>
  </si>
  <si>
    <t>PUR0225</t>
  </si>
  <si>
    <t>PUR0204</t>
  </si>
  <si>
    <t>PUR0276</t>
  </si>
  <si>
    <t>PUR0388</t>
  </si>
  <si>
    <t>PUR0138</t>
  </si>
  <si>
    <t>PUR0483</t>
  </si>
  <si>
    <t>PUR0198</t>
  </si>
  <si>
    <t>PUR0117</t>
  </si>
  <si>
    <t>PUR0308</t>
  </si>
  <si>
    <t>PUR0065</t>
  </si>
  <si>
    <t>PUR0673</t>
  </si>
  <si>
    <t>PUR0095</t>
  </si>
  <si>
    <t>PUR0387</t>
  </si>
  <si>
    <t>PUR0280</t>
  </si>
  <si>
    <t>PUR0128</t>
  </si>
  <si>
    <t>PUR0536</t>
  </si>
  <si>
    <t>PUR0532</t>
  </si>
  <si>
    <t>PUR0467</t>
  </si>
  <si>
    <t>PUR0052</t>
  </si>
  <si>
    <t>PUR0302</t>
  </si>
  <si>
    <t>PUR0541</t>
  </si>
  <si>
    <t>PUR0533</t>
  </si>
  <si>
    <t>PUR0221</t>
  </si>
  <si>
    <t>PUR0432</t>
  </si>
  <si>
    <t>PUR0656</t>
  </si>
  <si>
    <t>PUR0562</t>
  </si>
  <si>
    <t>PUR0343</t>
  </si>
  <si>
    <t>PUR0698</t>
  </si>
  <si>
    <t>PUR0624</t>
  </si>
  <si>
    <t>PUR0277</t>
  </si>
  <si>
    <t>PUR0573</t>
  </si>
  <si>
    <t>PUR0664</t>
  </si>
  <si>
    <t>PUR0588</t>
  </si>
  <si>
    <t>PUR0186</t>
  </si>
  <si>
    <t>PUR0192</t>
  </si>
  <si>
    <t>PUR0094</t>
  </si>
  <si>
    <t>PUR0202</t>
  </si>
  <si>
    <t>PUR0655</t>
  </si>
  <si>
    <t>PUR0200</t>
  </si>
  <si>
    <t>PUR0636</t>
  </si>
  <si>
    <t>PUR0574</t>
  </si>
  <si>
    <t>PUR0038</t>
  </si>
  <si>
    <t>PUR0409</t>
  </si>
  <si>
    <t>PUR0633</t>
  </si>
  <si>
    <t>PUR0494</t>
  </si>
  <si>
    <t>PUR0032</t>
  </si>
  <si>
    <t>PUR0124</t>
  </si>
  <si>
    <t>PUR0405</t>
  </si>
  <si>
    <t>PUR0337</t>
  </si>
  <si>
    <t>PUR0487</t>
  </si>
  <si>
    <t>PUR0037</t>
  </si>
  <si>
    <t>PUR0606</t>
  </si>
  <si>
    <t>PUR0289</t>
  </si>
  <si>
    <t>PUR0283</t>
  </si>
  <si>
    <t>PUR0403</t>
  </si>
  <si>
    <t>PUR0425</t>
  </si>
  <si>
    <t>PUR0028</t>
  </si>
  <si>
    <t>PUR0227</t>
  </si>
  <si>
    <t>PUR0184</t>
  </si>
  <si>
    <t>PUR0660</t>
  </si>
  <si>
    <t>PUR0433</t>
  </si>
  <si>
    <t>PUR0174</t>
  </si>
  <si>
    <t>PUR0007</t>
  </si>
  <si>
    <t>PUR0614</t>
  </si>
  <si>
    <t>PUR0104</t>
  </si>
  <si>
    <t>PUR0548</t>
  </si>
  <si>
    <t>PUR0097</t>
  </si>
  <si>
    <t>PUR0510</t>
  </si>
  <si>
    <t>PUR0629</t>
  </si>
  <si>
    <t>PUR0472</t>
  </si>
  <si>
    <t>PUR0018</t>
  </si>
  <si>
    <t>PUR0596</t>
  </si>
  <si>
    <t>PUR0464</t>
  </si>
  <si>
    <t>PUR0385</t>
  </si>
  <si>
    <t>PUR0685</t>
  </si>
  <si>
    <t>PUR0025</t>
  </si>
  <si>
    <t>PUR0670</t>
  </si>
  <si>
    <t>PUR0691</t>
  </si>
  <si>
    <t>PUR0586</t>
  </si>
  <si>
    <t>PUR0476</t>
  </si>
  <si>
    <t>PUR0047</t>
  </si>
  <si>
    <t>PUR0279</t>
  </si>
  <si>
    <t>PUR0295</t>
  </si>
  <si>
    <t>PUR0580</t>
  </si>
  <si>
    <t>PUR0697</t>
  </si>
  <si>
    <t>PUR0473</t>
  </si>
  <si>
    <t>PUR0220</t>
  </si>
  <si>
    <t>PUR0176</t>
  </si>
  <si>
    <t>PUR0601</t>
  </si>
  <si>
    <t>PUR0469</t>
  </si>
  <si>
    <t>PUR0058</t>
  </si>
  <si>
    <t>PUR0234</t>
  </si>
  <si>
    <t>PUR0520</t>
  </si>
  <si>
    <t>PUR0491</t>
  </si>
  <si>
    <t>PUR0262</t>
  </si>
  <si>
    <t>PUR0134</t>
  </si>
  <si>
    <t>PUR0219</t>
  </si>
  <si>
    <t>PUR0529</t>
  </si>
  <si>
    <t>PUR0009</t>
  </si>
  <si>
    <t>PUR0148</t>
  </si>
  <si>
    <t>PUR0493</t>
  </si>
  <si>
    <t>PUR0696</t>
  </si>
  <si>
    <t>PUR0551</t>
  </si>
  <si>
    <t>PUR0100</t>
  </si>
  <si>
    <t>PUR0214</t>
  </si>
  <si>
    <t>PUR0401</t>
  </si>
  <si>
    <t>PUR0526</t>
  </si>
  <si>
    <t>PUR0195</t>
  </si>
  <si>
    <t>PUR0168</t>
  </si>
  <si>
    <t>PUR0430</t>
  </si>
  <si>
    <t>PUR0625</t>
  </si>
  <si>
    <t>PUR0447</t>
  </si>
  <si>
    <t>PUR0379</t>
  </si>
  <si>
    <t>PUR0424</t>
  </si>
  <si>
    <t>PUR0287</t>
  </si>
  <si>
    <t>PUR0161</t>
  </si>
  <si>
    <t>PUR0088</t>
  </si>
  <si>
    <t>PUR0333</t>
  </si>
  <si>
    <t>PUR0523</t>
  </si>
  <si>
    <t>PUR0593</t>
  </si>
  <si>
    <t>PUR0067</t>
  </si>
  <si>
    <t>PUR0307</t>
  </si>
  <si>
    <t>PUR0674</t>
  </si>
  <si>
    <t>PUR0686</t>
  </si>
  <si>
    <t>PUR0634</t>
  </si>
  <si>
    <t>PUR0294</t>
  </si>
  <si>
    <t>PUR0014</t>
  </si>
  <si>
    <t>PUR0303</t>
  </si>
  <si>
    <t>PUR0550</t>
  </si>
  <si>
    <t>PUR0355</t>
  </si>
  <si>
    <t>PUR0368</t>
  </si>
  <si>
    <t>PUR0318</t>
  </si>
  <si>
    <t>PUR0256</t>
  </si>
  <si>
    <t>PUR0414</t>
  </si>
  <si>
    <t>PUR0374</t>
  </si>
  <si>
    <t>PUR0680</t>
  </si>
  <si>
    <t>PUR0626</t>
  </si>
  <si>
    <t>PUR0348</t>
  </si>
  <si>
    <t>PUR0363</t>
  </si>
  <si>
    <t>PUR0508</t>
  </si>
  <si>
    <t>PUR0327</t>
  </si>
  <si>
    <t>PUR0369</t>
  </si>
  <si>
    <t>PUR0570</t>
  </si>
  <si>
    <t>PUR0367</t>
  </si>
  <si>
    <t>PUR0164</t>
  </si>
  <si>
    <t>PUR0079</t>
  </si>
  <si>
    <t>PUR0370</t>
  </si>
  <si>
    <t>PUR0413</t>
  </si>
  <si>
    <t>PUR0499</t>
  </si>
  <si>
    <t>PUR0056</t>
  </si>
  <si>
    <t>PUR0331</t>
  </si>
  <si>
    <t>PUR0438</t>
  </si>
  <si>
    <t>PUR0286</t>
  </si>
  <si>
    <t>PUR0552</t>
  </si>
  <si>
    <t>PUR0027</t>
  </si>
  <si>
    <t>PUR0500</t>
  </si>
  <si>
    <t>PUR0354</t>
  </si>
  <si>
    <t>PUR0376</t>
  </si>
  <si>
    <t>PUR0224</t>
  </si>
  <si>
    <t>PUR0298</t>
  </si>
  <si>
    <t>PUR0613</t>
  </si>
  <si>
    <t>PUR0199</t>
  </si>
  <si>
    <t>PUR0647</t>
  </si>
  <si>
    <t>PUR0334</t>
  </si>
  <si>
    <t>PUR0059</t>
  </si>
  <si>
    <t>PUR0404</t>
  </si>
  <si>
    <t>PUR0102</t>
  </si>
  <si>
    <t>PUR0197</t>
  </si>
  <si>
    <t>PUR0594</t>
  </si>
  <si>
    <t>PUR0511</t>
  </si>
  <si>
    <t>PUR0486</t>
  </si>
  <si>
    <t>PUR0210</t>
  </si>
  <si>
    <t>PUR0175</t>
  </si>
  <si>
    <t>PUR0351</t>
  </si>
  <si>
    <t>PUR0383</t>
  </si>
  <si>
    <t>PUR0005</t>
  </si>
  <si>
    <t>PUR0602</t>
  </si>
  <si>
    <t>PUR0480</t>
  </si>
  <si>
    <t>PUR0688</t>
  </si>
  <si>
    <t>PUR0017</t>
  </si>
  <si>
    <t>PUR0488</t>
  </si>
  <si>
    <t>PUR0657</t>
  </si>
  <si>
    <t>PUR0099</t>
  </si>
  <si>
    <t>PUR0396</t>
  </si>
  <si>
    <t>PUR0663</t>
  </si>
  <si>
    <t>PUR0643</t>
  </si>
  <si>
    <t>PUR0693</t>
  </si>
  <si>
    <t>PUR0040</t>
  </si>
  <si>
    <t>PUR0086</t>
  </si>
  <si>
    <t>PUR0136</t>
  </si>
  <si>
    <t>PUR0360</t>
  </si>
  <si>
    <t>PUR0623</t>
  </si>
  <si>
    <t>PUR0687</t>
  </si>
  <si>
    <t>PUR0658</t>
  </si>
  <si>
    <t>PUR0154</t>
  </si>
  <si>
    <t>PUR0248</t>
  </si>
  <si>
    <t>PUR0421</t>
  </si>
  <si>
    <t>PUR0081</t>
  </si>
  <si>
    <t>PUR0253</t>
  </si>
  <si>
    <t>PUR0517</t>
  </si>
  <si>
    <t>PUR0359</t>
  </si>
  <si>
    <t>PUR0522</t>
  </si>
  <si>
    <t>PUR0616</t>
  </si>
  <si>
    <t>PUR0690</t>
  </si>
  <si>
    <t>PUR0001</t>
  </si>
  <si>
    <t>PUR0344</t>
  </si>
  <si>
    <t>PUR0181</t>
  </si>
  <si>
    <t>PUR0187</t>
  </si>
  <si>
    <t>PUR0127</t>
  </si>
  <si>
    <t>PUR0525</t>
  </si>
  <si>
    <t>PUR0141</t>
  </si>
  <si>
    <t>PUR0316</t>
  </si>
  <si>
    <t>PUR0560</t>
  </si>
  <si>
    <t>PUR0412</t>
  </si>
  <si>
    <t>PUR0461</t>
  </si>
  <si>
    <t>PUR0114</t>
  </si>
  <si>
    <t>PUR0257</t>
  </si>
  <si>
    <t>PUR0259</t>
  </si>
  <si>
    <t>PUR0030</t>
  </si>
  <si>
    <t>PUR0120</t>
  </si>
  <si>
    <t>PUR0546</t>
  </si>
  <si>
    <t>PUR0498</t>
  </si>
  <si>
    <t>PUR0152</t>
  </si>
  <si>
    <t>PUR0010</t>
  </si>
  <si>
    <t>PUR0015</t>
  </si>
  <si>
    <t>PUR0091</t>
  </si>
  <si>
    <t>PUR0293</t>
  </si>
  <si>
    <t>PUR0528</t>
  </si>
  <si>
    <t>PUR0315</t>
  </si>
  <si>
    <t>PUR0297</t>
  </si>
  <si>
    <t>PUR0400</t>
  </si>
  <si>
    <t>PUR0583</t>
  </si>
  <si>
    <t>PUR0678</t>
  </si>
  <si>
    <t>PUR0612</t>
  </si>
  <si>
    <t>PUR0012</t>
  </si>
  <si>
    <t>PUR0485</t>
  </si>
  <si>
    <t>PUR0427</t>
  </si>
  <si>
    <t>PUR0011</t>
  </si>
  <si>
    <t>PUR0597</t>
  </si>
  <si>
    <t>PUR0160</t>
  </si>
  <si>
    <t>PUR0482</t>
  </si>
  <si>
    <t>PUR0244</t>
  </si>
  <si>
    <t>PUR0681</t>
  </si>
  <si>
    <t>PUR0607</t>
  </si>
  <si>
    <t>PUR0340</t>
  </si>
  <si>
    <t>PUR0342</t>
  </si>
  <si>
    <t>PUR0072</t>
  </si>
  <si>
    <t>PUR0534</t>
  </si>
  <si>
    <t>PUR0445</t>
  </si>
  <si>
    <t>PUR0653</t>
  </si>
  <si>
    <t>PUR0089</t>
  </si>
  <si>
    <t>PUR0064</t>
  </si>
  <si>
    <t>PUR0271</t>
  </si>
  <si>
    <t>PUR0063</t>
  </si>
  <si>
    <t>PUR0083</t>
  </si>
  <si>
    <t>PUR0642</t>
  </si>
  <si>
    <t>PUR0274</t>
  </si>
  <si>
    <t>PUR0604</t>
  </si>
  <si>
    <t>PUR0301</t>
  </si>
  <si>
    <t>PUR0305</t>
  </si>
  <si>
    <t>PUR0312</t>
  </si>
  <si>
    <t>PUR0471</t>
  </si>
  <si>
    <t>PUR0468</t>
  </si>
  <si>
    <t>PUR0418</t>
  </si>
  <si>
    <t>PUR0246</t>
  </si>
  <si>
    <t>PUR0514</t>
  </si>
  <si>
    <t>PUR0082</t>
  </si>
  <si>
    <t>PUR0530</t>
  </si>
  <si>
    <t>PUR0554</t>
  </si>
  <si>
    <t>PUR0329</t>
  </si>
  <si>
    <t>PUR0470</t>
  </si>
  <si>
    <t>PUR0151</t>
  </si>
  <si>
    <t>PUR0644</t>
  </si>
  <si>
    <t>PUR0600</t>
  </si>
  <si>
    <t>PUR0106</t>
  </si>
  <si>
    <t>PUR0284</t>
  </si>
  <si>
    <t>PUR0324</t>
  </si>
  <si>
    <t>PUR0684</t>
  </si>
  <si>
    <t>PUR0109</t>
  </si>
  <si>
    <t>PUR0630</t>
  </si>
  <si>
    <t>PUR0125</t>
  </si>
  <si>
    <t>PUR0252</t>
  </si>
  <si>
    <t>PUR0319</t>
  </si>
  <si>
    <t>PUR0222</t>
  </si>
  <si>
    <t>PUR0462</t>
  </si>
  <si>
    <t>PUR0182</t>
  </si>
  <si>
    <t>PUR0556</t>
  </si>
  <si>
    <t>PUR0458</t>
  </si>
  <si>
    <t>PUR0335</t>
  </si>
  <si>
    <t>PUR0557</t>
  </si>
  <si>
    <t>PUR0090</t>
  </si>
  <si>
    <t>PUR0215</t>
  </si>
  <si>
    <t>PUR0226</t>
  </si>
  <si>
    <t>PUR0542</t>
  </si>
  <si>
    <t>PUR0646</t>
  </si>
  <si>
    <t>PUR0578</t>
  </si>
  <si>
    <t>PUR0264</t>
  </si>
  <si>
    <t>PUR0178</t>
  </si>
  <si>
    <t>PUR0496</t>
  </si>
  <si>
    <t>PUR0397</t>
  </si>
  <si>
    <t>PUR0239</t>
  </si>
  <si>
    <t>PUR0008</t>
  </si>
  <si>
    <t>PUR0392</t>
  </si>
  <si>
    <t>PUR0029</t>
  </si>
  <si>
    <t>PUR0492</t>
  </si>
  <si>
    <t>PUR0364</t>
  </si>
  <si>
    <t>PUR0130</t>
  </si>
  <si>
    <t>PUR0193</t>
  </si>
  <si>
    <t>PUR0075</t>
  </si>
  <si>
    <t>PUR0539</t>
  </si>
  <si>
    <t>PUR0208</t>
  </si>
  <si>
    <t>PUR0567</t>
  </si>
  <si>
    <t>PUR0330</t>
  </si>
  <si>
    <t>PUR0339</t>
  </si>
  <si>
    <t>PUR0384</t>
  </si>
  <si>
    <t>PUR0053</t>
  </si>
  <si>
    <t>PUR0410</t>
  </si>
  <si>
    <t>PUR0571</t>
  </si>
  <si>
    <t>PUR0513</t>
  </si>
  <si>
    <t>PUR0039</t>
  </si>
  <si>
    <t>PUR0061</t>
  </si>
  <si>
    <t>PUR0503</t>
  </si>
  <si>
    <t>PUR0123</t>
  </si>
  <si>
    <t>PUR0416</t>
  </si>
  <si>
    <t>PUR0255</t>
  </si>
  <si>
    <t>PUR0579</t>
  </si>
  <si>
    <t>PUR0173</t>
  </si>
  <si>
    <t>PUR0568</t>
  </si>
  <si>
    <t>PUR0535</t>
  </si>
  <si>
    <t>PUR0209</t>
  </si>
  <si>
    <t>PUR0699</t>
  </si>
  <si>
    <t>PUR0016</t>
  </si>
  <si>
    <t>PUR0268</t>
  </si>
  <si>
    <t>PUR0676</t>
  </si>
  <si>
    <t>PUR0194</t>
  </si>
  <si>
    <t>PUR0272</t>
  </si>
  <si>
    <t>PUR0519</t>
  </si>
  <si>
    <t>PUR0695</t>
  </si>
  <si>
    <t>PUR0572</t>
  </si>
  <si>
    <t>PUR0450</t>
  </si>
  <si>
    <t>PUR0652</t>
  </si>
  <si>
    <t>PUR0671</t>
  </si>
  <si>
    <t>PUR0190</t>
  </si>
  <si>
    <t>PUR0111</t>
  </si>
  <si>
    <t>PUR0057</t>
  </si>
  <si>
    <t>PUR0073</t>
  </si>
  <si>
    <t>PUR0371</t>
  </si>
  <si>
    <t>PUR0188</t>
  </si>
  <si>
    <t>PUR0373</t>
  </si>
  <si>
    <t>PUR0669</t>
  </si>
  <si>
    <t>PUR0116</t>
  </si>
  <si>
    <t>PUR0382</t>
  </si>
  <si>
    <t>PUR0241</t>
  </si>
  <si>
    <t>PUR0484</t>
  </si>
  <si>
    <t>PUR0290</t>
  </si>
  <si>
    <t>PUR0035</t>
  </si>
  <si>
    <t>PUR0654</t>
  </si>
  <si>
    <t>PUR0587</t>
  </si>
  <si>
    <t>PUR0281</t>
  </si>
  <si>
    <t>PUR0228</t>
  </si>
  <si>
    <t>PUR0549</t>
  </si>
  <si>
    <t>PUR0389</t>
  </si>
  <si>
    <t>PUR0677</t>
  </si>
  <si>
    <t>PUR0338</t>
  </si>
  <si>
    <t>PUR0332</t>
  </si>
  <si>
    <t>PUR0002</t>
  </si>
  <si>
    <t>PUR0665</t>
  </si>
  <si>
    <t>PUR0044</t>
  </si>
  <si>
    <t>PUR0391</t>
  </si>
  <si>
    <t>PUR0105</t>
  </si>
  <si>
    <t>PUR0336</t>
  </si>
  <si>
    <t>PUR0267</t>
  </si>
  <si>
    <t>PUR0411</t>
  </si>
  <si>
    <t>PUR0212</t>
  </si>
  <si>
    <t>PUR0166</t>
  </si>
  <si>
    <t>PUR0576</t>
  </si>
  <si>
    <t>PUR0119</t>
  </si>
  <si>
    <t>PUR0325</t>
  </si>
  <si>
    <t>PUR0306</t>
  </si>
  <si>
    <t>PUR0372</t>
  </si>
  <si>
    <t>PUR0273</t>
  </si>
  <si>
    <t>PUR0489</t>
  </si>
  <si>
    <t>PUR0084</t>
  </si>
  <si>
    <t>PUR0398</t>
  </si>
  <si>
    <t>PUR0309</t>
  </si>
  <si>
    <t>PUR0475</t>
  </si>
  <si>
    <t>PUR0357</t>
  </si>
  <si>
    <t>PUR0611</t>
  </si>
  <si>
    <t>PUR0645</t>
  </si>
  <si>
    <t>PUR0232</t>
  </si>
  <si>
    <t>PUR0540</t>
  </si>
  <si>
    <t>PUR0144</t>
  </si>
  <si>
    <t>PUR0563</t>
  </si>
  <si>
    <t>PUR0393</t>
  </si>
  <si>
    <t>PUR0569</t>
  </si>
  <si>
    <t>PUR0078</t>
  </si>
  <si>
    <t>PUR0159</t>
  </si>
  <si>
    <t>PUR0682</t>
  </si>
  <si>
    <t>PUR0439</t>
  </si>
  <si>
    <t>PUR0516</t>
  </si>
  <si>
    <t>PUR0275</t>
  </si>
  <si>
    <t>PUR0310</t>
  </si>
  <si>
    <t>PUR0077</t>
  </si>
  <si>
    <t>PUR0093</t>
  </si>
  <si>
    <t>PUR0456</t>
  </si>
  <si>
    <t>PUR0610</t>
  </si>
  <si>
    <t>PUR0598</t>
  </si>
  <si>
    <t>PUR0481</t>
  </si>
  <si>
    <t>PUR0048</t>
  </si>
  <si>
    <t>PUR0543</t>
  </si>
  <si>
    <t>PUR0031</t>
  </si>
  <si>
    <t>PUR0431</t>
  </si>
  <si>
    <t>PUR0426</t>
  </si>
  <si>
    <t>PUR0621</t>
  </si>
  <si>
    <t>PUR0651</t>
  </si>
  <si>
    <t>PUR0509</t>
  </si>
  <si>
    <t>PUR0278</t>
  </si>
  <si>
    <t>PUR0599</t>
  </si>
  <si>
    <t>PUR0054</t>
  </si>
  <si>
    <t>PUR0415</t>
  </si>
  <si>
    <t>PUR0103</t>
  </si>
  <si>
    <t>PUR0505</t>
  </si>
  <si>
    <t>PUR0436</t>
  </si>
  <si>
    <t>PUR0448</t>
  </si>
  <si>
    <t>PUR0266</t>
  </si>
  <si>
    <t>PUR0133</t>
  </si>
  <si>
    <t>PUR0394</t>
  </si>
  <si>
    <t>PUR0620</t>
  </si>
  <si>
    <t>PUR0679</t>
  </si>
  <si>
    <t>PUR0358</t>
  </si>
  <si>
    <t>PUR0196</t>
  </si>
  <si>
    <t>PUR0362</t>
  </si>
  <si>
    <t>PUR0341</t>
  </si>
  <si>
    <t>PUR0378</t>
  </si>
  <si>
    <t>PUR0137</t>
  </si>
  <si>
    <t>PUR0451</t>
  </si>
  <si>
    <t>PUR0045</t>
  </si>
  <si>
    <t>PUR0317</t>
  </si>
  <si>
    <t>PUR0285</t>
  </si>
  <si>
    <t>PUR0408</t>
  </si>
  <si>
    <t>PUR0449</t>
  </si>
  <si>
    <t>PUR0538</t>
  </si>
  <si>
    <t>PUR0218</t>
  </si>
  <si>
    <t>PUR0564</t>
  </si>
  <si>
    <t>PUR0395</t>
  </si>
  <si>
    <t>PUR0478</t>
  </si>
  <si>
    <t>PUR0377</t>
  </si>
  <si>
    <t>PUR0559</t>
  </si>
  <si>
    <t>PUR0675</t>
  </si>
  <si>
    <t>PUR0034</t>
  </si>
  <si>
    <t>PUR0051</t>
  </si>
  <si>
    <t>PUR0659</t>
  </si>
  <si>
    <t>PUR0407</t>
  </si>
  <si>
    <t>PUR0668</t>
  </si>
  <si>
    <t>PUR0349</t>
  </si>
  <si>
    <t>PUR0126</t>
  </si>
  <si>
    <t>PUR0346</t>
  </si>
  <si>
    <t>PUR0402</t>
  </si>
  <si>
    <t>PUR0406</t>
  </si>
  <si>
    <t>PUR0149</t>
  </si>
  <si>
    <t>PUR0502</t>
  </si>
  <si>
    <t>PUR0019</t>
  </si>
  <si>
    <t>PUR0189</t>
  </si>
  <si>
    <t>PUR0282</t>
  </si>
  <si>
    <t>PUR0328</t>
  </si>
  <si>
    <t>PUR0477</t>
  </si>
  <si>
    <t>PUR0667</t>
  </si>
  <si>
    <t>PUR0661</t>
  </si>
  <si>
    <t>PUR0156</t>
  </si>
  <si>
    <t>PUR0217</t>
  </si>
  <si>
    <t>PUR0592</t>
  </si>
  <si>
    <t>PUR0155</t>
  </si>
  <si>
    <t>PUR0440</t>
  </si>
  <si>
    <t>PUR0314</t>
  </si>
  <si>
    <t>PUR0258</t>
  </si>
  <si>
    <t>PUR0092</t>
  </si>
  <si>
    <t>PUR0180</t>
  </si>
  <si>
    <t>PUR0649</t>
  </si>
  <si>
    <t>PUR0455</t>
  </si>
  <si>
    <t>PUR0115</t>
  </si>
  <si>
    <t>PUR0442</t>
  </si>
  <si>
    <t>PUR0249</t>
  </si>
  <si>
    <t>PUR0356</t>
  </si>
  <si>
    <t>PUR0066</t>
  </si>
  <si>
    <t>PUR0584</t>
  </si>
  <si>
    <t>PUR0635</t>
  </si>
  <si>
    <t>PUR0235</t>
  </si>
  <si>
    <t>PUR0043</t>
  </si>
  <si>
    <t>PUR0131</t>
  </si>
  <si>
    <t>PUR0069</t>
  </si>
  <si>
    <t>PUR0263</t>
  </si>
  <si>
    <t>PUR0631</t>
  </si>
  <si>
    <t>PUR0565</t>
  </si>
  <si>
    <t>PUR0648</t>
  </si>
  <si>
    <t>PUR0399</t>
  </si>
  <si>
    <t>PUR0474</t>
  </si>
  <si>
    <t>PUR0386</t>
  </si>
  <si>
    <t>PUR0608</t>
  </si>
  <si>
    <t>PUR0591</t>
  </si>
  <si>
    <t>PUR0129</t>
  </si>
  <si>
    <t>PUR0291</t>
  </si>
  <si>
    <t>PUR0231</t>
  </si>
  <si>
    <t>PUR0157</t>
  </si>
  <si>
    <t>PUR0466</t>
  </si>
  <si>
    <t>PUR0423</t>
  </si>
  <si>
    <t>PUR0366</t>
  </si>
  <si>
    <t>PUR0515</t>
  </si>
  <si>
    <t>PUR0041</t>
  </si>
  <si>
    <t>PUR0617</t>
  </si>
  <si>
    <t>PUR0163</t>
  </si>
  <si>
    <t>PUR0350</t>
  </si>
  <si>
    <t>PUR0068</t>
  </si>
  <si>
    <t>PUR0577</t>
  </si>
  <si>
    <t>PUR0055</t>
  </si>
  <si>
    <t>PUR0641</t>
  </si>
  <si>
    <t>PUR0638</t>
  </si>
  <si>
    <t>PUR0087</t>
  </si>
  <si>
    <t>PUR0320</t>
  </si>
  <si>
    <t>PUR0270</t>
  </si>
  <si>
    <t>PUR0313</t>
  </si>
  <si>
    <t>PUR0521</t>
  </si>
  <si>
    <t>PUR0547</t>
  </si>
  <si>
    <t>PUR0585</t>
  </si>
  <si>
    <t>PUR0311</t>
  </si>
  <si>
    <t>PUR0185</t>
  </si>
  <si>
    <t>PUR0167</t>
  </si>
  <si>
    <t>PUR0452</t>
  </si>
  <si>
    <t>PUR0179</t>
  </si>
  <si>
    <t>PUR0024</t>
  </si>
  <si>
    <t>PUR0251</t>
  </si>
  <si>
    <t>PUR0033</t>
  </si>
  <si>
    <t>PUR0479</t>
  </si>
  <si>
    <t>PUR0013</t>
  </si>
  <si>
    <t>PUR0459</t>
  </si>
  <si>
    <t>PUR0046</t>
  </si>
  <si>
    <t>PUR0622</t>
  </si>
  <si>
    <t>Production_ID</t>
  </si>
  <si>
    <t>Production_Date</t>
  </si>
  <si>
    <t>Planned_Quantity</t>
  </si>
  <si>
    <t>Produced_Quantity</t>
  </si>
  <si>
    <t>Rejected_Quantity</t>
  </si>
  <si>
    <t>Shift</t>
  </si>
  <si>
    <t>Production_Line</t>
  </si>
  <si>
    <t>PRD0059</t>
  </si>
  <si>
    <t>Evening</t>
  </si>
  <si>
    <t>Line 2</t>
  </si>
  <si>
    <t>PRD0490</t>
  </si>
  <si>
    <t>Night</t>
  </si>
  <si>
    <t>PRD0136</t>
  </si>
  <si>
    <t>PRD0100</t>
  </si>
  <si>
    <t>Line 1</t>
  </si>
  <si>
    <t>PRD0199</t>
  </si>
  <si>
    <t>PRD0024</t>
  </si>
  <si>
    <t>Morning</t>
  </si>
  <si>
    <t>PRD0352</t>
  </si>
  <si>
    <t>Line 5</t>
  </si>
  <si>
    <t>PRD0361</t>
  </si>
  <si>
    <t>PRD0118</t>
  </si>
  <si>
    <t>PRD0022</t>
  </si>
  <si>
    <t>PRD0082</t>
  </si>
  <si>
    <t>PRD0384</t>
  </si>
  <si>
    <t>PRD0121</t>
  </si>
  <si>
    <t>PRD0366</t>
  </si>
  <si>
    <t>Line 4</t>
  </si>
  <si>
    <t>PRD0116</t>
  </si>
  <si>
    <t>PRD0332</t>
  </si>
  <si>
    <t>PRD0077</t>
  </si>
  <si>
    <t>PRD0107</t>
  </si>
  <si>
    <t>PRD0002</t>
  </si>
  <si>
    <t>PRD0441</t>
  </si>
  <si>
    <t>PRD0307</t>
  </si>
  <si>
    <t>PRD0154</t>
  </si>
  <si>
    <t>PRD0405</t>
  </si>
  <si>
    <t>PRD0494</t>
  </si>
  <si>
    <t>PRD0220</t>
  </si>
  <si>
    <t>PRD0147</t>
  </si>
  <si>
    <t>PRD0273</t>
  </si>
  <si>
    <t>PRD0065</t>
  </si>
  <si>
    <t>PRD0261</t>
  </si>
  <si>
    <t>PRD0060</t>
  </si>
  <si>
    <t>PRD0055</t>
  </si>
  <si>
    <t>PRD0218</t>
  </si>
  <si>
    <t>PRD0009</t>
  </si>
  <si>
    <t>PRD0318</t>
  </si>
  <si>
    <t>PRD0184</t>
  </si>
  <si>
    <t>PRD0170</t>
  </si>
  <si>
    <t>PRD0419</t>
  </si>
  <si>
    <t>PRD0483</t>
  </si>
  <si>
    <t>PRD0404</t>
  </si>
  <si>
    <t>PRD0312</t>
  </si>
  <si>
    <t>PRD0006</t>
  </si>
  <si>
    <t>PRD0120</t>
  </si>
  <si>
    <t>PRD0402</t>
  </si>
  <si>
    <t>PRD0374</t>
  </si>
  <si>
    <t>PRD0342</t>
  </si>
  <si>
    <t>PRD0163</t>
  </si>
  <si>
    <t>PRD0294</t>
  </si>
  <si>
    <t>PRD0353</t>
  </si>
  <si>
    <t>PRD0375</t>
  </si>
  <si>
    <t>PRD0141</t>
  </si>
  <si>
    <t>PRD0292</t>
  </si>
  <si>
    <t>PRD0074</t>
  </si>
  <si>
    <t>PRD0390</t>
  </si>
  <si>
    <t>PRD0138</t>
  </si>
  <si>
    <t>PRD0211</t>
  </si>
  <si>
    <t>PRD0037</t>
  </si>
  <si>
    <t>PRD0150</t>
  </si>
  <si>
    <t>PRD0004</t>
  </si>
  <si>
    <t>PRD0333</t>
  </si>
  <si>
    <t>PRD0455</t>
  </si>
  <si>
    <t>PRD0445</t>
  </si>
  <si>
    <t>PRD0428</t>
  </si>
  <si>
    <t>PRD0203</t>
  </si>
  <si>
    <t>PRD0126</t>
  </si>
  <si>
    <t>PRD0284</t>
  </si>
  <si>
    <t>PRD0317</t>
  </si>
  <si>
    <t>PRD0304</t>
  </si>
  <si>
    <t>PRD0034</t>
  </si>
  <si>
    <t>PRD0158</t>
  </si>
  <si>
    <t>PRD0311</t>
  </si>
  <si>
    <t>PRD0144</t>
  </si>
  <si>
    <t>PRD0057</t>
  </si>
  <si>
    <t>PRD0137</t>
  </si>
  <si>
    <t>PRD0408</t>
  </si>
  <si>
    <t>PRD0162</t>
  </si>
  <si>
    <t>PRD0209</t>
  </si>
  <si>
    <t>PRD0479</t>
  </si>
  <si>
    <t>PRD0236</t>
  </si>
  <si>
    <t>PRD0235</t>
  </si>
  <si>
    <t>PRD0068</t>
  </si>
  <si>
    <t>PRD0429</t>
  </si>
  <si>
    <t>PRD0492</t>
  </si>
  <si>
    <t>PRD0303</t>
  </si>
  <si>
    <t>PRD0349</t>
  </si>
  <si>
    <t>PRD0171</t>
  </si>
  <si>
    <t>PRD0078</t>
  </si>
  <si>
    <t>PRD0416</t>
  </si>
  <si>
    <t>PRD0321</t>
  </si>
  <si>
    <t>PRD0410</t>
  </si>
  <si>
    <t>PRD0079</t>
  </si>
  <si>
    <t>PRD0345</t>
  </si>
  <si>
    <t>PRD0279</t>
  </si>
  <si>
    <t>PRD0038</t>
  </si>
  <si>
    <t>PRD0237</t>
  </si>
  <si>
    <t>PRD0359</t>
  </si>
  <si>
    <t>PRD0155</t>
  </si>
  <si>
    <t>PRD0016</t>
  </si>
  <si>
    <t>PRD0437</t>
  </si>
  <si>
    <t>PRD0066</t>
  </si>
  <si>
    <t>PRD0215</t>
  </si>
  <si>
    <t>PRD0323</t>
  </si>
  <si>
    <t>PRD0040</t>
  </si>
  <si>
    <t>PRD0277</t>
  </si>
  <si>
    <t>PRD0135</t>
  </si>
  <si>
    <t>PRD0246</t>
  </si>
  <si>
    <t>PRD0241</t>
  </si>
  <si>
    <t>PRD0412</t>
  </si>
  <si>
    <t>PRD0227</t>
  </si>
  <si>
    <t>PRD0130</t>
  </si>
  <si>
    <t>PRD0500</t>
  </si>
  <si>
    <t>PRD0028</t>
  </si>
  <si>
    <t>PRD0290</t>
  </si>
  <si>
    <t>PRD0432</t>
  </si>
  <si>
    <t>PRD0238</t>
  </si>
  <si>
    <t>PRD0425</t>
  </si>
  <si>
    <t>PRD0156</t>
  </si>
  <si>
    <t>PRD0161</t>
  </si>
  <si>
    <t>PRD0188</t>
  </si>
  <si>
    <t>PRD0286</t>
  </si>
  <si>
    <t>PRD0482</t>
  </si>
  <si>
    <t>PRD0180</t>
  </si>
  <si>
    <t>PRD0475</t>
  </si>
  <si>
    <t>PRD0098</t>
  </si>
  <si>
    <t>PRD0104</t>
  </si>
  <si>
    <t>PRD0289</t>
  </si>
  <si>
    <t>PRD0426</t>
  </si>
  <si>
    <t>PRD0336</t>
  </si>
  <si>
    <t>PRD0115</t>
  </si>
  <si>
    <t>PRD0313</t>
  </si>
  <si>
    <t>PRD0406</t>
  </si>
  <si>
    <t>PRD0245</t>
  </si>
  <si>
    <t>PRD0397</t>
  </si>
  <si>
    <t>PRD0271</t>
  </si>
  <si>
    <t>PRD0129</t>
  </si>
  <si>
    <t>PRD0356</t>
  </si>
  <si>
    <t>PRD0117</t>
  </si>
  <si>
    <t>PRD0368</t>
  </si>
  <si>
    <t>PRD0103</t>
  </si>
  <si>
    <t>PRD0395</t>
  </si>
  <si>
    <t>PRD0394</t>
  </si>
  <si>
    <t>PRD0367</t>
  </si>
  <si>
    <t>PRD0112</t>
  </si>
  <si>
    <t>PRD0223</t>
  </si>
  <si>
    <t>PRD0062</t>
  </si>
  <si>
    <t>PRD0399</t>
  </si>
  <si>
    <t>PRD0175</t>
  </si>
  <si>
    <t>PRD0015</t>
  </si>
  <si>
    <t>PRD0334</t>
  </si>
  <si>
    <t>PRD0177</t>
  </si>
  <si>
    <t>PRD0418</t>
  </si>
  <si>
    <t>PRD0133</t>
  </si>
  <si>
    <t>PRD0341</t>
  </si>
  <si>
    <t>PRD0031</t>
  </si>
  <si>
    <t>PRD0125</t>
  </si>
  <si>
    <t>PRD0214</t>
  </si>
  <si>
    <t>PRD0444</t>
  </si>
  <si>
    <t>PRD0176</t>
  </si>
  <si>
    <t>PRD0056</t>
  </si>
  <si>
    <t>PRD0282</t>
  </si>
  <si>
    <t>PRD0378</t>
  </si>
  <si>
    <t>PRD0347</t>
  </si>
  <si>
    <t>PRD0064</t>
  </si>
  <si>
    <t>PRD0386</t>
  </si>
  <si>
    <t>PRD0485</t>
  </si>
  <si>
    <t>PRD0301</t>
  </si>
  <si>
    <t>PRD0309</t>
  </si>
  <si>
    <t>PRD0230</t>
  </si>
  <si>
    <t>PRD0032</t>
  </si>
  <si>
    <t>PRD0229</t>
  </si>
  <si>
    <t>PRD0491</t>
  </si>
  <si>
    <t>PRD0451</t>
  </si>
  <si>
    <t>PRD0061</t>
  </si>
  <si>
    <t>PRD0019</t>
  </si>
  <si>
    <t>PRD0308</t>
  </si>
  <si>
    <t>PRD0165</t>
  </si>
  <si>
    <t>PRD0219</t>
  </si>
  <si>
    <t>PRD0484</t>
  </si>
  <si>
    <t>PRD0392</t>
  </si>
  <si>
    <t>PRD0183</t>
  </si>
  <si>
    <t>PRD0389</t>
  </si>
  <si>
    <t>PRD0243</t>
  </si>
  <si>
    <t>PRD0008</t>
  </si>
  <si>
    <t>PRD0477</t>
  </si>
  <si>
    <t>PRD0097</t>
  </si>
  <si>
    <t>PRD0205</t>
  </si>
  <si>
    <t>PRD0322</t>
  </si>
  <si>
    <t>PRD0338</t>
  </si>
  <si>
    <t>PRD0461</t>
  </si>
  <si>
    <t>PRD0470</t>
  </si>
  <si>
    <t>PRD0069</t>
  </si>
  <si>
    <t>PRD0398</t>
  </si>
  <si>
    <t>PRD0012</t>
  </si>
  <si>
    <t>PRD0337</t>
  </si>
  <si>
    <t>PRD0123</t>
  </si>
  <si>
    <t>PRD0354</t>
  </si>
  <si>
    <t>PRD0166</t>
  </si>
  <si>
    <t>PRD0148</t>
  </si>
  <si>
    <t>PRD0050</t>
  </si>
  <si>
    <t>PRD0030</t>
  </si>
  <si>
    <t>PRD0260</t>
  </si>
  <si>
    <t>PRD0252</t>
  </si>
  <si>
    <t>PRD0240</t>
  </si>
  <si>
    <t>PRD0014</t>
  </si>
  <si>
    <t>PRD0239</t>
  </si>
  <si>
    <t>PRD0076</t>
  </si>
  <si>
    <t>PRD0131</t>
  </si>
  <si>
    <t>PRD0200</t>
  </si>
  <si>
    <t>PRD0233</t>
  </si>
  <si>
    <t>PRD0269</t>
  </si>
  <si>
    <t>PRD0248</t>
  </si>
  <si>
    <t>PRD0224</t>
  </si>
  <si>
    <t>PRD0457</t>
  </si>
  <si>
    <t>PRD0086</t>
  </si>
  <si>
    <t>PRD0328</t>
  </si>
  <si>
    <t>PRD0339</t>
  </si>
  <si>
    <t>PRD0401</t>
  </si>
  <si>
    <t>PRD0196</t>
  </si>
  <si>
    <t>PRD0192</t>
  </si>
  <si>
    <t>PRD0344</t>
  </si>
  <si>
    <t>PRD0471</t>
  </si>
  <si>
    <t>PRD0258</t>
  </si>
  <si>
    <t>PRD0329</t>
  </si>
  <si>
    <t>PRD0346</t>
  </si>
  <si>
    <t>PRD0041</t>
  </si>
  <si>
    <t>PRD0003</t>
  </si>
  <si>
    <t>PRD0139</t>
  </si>
  <si>
    <t>PRD0085</t>
  </si>
  <si>
    <t>PRD0208</t>
  </si>
  <si>
    <t>PRD0042</t>
  </si>
  <si>
    <t>PRD0498</t>
  </si>
  <si>
    <t>PRD0052</t>
  </si>
  <si>
    <t>PRD0447</t>
  </si>
  <si>
    <t>PRD0179</t>
  </si>
  <si>
    <t>PRD0043</t>
  </si>
  <si>
    <t>PRD0084</t>
  </si>
  <si>
    <t>PRD0225</t>
  </si>
  <si>
    <t>PRD0409</t>
  </si>
  <si>
    <t>PRD0039</t>
  </si>
  <si>
    <t>PRD0092</t>
  </si>
  <si>
    <t>PRD0020</t>
  </si>
  <si>
    <t>PRD0253</t>
  </si>
  <si>
    <t>PRD0335</t>
  </si>
  <si>
    <t>PRD0168</t>
  </si>
  <si>
    <t>PRD0460</t>
  </si>
  <si>
    <t>PRD0070</t>
  </si>
  <si>
    <t>PRD0305</t>
  </si>
  <si>
    <t>PRD0270</t>
  </si>
  <si>
    <t>PRD0249</t>
  </si>
  <si>
    <t>PRD0488</t>
  </si>
  <si>
    <t>PRD0391</t>
  </si>
  <si>
    <t>PRD0459</t>
  </si>
  <si>
    <t>PRD0442</t>
  </si>
  <si>
    <t>PRD0331</t>
  </si>
  <si>
    <t>PRD0382</t>
  </si>
  <si>
    <t>PRD0427</t>
  </si>
  <si>
    <t>PRD0094</t>
  </si>
  <si>
    <t>PRD0021</t>
  </si>
  <si>
    <t>PRD0319</t>
  </si>
  <si>
    <t>PRD0439</t>
  </si>
  <si>
    <t>PRD0376</t>
  </si>
  <si>
    <t>PRD0073</t>
  </si>
  <si>
    <t>PRD0143</t>
  </si>
  <si>
    <t>PRD0010</t>
  </si>
  <si>
    <t>PRD0360</t>
  </si>
  <si>
    <t>PRD0202</t>
  </si>
  <si>
    <t>PRD0207</t>
  </si>
  <si>
    <t>PRD0480</t>
  </si>
  <si>
    <t>PRD0325</t>
  </si>
  <si>
    <t>PRD0431</t>
  </si>
  <si>
    <t>PRD0473</t>
  </si>
  <si>
    <t>PRD0330</t>
  </si>
  <si>
    <t>PRD0486</t>
  </si>
  <si>
    <t>PRD0327</t>
  </si>
  <si>
    <t>PRD0149</t>
  </si>
  <si>
    <t>PRD0362</t>
  </si>
  <si>
    <t>PRD0385</t>
  </si>
  <si>
    <t>PRD0446</t>
  </si>
  <si>
    <t>PRD0454</t>
  </si>
  <si>
    <t>PRD0114</t>
  </si>
  <si>
    <t>PRD0497</t>
  </si>
  <si>
    <t>PRD0053</t>
  </si>
  <si>
    <t>PRD0090</t>
  </si>
  <si>
    <t>PRD0452</t>
  </si>
  <si>
    <t>PRD0244</t>
  </si>
  <si>
    <t>PRD0370</t>
  </si>
  <si>
    <t>PRD0132</t>
  </si>
  <si>
    <t>PRD0407</t>
  </si>
  <si>
    <t>PRD0450</t>
  </si>
  <si>
    <t>PRD0089</t>
  </si>
  <si>
    <t>PRD0222</t>
  </si>
  <si>
    <t>PRD0380</t>
  </si>
  <si>
    <t>PRD0029</t>
  </si>
  <si>
    <t>PRD0324</t>
  </si>
  <si>
    <t>PRD0310</t>
  </si>
  <si>
    <t>PRD0285</t>
  </si>
  <si>
    <t>PRD0178</t>
  </si>
  <si>
    <t>PRD0045</t>
  </si>
  <si>
    <t>PRD0453</t>
  </si>
  <si>
    <t>PRD0080</t>
  </si>
  <si>
    <t>PRD0051</t>
  </si>
  <si>
    <t>PRD0262</t>
  </si>
  <si>
    <t>PRD0091</t>
  </si>
  <si>
    <t>PRD0216</t>
  </si>
  <si>
    <t>PRD0102</t>
  </si>
  <si>
    <t>PRD0413</t>
  </si>
  <si>
    <t>PRD0283</t>
  </si>
  <si>
    <t>PRD0403</t>
  </si>
  <si>
    <t>PRD0379</t>
  </si>
  <si>
    <t>PRD0358</t>
  </si>
  <si>
    <t>PRD0210</t>
  </si>
  <si>
    <t>PRD0458</t>
  </si>
  <si>
    <t>PRD0369</t>
  </si>
  <si>
    <t>PRD0048</t>
  </si>
  <si>
    <t>PRD0293</t>
  </si>
  <si>
    <t>PRD0476</t>
  </si>
  <si>
    <t>PRD0217</t>
  </si>
  <si>
    <t>PRD0265</t>
  </si>
  <si>
    <t>PRD0468</t>
  </si>
  <si>
    <t>PRD0122</t>
  </si>
  <si>
    <t>PRD0027</t>
  </si>
  <si>
    <t>PRD0430</t>
  </si>
  <si>
    <t>PRD0191</t>
  </si>
  <si>
    <t>PRD0054</t>
  </si>
  <si>
    <t>PRD0383</t>
  </si>
  <si>
    <t>PRD0400</t>
  </si>
  <si>
    <t>PRD0096</t>
  </si>
  <si>
    <t>PRD0306</t>
  </si>
  <si>
    <t>PRD0044</t>
  </si>
  <si>
    <t>PRD0421</t>
  </si>
  <si>
    <t>PRD0007</t>
  </si>
  <si>
    <t>PRD0348</t>
  </si>
  <si>
    <t>PRD0420</t>
  </si>
  <si>
    <t>PRD0267</t>
  </si>
  <si>
    <t>PRD0300</t>
  </si>
  <si>
    <t>PRD0119</t>
  </si>
  <si>
    <t>PRD0314</t>
  </si>
  <si>
    <t>PRD0422</t>
  </si>
  <si>
    <t>PRD0250</t>
  </si>
  <si>
    <t>PRD0081</t>
  </si>
  <si>
    <t>PRD0266</t>
  </si>
  <si>
    <t>PRD0434</t>
  </si>
  <si>
    <t>PRD0087</t>
  </si>
  <si>
    <t>PRD0247</t>
  </si>
  <si>
    <t>PRD0467</t>
  </si>
  <si>
    <t>PRD0371</t>
  </si>
  <si>
    <t>PRD0251</t>
  </si>
  <si>
    <t>PRD0013</t>
  </si>
  <si>
    <t>PRD0365</t>
  </si>
  <si>
    <t>PRD0001</t>
  </si>
  <si>
    <t>PRD0106</t>
  </si>
  <si>
    <t>PRD0228</t>
  </si>
  <si>
    <t>PRD0272</t>
  </si>
  <si>
    <t>PRD0005</t>
  </si>
  <si>
    <t>PRD0474</t>
  </si>
  <si>
    <t>PRD0396</t>
  </si>
  <si>
    <t>PRD0443</t>
  </si>
  <si>
    <t>PRD0231</t>
  </si>
  <si>
    <t>PRD0496</t>
  </si>
  <si>
    <t>PRD0173</t>
  </si>
  <si>
    <t>PRD0357</t>
  </si>
  <si>
    <t>PRD0387</t>
  </si>
  <si>
    <t>PRD0264</t>
  </si>
  <si>
    <t>PRD0350</t>
  </si>
  <si>
    <t>PRD0424</t>
  </si>
  <si>
    <t>PRD0186</t>
  </si>
  <si>
    <t>PRD0316</t>
  </si>
  <si>
    <t>PRD0011</t>
  </si>
  <si>
    <t>PRD0388</t>
  </si>
  <si>
    <t>PRD0146</t>
  </si>
  <si>
    <t>PRD0109</t>
  </si>
  <si>
    <t>PRD0105</t>
  </si>
  <si>
    <t>PRD0464</t>
  </si>
  <si>
    <t>PRD0448</t>
  </si>
  <si>
    <t>PRD0469</t>
  </si>
  <si>
    <t>PRD0194</t>
  </si>
  <si>
    <t>PRD0435</t>
  </si>
  <si>
    <t>PRD0232</t>
  </si>
  <si>
    <t>PRD0151</t>
  </si>
  <si>
    <t>PRD0046</t>
  </si>
  <si>
    <t>PRD0157</t>
  </si>
  <si>
    <t>PRD0242</t>
  </si>
  <si>
    <t>PRD0152</t>
  </si>
  <si>
    <t>PRD0181</t>
  </si>
  <si>
    <t>PRD0295</t>
  </si>
  <si>
    <t>PRD0297</t>
  </si>
  <si>
    <t>PRD0017</t>
  </si>
  <si>
    <t>PRD0254</t>
  </si>
  <si>
    <t>PRD0035</t>
  </si>
  <si>
    <t>PRD0058</t>
  </si>
  <si>
    <t>PRD0355</t>
  </si>
  <si>
    <t>PRD0026</t>
  </si>
  <si>
    <t>PRD0093</t>
  </si>
  <si>
    <t>PRD0423</t>
  </si>
  <si>
    <t>PRD0113</t>
  </si>
  <si>
    <t>PRD0204</t>
  </si>
  <si>
    <t>PRD0025</t>
  </si>
  <si>
    <t>PRD0212</t>
  </si>
  <si>
    <t>PRD0193</t>
  </si>
  <si>
    <t>PRD0088</t>
  </si>
  <si>
    <t>PRD0160</t>
  </si>
  <si>
    <t>PRD0499</t>
  </si>
  <si>
    <t>PRD0198</t>
  </si>
  <si>
    <t>PRD0023</t>
  </si>
  <si>
    <t>PRD0099</t>
  </si>
  <si>
    <t>PRD0373</t>
  </si>
  <si>
    <t>PRD0326</t>
  </si>
  <si>
    <t>PRD0101</t>
  </si>
  <si>
    <t>PRD0351</t>
  </si>
  <si>
    <t>PRD0478</t>
  </si>
  <si>
    <t>PRD0276</t>
  </si>
  <si>
    <t>PRD0259</t>
  </si>
  <si>
    <t>PRD0481</t>
  </si>
  <si>
    <t>PRD0124</t>
  </si>
  <si>
    <t>PRD0226</t>
  </si>
  <si>
    <t>PRD0287</t>
  </si>
  <si>
    <t>PRD0417</t>
  </si>
  <si>
    <t>PRD0036</t>
  </si>
  <si>
    <t>PRD0257</t>
  </si>
  <si>
    <t>PRD0414</t>
  </si>
  <si>
    <t>PRD0169</t>
  </si>
  <si>
    <t>PRD0393</t>
  </si>
  <si>
    <t>PRD0067</t>
  </si>
  <si>
    <t>PRD0213</t>
  </si>
  <si>
    <t>PRD0320</t>
  </si>
  <si>
    <t>PRD0153</t>
  </si>
  <si>
    <t>PRD0174</t>
  </si>
  <si>
    <t>PRD0298</t>
  </si>
  <si>
    <t>PRD0206</t>
  </si>
  <si>
    <t>PRD0281</t>
  </si>
  <si>
    <t>PRD0172</t>
  </si>
  <si>
    <t>PRD0190</t>
  </si>
  <si>
    <t>PRD0280</t>
  </si>
  <si>
    <t>PRD0415</t>
  </si>
  <si>
    <t>PRD0364</t>
  </si>
  <si>
    <t>PRD0291</t>
  </si>
  <si>
    <t>PRD0465</t>
  </si>
  <si>
    <t>PRD0142</t>
  </si>
  <si>
    <t>PRD0377</t>
  </si>
  <si>
    <t>PRD0263</t>
  </si>
  <si>
    <t>PRD0363</t>
  </si>
  <si>
    <t>PRD0182</t>
  </si>
  <si>
    <t>PRD0159</t>
  </si>
  <si>
    <t>PRD0489</t>
  </si>
  <si>
    <t>PRD0493</t>
  </si>
  <si>
    <t>PRD0140</t>
  </si>
  <si>
    <t>PRD0187</t>
  </si>
  <si>
    <t>PRD0108</t>
  </si>
  <si>
    <t>PRD0047</t>
  </si>
  <si>
    <t>PRD0340</t>
  </si>
  <si>
    <t>PRD0472</t>
  </si>
  <si>
    <t>PRD0049</t>
  </si>
  <si>
    <t>PRD0256</t>
  </si>
  <si>
    <t>PRD0075</t>
  </si>
  <si>
    <t>PRD0275</t>
  </si>
  <si>
    <t>PRD0487</t>
  </si>
  <si>
    <t>PRD0278</t>
  </si>
  <si>
    <t>PRD0189</t>
  </si>
  <si>
    <t>PRD0095</t>
  </si>
  <si>
    <t>PRD0127</t>
  </si>
  <si>
    <t>PRD0164</t>
  </si>
  <si>
    <t>PRD0185</t>
  </si>
  <si>
    <t>PRD0436</t>
  </si>
  <si>
    <t>PRD0463</t>
  </si>
  <si>
    <t>PRD0302</t>
  </si>
  <si>
    <t>PRD0018</t>
  </si>
  <si>
    <t>PRD0411</t>
  </si>
  <si>
    <t>PRD0111</t>
  </si>
  <si>
    <t>PRD0128</t>
  </si>
  <si>
    <t>PRD0466</t>
  </si>
  <si>
    <t>PRD0381</t>
  </si>
  <si>
    <t>PRD0268</t>
  </si>
  <si>
    <t>PRD0071</t>
  </si>
  <si>
    <t>PRD0274</t>
  </si>
  <si>
    <t>PRD0255</t>
  </si>
  <si>
    <t>PRD0033</t>
  </si>
  <si>
    <t>PRD0110</t>
  </si>
  <si>
    <t>PRD0296</t>
  </si>
  <si>
    <t>PRD0315</t>
  </si>
  <si>
    <t>PRD0134</t>
  </si>
  <si>
    <t>PRD0145</t>
  </si>
  <si>
    <t>PRD0195</t>
  </si>
  <si>
    <t>PRD0495</t>
  </si>
  <si>
    <t>PRD0456</t>
  </si>
  <si>
    <t>PRD0440</t>
  </si>
  <si>
    <t>PRD0449</t>
  </si>
  <si>
    <t>PRD0201</t>
  </si>
  <si>
    <t>PRD0234</t>
  </si>
  <si>
    <t>PRD0299</t>
  </si>
  <si>
    <t>PRD0288</t>
  </si>
  <si>
    <t>PRD0063</t>
  </si>
  <si>
    <t>PRD0462</t>
  </si>
  <si>
    <t>PRD0167</t>
  </si>
  <si>
    <t>PRD0072</t>
  </si>
  <si>
    <t>PRD0372</t>
  </si>
  <si>
    <t>PRD0083</t>
  </si>
  <si>
    <t>PRD0343</t>
  </si>
  <si>
    <t>PRD0438</t>
  </si>
  <si>
    <t>PRD0221</t>
  </si>
  <si>
    <t>PRD0197</t>
  </si>
  <si>
    <t>PRD0433</t>
  </si>
  <si>
    <t>Inventory_Transaction_ID</t>
  </si>
  <si>
    <t>Transaction_Date</t>
  </si>
  <si>
    <t>Transaction_Type</t>
  </si>
  <si>
    <t>Quantity</t>
  </si>
  <si>
    <t>Warehouse</t>
  </si>
  <si>
    <t>Reference_ID</t>
  </si>
  <si>
    <t>INV00001</t>
  </si>
  <si>
    <t>Opening Stock</t>
  </si>
  <si>
    <t>Raw Material Warehouse</t>
  </si>
  <si>
    <t>OPEN-RM001</t>
  </si>
  <si>
    <t>INV00002</t>
  </si>
  <si>
    <t>OPEN-RM002</t>
  </si>
  <si>
    <t>INV00003</t>
  </si>
  <si>
    <t>OPEN-RM003</t>
  </si>
  <si>
    <t>INV00004</t>
  </si>
  <si>
    <t>OPEN-RM004</t>
  </si>
  <si>
    <t>INV00005</t>
  </si>
  <si>
    <t>OPEN-RM005</t>
  </si>
  <si>
    <t>INV00006</t>
  </si>
  <si>
    <t>OPEN-RM006</t>
  </si>
  <si>
    <t>INV00007</t>
  </si>
  <si>
    <t>OPEN-RM007</t>
  </si>
  <si>
    <t>INV00008</t>
  </si>
  <si>
    <t>OPEN-RM008</t>
  </si>
  <si>
    <t>INV00009</t>
  </si>
  <si>
    <t>OPEN-RM009</t>
  </si>
  <si>
    <t>INV00010</t>
  </si>
  <si>
    <t>OPEN-RM010</t>
  </si>
  <si>
    <t>INV00011</t>
  </si>
  <si>
    <t>OPEN-RM011</t>
  </si>
  <si>
    <t>INV00012</t>
  </si>
  <si>
    <t>OPEN-RM012</t>
  </si>
  <si>
    <t>INV00013</t>
  </si>
  <si>
    <t>OPEN-RM013</t>
  </si>
  <si>
    <t>INV00014</t>
  </si>
  <si>
    <t>OPEN-RM014</t>
  </si>
  <si>
    <t>INV00015</t>
  </si>
  <si>
    <t>OPEN-RM015</t>
  </si>
  <si>
    <t>INV00016</t>
  </si>
  <si>
    <t>OPEN-RM016</t>
  </si>
  <si>
    <t>INV00017</t>
  </si>
  <si>
    <t>OPEN-RM017</t>
  </si>
  <si>
    <t>INV00018</t>
  </si>
  <si>
    <t>OPEN-RM018</t>
  </si>
  <si>
    <t>INV00019</t>
  </si>
  <si>
    <t>OPEN-RM019</t>
  </si>
  <si>
    <t>INV00020</t>
  </si>
  <si>
    <t>OPEN-RM020</t>
  </si>
  <si>
    <t>INV00021</t>
  </si>
  <si>
    <t>OPEN-RM021</t>
  </si>
  <si>
    <t>INV00022</t>
  </si>
  <si>
    <t>OPEN-RM022</t>
  </si>
  <si>
    <t>INV00023</t>
  </si>
  <si>
    <t>OPEN-RM023</t>
  </si>
  <si>
    <t>INV00024</t>
  </si>
  <si>
    <t>OPEN-RM024</t>
  </si>
  <si>
    <t>INV00025</t>
  </si>
  <si>
    <t>OPEN-RM025</t>
  </si>
  <si>
    <t>INV00026</t>
  </si>
  <si>
    <t>Production Issue</t>
  </si>
  <si>
    <t>INV00027</t>
  </si>
  <si>
    <t>INV00028</t>
  </si>
  <si>
    <t>INV00029</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</si>
  <si>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</si>
  <si>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</si>
  <si>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</si>
  <si>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</si>
  <si>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</si>
  <si>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</si>
  <si>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</si>
  <si>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</si>
  <si>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</si>
  <si>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</si>
  <si>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</si>
  <si>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</si>
  <si>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</si>
  <si>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</si>
  <si>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</si>
  <si>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</si>
  <si>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</si>
  <si>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</si>
  <si>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</si>
  <si>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</si>
  <si>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</si>
  <si>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</si>
  <si>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</si>
  <si>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</si>
  <si>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</si>
  <si>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</si>
  <si>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</si>
  <si>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</si>
  <si>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</si>
  <si>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</si>
  <si>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</si>
  <si>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</si>
  <si>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</si>
  <si>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</si>
  <si>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</si>
  <si>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</si>
  <si>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</si>
  <si>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</si>
  <si>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</si>
  <si>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</si>
  <si>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</si>
  <si>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</si>
  <si>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</si>
  <si>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</si>
  <si>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</si>
  <si>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</si>
  <si>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</si>
  <si>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</si>
  <si>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</si>
  <si>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</si>
  <si>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Purchase Receipt</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</si>
  <si>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</si>
  <si>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</si>
  <si>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</si>
  <si>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</si>
  <si>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</si>
  <si>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</si>
  <si>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</si>
  <si>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</si>
  <si>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</si>
  <si>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</si>
  <si>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</si>
  <si>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</si>
  <si>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</si>
  <si>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</si>
  <si>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</si>
  <si>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</si>
  <si>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</si>
  <si>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</si>
  <si>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</si>
  <si>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</si>
  <si>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</si>
  <si>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</si>
  <si>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</si>
  <si>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</si>
  <si>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</si>
  <si>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</si>
  <si>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</si>
  <si>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</si>
  <si>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</si>
  <si>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</si>
  <si>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</si>
  <si>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</si>
  <si>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</si>
  <si>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</si>
  <si>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</si>
  <si>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</si>
  <si>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</si>
  <si>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</si>
  <si>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</si>
  <si>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</si>
  <si>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</si>
  <si>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</si>
  <si>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</si>
  <si>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</si>
  <si>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</si>
  <si>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</si>
  <si>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</si>
  <si>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</si>
  <si>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</si>
  <si>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</si>
  <si>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</si>
  <si>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</si>
  <si>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</si>
  <si>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</si>
  <si>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</si>
  <si>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</si>
  <si>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</si>
  <si>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</si>
  <si>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</si>
  <si>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</si>
  <si>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</si>
  <si>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</si>
  <si>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</si>
  <si>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</si>
  <si>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</si>
  <si>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</si>
  <si>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</si>
  <si>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</si>
  <si>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</si>
  <si>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</si>
  <si>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</si>
  <si>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</si>
  <si>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</si>
  <si>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</si>
  <si>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</si>
  <si>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</si>
  <si>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</si>
  <si>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</si>
  <si>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</si>
  <si>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</si>
  <si>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</si>
  <si>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</si>
  <si>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</si>
  <si>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</si>
  <si>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</si>
  <si>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</si>
  <si>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</si>
  <si>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</si>
  <si>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</si>
  <si>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</si>
  <si>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</si>
  <si>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</si>
  <si>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</si>
  <si>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</si>
  <si>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</si>
  <si>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</si>
  <si>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</si>
  <si>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</si>
  <si>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</si>
  <si>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</si>
  <si>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</si>
  <si>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</si>
  <si>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</si>
  <si>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</si>
  <si>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</si>
  <si>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</si>
  <si>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</si>
  <si>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</si>
  <si>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</si>
  <si>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</si>
  <si>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</si>
  <si>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</si>
  <si>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</si>
  <si>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</si>
  <si>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</si>
  <si>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</si>
  <si>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</si>
  <si>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</si>
  <si>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</si>
  <si>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</si>
  <si>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</si>
  <si>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</si>
  <si>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</si>
  <si>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</si>
  <si>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</si>
  <si>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</si>
  <si>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</si>
  <si>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</si>
  <si>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</si>
  <si>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</si>
  <si>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</si>
  <si>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</si>
  <si>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</si>
  <si>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</si>
  <si>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</si>
  <si>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</si>
  <si>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</si>
  <si>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</si>
  <si>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</si>
  <si>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</si>
  <si>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</si>
  <si>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</si>
  <si>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</si>
  <si>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</si>
  <si>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</si>
  <si>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</si>
  <si>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</si>
  <si>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</si>
  <si>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</si>
  <si>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</si>
  <si>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</si>
  <si>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</si>
  <si>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</si>
  <si>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</si>
  <si>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</si>
  <si>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</si>
  <si>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</si>
  <si>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</si>
  <si>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</si>
  <si>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</si>
  <si>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</si>
  <si>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</si>
  <si>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</si>
  <si>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</si>
  <si>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</si>
  <si>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</si>
  <si>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</si>
  <si>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</si>
  <si>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</si>
  <si>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</si>
  <si>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</si>
  <si>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</si>
  <si>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</si>
  <si>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</si>
  <si>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</si>
  <si>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</si>
  <si>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</si>
  <si>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</si>
  <si>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</si>
  <si>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</si>
  <si>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</si>
  <si>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</si>
  <si>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</si>
  <si>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</si>
  <si>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</si>
  <si>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</si>
  <si>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</si>
  <si>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</si>
  <si>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</si>
  <si>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</si>
  <si>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</si>
  <si>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</si>
  <si>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</si>
  <si>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</si>
  <si>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</si>
  <si>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</si>
  <si>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</si>
  <si>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</si>
  <si>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</si>
  <si>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</si>
  <si>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</si>
  <si>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</si>
  <si>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</si>
  <si>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</si>
  <si>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</si>
  <si>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</si>
  <si>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</si>
  <si>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</si>
  <si>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</si>
  <si>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</si>
  <si>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</si>
  <si>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</si>
  <si>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</si>
  <si>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</si>
  <si>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</si>
  <si>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</si>
  <si>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</si>
  <si>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</si>
  <si>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</si>
  <si>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</si>
  <si>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</si>
  <si>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</si>
  <si>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</si>
  <si>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</si>
  <si>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</si>
  <si>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</si>
  <si>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</si>
  <si>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</si>
  <si>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</si>
  <si>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</si>
  <si>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</si>
  <si>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</si>
  <si>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</si>
  <si>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</si>
  <si>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</si>
  <si>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</si>
  <si>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</si>
  <si>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</si>
  <si>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</si>
  <si>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</si>
  <si>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</si>
  <si>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</si>
  <si>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</si>
  <si>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</si>
  <si>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</si>
  <si>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</si>
  <si>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</si>
  <si>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</si>
  <si>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</si>
  <si>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</si>
  <si>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</si>
  <si>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</si>
  <si>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</si>
  <si>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</si>
  <si>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</si>
  <si>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</si>
  <si>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</si>
  <si>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</si>
  <si>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</si>
  <si>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</si>
  <si>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</si>
  <si>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</si>
  <si>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</si>
  <si>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</si>
  <si>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</si>
  <si>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</si>
  <si>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</si>
  <si>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</si>
  <si>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</si>
  <si>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</si>
  <si>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</si>
  <si>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</si>
  <si>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</si>
  <si>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</si>
  <si>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</si>
  <si>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</si>
  <si>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</si>
  <si>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</si>
  <si>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</si>
  <si>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</si>
  <si>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</si>
  <si>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</si>
  <si>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</si>
  <si>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</si>
  <si>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</si>
  <si>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</si>
  <si>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</si>
  <si>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</si>
  <si>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</si>
  <si>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</si>
  <si>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</si>
  <si>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</si>
  <si>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</si>
  <si>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</si>
  <si>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</si>
  <si>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</si>
  <si>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</si>
  <si>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</si>
  <si>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</si>
  <si>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</si>
  <si>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</si>
  <si>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</si>
  <si>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</si>
  <si>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</si>
  <si>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</si>
  <si>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</si>
  <si>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</si>
  <si>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</si>
  <si>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</si>
  <si>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</si>
  <si>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</si>
  <si>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</si>
  <si>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</si>
  <si>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</si>
  <si>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</si>
  <si>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</si>
  <si>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</si>
  <si>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</si>
  <si>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</si>
  <si>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</si>
  <si>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</si>
  <si>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</si>
  <si>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</si>
  <si>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</si>
  <si>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</si>
  <si>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</si>
  <si>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</si>
  <si>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</si>
  <si>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</si>
  <si>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</si>
  <si>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</si>
  <si>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</si>
  <si>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</si>
  <si>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</si>
  <si>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</si>
  <si>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</si>
  <si>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</si>
  <si>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</si>
  <si>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</si>
  <si>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</si>
  <si>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</si>
  <si>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</si>
  <si>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</si>
  <si>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</si>
  <si>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</si>
  <si>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</si>
  <si>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</si>
  <si>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</si>
  <si>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</si>
  <si>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</si>
  <si>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</si>
  <si>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</si>
  <si>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</si>
  <si>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</si>
  <si>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</si>
  <si>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</si>
  <si>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</si>
  <si>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</si>
  <si>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</si>
  <si>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</si>
  <si>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</si>
  <si>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</si>
  <si>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</si>
  <si>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</si>
  <si>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</si>
  <si>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</si>
  <si>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</si>
  <si>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</si>
  <si>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</si>
  <si>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</si>
  <si>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</si>
  <si>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</si>
  <si>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</si>
  <si>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</si>
  <si>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</si>
  <si>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</si>
  <si>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</si>
  <si>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</si>
  <si>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</si>
  <si>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</si>
  <si>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</si>
  <si>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</si>
  <si>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</si>
  <si>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</si>
  <si>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</si>
  <si>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</si>
  <si>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</si>
  <si>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</si>
  <si>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</si>
  <si>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</si>
  <si>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</si>
  <si>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</si>
  <si>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</si>
  <si>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</si>
  <si>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</si>
  <si>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</si>
  <si>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</si>
  <si>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</si>
  <si>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</si>
  <si>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</si>
  <si>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</si>
  <si>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</si>
  <si>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</si>
  <si>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</si>
  <si>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</si>
  <si>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</si>
  <si>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</si>
  <si>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</si>
  <si>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</si>
  <si>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</si>
  <si>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</si>
  <si>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</si>
  <si>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</si>
  <si>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</si>
  <si>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</si>
  <si>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</si>
  <si>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</si>
  <si>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</si>
  <si>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</si>
  <si>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</si>
  <si>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</si>
  <si>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</si>
  <si>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</si>
  <si>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INV00503</t>
  </si>
  <si>
    <t>INV00504</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</si>
  <si>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</si>
  <si>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</si>
  <si>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</si>
  <si>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</si>
  <si>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</si>
  <si>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</si>
  <si>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</si>
  <si>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</si>
  <si>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</si>
  <si>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</si>
  <si>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</si>
  <si>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</si>
  <si>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</si>
  <si>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</si>
  <si>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</si>
  <si>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</si>
  <si>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</si>
  <si>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</si>
  <si>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</si>
  <si>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</si>
  <si>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</si>
  <si>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INV00526</t>
  </si>
  <si>
    <t>INV00527</t>
  </si>
  <si>
    <t>INV00528</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</si>
  <si>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</si>
  <si>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</si>
  <si>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</si>
  <si>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</si>
  <si>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</si>
  <si>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</si>
  <si>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</si>
  <si>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</si>
  <si>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</si>
  <si>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</si>
  <si>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</si>
  <si>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</si>
  <si>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</si>
  <si>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</si>
  <si>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</si>
  <si>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</si>
  <si>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</si>
  <si>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</si>
  <si>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</si>
  <si>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</si>
  <si>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</si>
  <si>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</si>
  <si>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INV00551</t>
  </si>
  <si>
    <t>INV00552</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</si>
  <si>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</si>
  <si>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</si>
  <si>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</si>
  <si>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</si>
  <si>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</si>
  <si>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</si>
  <si>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</si>
  <si>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</si>
  <si>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</si>
  <si>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</si>
  <si>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</si>
  <si>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</si>
  <si>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</si>
  <si>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</si>
  <si>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</si>
  <si>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</si>
  <si>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</si>
  <si>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</si>
  <si>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</si>
  <si>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</si>
  <si>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</si>
  <si>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</si>
  <si>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INV00575</t>
  </si>
  <si>
    <t>INV00576</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</si>
  <si>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</si>
  <si>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</si>
  <si>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</si>
  <si>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</si>
  <si>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</si>
  <si>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</si>
  <si>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</si>
  <si>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</si>
  <si>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</si>
  <si>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</si>
  <si>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</si>
  <si>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</si>
  <si>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</si>
  <si>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</si>
  <si>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</si>
  <si>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</si>
  <si>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</si>
  <si>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</si>
  <si>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</si>
  <si>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</si>
  <si>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</si>
  <si>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INV00598</t>
  </si>
  <si>
    <t>INV00599</t>
  </si>
  <si>
    <t>INV00600</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</si>
  <si>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</si>
  <si>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</si>
  <si>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</si>
  <si>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</si>
  <si>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</si>
  <si>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</si>
  <si>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</si>
  <si>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</si>
  <si>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</si>
  <si>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</si>
  <si>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</si>
  <si>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</si>
  <si>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</si>
  <si>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</si>
  <si>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</si>
  <si>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</si>
  <si>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</si>
  <si>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</si>
  <si>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</si>
  <si>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</si>
  <si>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</si>
  <si>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INV00622</t>
  </si>
  <si>
    <t>INV00623</t>
  </si>
  <si>
    <t>INV00624</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</si>
  <si>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</si>
  <si>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</si>
  <si>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</si>
  <si>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</si>
  <si>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</si>
  <si>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</si>
  <si>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</si>
  <si>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</si>
  <si>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</si>
  <si>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</si>
  <si>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</si>
  <si>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</si>
  <si>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</si>
  <si>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</si>
  <si>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</si>
  <si>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</si>
  <si>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</si>
  <si>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</si>
  <si>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</si>
  <si>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</si>
  <si>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</si>
  <si>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INV00646</t>
  </si>
  <si>
    <t>INV00647</t>
  </si>
  <si>
    <t>INV00648</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</si>
  <si>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</si>
  <si>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</si>
  <si>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</si>
  <si>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</si>
  <si>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</si>
  <si>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</si>
  <si>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</si>
  <si>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</si>
  <si>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</si>
  <si>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</si>
  <si>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</si>
  <si>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</si>
  <si>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</si>
  <si>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</si>
  <si>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</si>
  <si>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</si>
  <si>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</si>
  <si>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</si>
  <si>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</si>
  <si>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</si>
  <si>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</si>
  <si>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INV00670</t>
  </si>
  <si>
    <t>INV00671</t>
  </si>
  <si>
    <t>INV00672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</si>
  <si>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</si>
  <si>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</si>
  <si>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</si>
  <si>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</si>
  <si>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</si>
  <si>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</si>
  <si>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</si>
  <si>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</si>
  <si>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</si>
  <si>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</si>
  <si>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</si>
  <si>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</si>
  <si>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</si>
  <si>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</si>
  <si>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</si>
  <si>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</si>
  <si>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</si>
  <si>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</si>
  <si>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</si>
  <si>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</si>
  <si>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</si>
  <si>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</si>
  <si>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</si>
  <si>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INV00696</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</si>
  <si>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</si>
  <si>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</si>
  <si>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</si>
  <si>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</si>
  <si>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</si>
  <si>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</si>
  <si>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</si>
  <si>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</si>
  <si>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</si>
  <si>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</si>
  <si>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</si>
  <si>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</si>
  <si>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</si>
  <si>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</si>
  <si>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</si>
  <si>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</si>
  <si>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</si>
  <si>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</si>
  <si>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</si>
  <si>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</si>
  <si>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INV00717</t>
  </si>
  <si>
    <t>INV00718</t>
  </si>
  <si>
    <t>INV00719</t>
  </si>
  <si>
    <t>INV00720</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</si>
  <si>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</si>
  <si>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</si>
  <si>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</si>
  <si>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</si>
  <si>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</si>
  <si>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</si>
  <si>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</si>
  <si>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</si>
  <si>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</si>
  <si>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</si>
  <si>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</si>
  <si>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</si>
  <si>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</si>
  <si>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</si>
  <si>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</si>
  <si>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</si>
  <si>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</si>
  <si>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</si>
  <si>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</si>
  <si>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</si>
  <si>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</si>
  <si>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</si>
  <si>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INV00743</t>
  </si>
  <si>
    <t>INV00744</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</si>
  <si>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</si>
  <si>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</si>
  <si>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</si>
  <si>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</si>
  <si>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</si>
  <si>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</si>
  <si>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</si>
  <si>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</si>
  <si>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</si>
  <si>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</si>
  <si>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</si>
  <si>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</si>
  <si>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</si>
  <si>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</si>
  <si>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</si>
  <si>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</si>
  <si>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</si>
  <si>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</si>
  <si>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</si>
  <si>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</si>
  <si>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</si>
  <si>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</si>
  <si>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INV00767</t>
  </si>
  <si>
    <t>INV00768</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</si>
  <si>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</si>
  <si>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</si>
  <si>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</si>
  <si>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</si>
  <si>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</si>
  <si>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</si>
  <si>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</si>
  <si>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</si>
  <si>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</si>
  <si>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</si>
  <si>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</si>
  <si>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</si>
  <si>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</si>
  <si>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</si>
  <si>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</si>
  <si>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</si>
  <si>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</si>
  <si>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</si>
  <si>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</si>
  <si>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</si>
  <si>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INV00789</t>
  </si>
  <si>
    <t>INV00790</t>
  </si>
  <si>
    <t>INV00791</t>
  </si>
  <si>
    <t>INV00792</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</si>
  <si>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</si>
  <si>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</si>
  <si>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</si>
  <si>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</si>
  <si>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</si>
  <si>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</si>
  <si>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</si>
  <si>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</si>
  <si>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</si>
  <si>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</si>
  <si>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</si>
  <si>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</si>
  <si>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</si>
  <si>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</si>
  <si>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</si>
  <si>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</si>
  <si>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</si>
  <si>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</si>
  <si>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</si>
  <si>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</si>
  <si>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</si>
  <si>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</si>
  <si>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INV00815</t>
  </si>
  <si>
    <t>INV00816</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</si>
  <si>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</si>
  <si>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</si>
  <si>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</si>
  <si>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</si>
  <si>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</si>
  <si>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</si>
  <si>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</si>
  <si>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</si>
  <si>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</si>
  <si>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</si>
  <si>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</si>
  <si>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</si>
  <si>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</si>
  <si>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</si>
  <si>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</si>
  <si>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</si>
  <si>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</si>
  <si>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</si>
  <si>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</si>
  <si>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</si>
  <si>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</si>
  <si>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</si>
  <si>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</si>
  <si>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INV00840</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</si>
  <si>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</si>
  <si>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</si>
  <si>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</si>
  <si>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</si>
  <si>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</si>
  <si>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</si>
  <si>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</si>
  <si>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</si>
  <si>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</si>
  <si>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</si>
  <si>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</si>
  <si>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</si>
  <si>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</si>
  <si>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</si>
  <si>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</si>
  <si>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</si>
  <si>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</si>
  <si>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</si>
  <si>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</si>
  <si>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</si>
  <si>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</si>
  <si>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INV00862</t>
  </si>
  <si>
    <t>INV00863</t>
  </si>
  <si>
    <t>INV00864</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</si>
  <si>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</si>
  <si>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</si>
  <si>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</si>
  <si>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</si>
  <si>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</si>
  <si>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</si>
  <si>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</si>
  <si>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</si>
  <si>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</si>
  <si>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</si>
  <si>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</si>
  <si>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</si>
  <si>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</si>
  <si>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</si>
  <si>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</si>
  <si>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</si>
  <si>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</si>
  <si>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</si>
  <si>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</si>
  <si>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</si>
  <si>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</si>
  <si>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</si>
  <si>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INV00887</t>
  </si>
  <si>
    <t>INV00888</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</si>
  <si>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</si>
  <si>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</si>
  <si>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</si>
  <si>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</si>
  <si>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</si>
  <si>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</si>
  <si>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</si>
  <si>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</si>
  <si>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</si>
  <si>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</si>
  <si>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</si>
  <si>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</si>
  <si>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</si>
  <si>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</si>
  <si>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</si>
  <si>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</si>
  <si>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</si>
  <si>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</si>
  <si>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</si>
  <si>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</si>
  <si>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</si>
  <si>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INV00910</t>
  </si>
  <si>
    <t>INV00911</t>
  </si>
  <si>
    <t>INV00912</t>
  </si>
  <si>
    <t>INV00913</t>
  </si>
  <si>
    <t>INV00914</t>
  </si>
  <si>
    <t>INV00915</t>
  </si>
  <si>
    <t>INV00916</t>
  </si>
  <si>
    <t>INV00917</t>
  </si>
  <si>
    <t>INV00918</t>
  </si>
  <si>
    <t>INV00919</t>
  </si>
  <si>
    <t>INV00920</t>
  </si>
  <si>
    <t>INV00921</t>
  </si>
  <si>
    <t>INV00922</t>
  </si>
  <si>
    <t>INV00923</t>
  </si>
  <si>
    <t>INV00924</t>
  </si>
  <si>
    <t>INV00925</t>
  </si>
  <si>
    <t>INV00926</t>
  </si>
  <si>
    <t>INV00927</t>
  </si>
  <si>
    <t>INV00928</t>
  </si>
  <si>
    <t>INV00929</t>
  </si>
  <si>
    <t>INV00930</t>
  </si>
  <si>
    <t>INV00931</t>
  </si>
  <si>
    <t>INV00932</t>
  </si>
  <si>
    <t>INV00933</t>
  </si>
  <si>
    <t>INV00934</t>
  </si>
  <si>
    <t>INV00935</t>
  </si>
  <si>
    <t>INV00936</t>
  </si>
  <si>
    <t>INV00937</t>
  </si>
  <si>
    <t>INV00938</t>
  </si>
  <si>
    <t>INV00939</t>
  </si>
  <si>
    <t>INV00940</t>
  </si>
  <si>
    <t>INV00941</t>
  </si>
  <si>
    <t>INV00942</t>
  </si>
  <si>
    <t>INV00943</t>
  </si>
  <si>
    <t>INV00944</t>
  </si>
  <si>
    <t>INV00945</t>
  </si>
  <si>
    <t>INV00946</t>
  </si>
  <si>
    <t>INV00947</t>
  </si>
  <si>
    <t>INV00948</t>
  </si>
  <si>
    <t>INV00949</t>
  </si>
  <si>
    <t>INV00950</t>
  </si>
  <si>
    <t>INV00951</t>
  </si>
  <si>
    <t>INV00952</t>
  </si>
  <si>
    <t>INV00953</t>
  </si>
  <si>
    <t>INV00954</t>
  </si>
  <si>
    <t>INV00955</t>
  </si>
  <si>
    <t>INV00956</t>
  </si>
  <si>
    <t>INV00957</t>
  </si>
  <si>
    <t>INV00958</t>
  </si>
  <si>
    <t>INV00959</t>
  </si>
  <si>
    <t>INV00960</t>
  </si>
  <si>
    <t>INV00961</t>
  </si>
  <si>
    <t>INV00962</t>
  </si>
  <si>
    <t>INV00963</t>
  </si>
  <si>
    <t>INV00964</t>
  </si>
  <si>
    <t>INV00965</t>
  </si>
  <si>
    <t>INV00966</t>
  </si>
  <si>
    <t>INV00967</t>
  </si>
  <si>
    <t>INV00968</t>
  </si>
  <si>
    <t>INV00969</t>
  </si>
  <si>
    <t>INV00970</t>
  </si>
  <si>
    <t>INV00971</t>
  </si>
  <si>
    <t>INV00972</t>
  </si>
  <si>
    <t>INV00973</t>
  </si>
  <si>
    <t>INV00974</t>
  </si>
  <si>
    <t>INV00975</t>
  </si>
  <si>
    <t>INV00976</t>
  </si>
  <si>
    <t>INV00977</t>
  </si>
  <si>
    <t>INV00978</t>
  </si>
  <si>
    <t>INV00979</t>
  </si>
  <si>
    <t>INV00980</t>
  </si>
  <si>
    <t>INV00981</t>
  </si>
  <si>
    <t>INV00982</t>
  </si>
  <si>
    <t>INV00983</t>
  </si>
  <si>
    <t>INV00984</t>
  </si>
  <si>
    <t>INV00985</t>
  </si>
  <si>
    <t>INV00986</t>
  </si>
  <si>
    <t>INV00987</t>
  </si>
  <si>
    <t>INV00988</t>
  </si>
  <si>
    <t>INV00989</t>
  </si>
  <si>
    <t>INV00990</t>
  </si>
  <si>
    <t>INV00991</t>
  </si>
  <si>
    <t>INV00992</t>
  </si>
  <si>
    <t>INV00993</t>
  </si>
  <si>
    <t>INV00994</t>
  </si>
  <si>
    <t>INV00995</t>
  </si>
  <si>
    <t>INV00996</t>
  </si>
  <si>
    <t>INV00997</t>
  </si>
  <si>
    <t>INV00998</t>
  </si>
  <si>
    <t>INV00999</t>
  </si>
  <si>
    <t>INV01000</t>
  </si>
  <si>
    <t>INV01001</t>
  </si>
  <si>
    <t>INV01002</t>
  </si>
  <si>
    <t>INV01003</t>
  </si>
  <si>
    <t>INV01004</t>
  </si>
  <si>
    <t>INV01005</t>
  </si>
  <si>
    <t>INV01006</t>
  </si>
  <si>
    <t>INV01007</t>
  </si>
  <si>
    <t>INV01008</t>
  </si>
  <si>
    <t>INV01009</t>
  </si>
  <si>
    <t>INV01010</t>
  </si>
  <si>
    <t>INV01011</t>
  </si>
  <si>
    <t>INV01012</t>
  </si>
  <si>
    <t>INV01013</t>
  </si>
  <si>
    <t>INV01014</t>
  </si>
  <si>
    <t>INV01015</t>
  </si>
  <si>
    <t>INV01016</t>
  </si>
  <si>
    <t>INV01017</t>
  </si>
  <si>
    <t>INV01018</t>
  </si>
  <si>
    <t>INV01019</t>
  </si>
  <si>
    <t>INV01020</t>
  </si>
  <si>
    <t>INV01021</t>
  </si>
  <si>
    <t>INV01022</t>
  </si>
  <si>
    <t>INV01023</t>
  </si>
  <si>
    <t>INV01024</t>
  </si>
  <si>
    <t>INV01025</t>
  </si>
  <si>
    <t>INV01026</t>
  </si>
  <si>
    <t>INV01027</t>
  </si>
  <si>
    <t>INV01028</t>
  </si>
  <si>
    <t>INV01029</t>
  </si>
  <si>
    <t>INV01030</t>
  </si>
  <si>
    <t>INV01031</t>
  </si>
  <si>
    <t>INV01032</t>
  </si>
  <si>
    <t>INV01033</t>
  </si>
  <si>
    <t>INV01034</t>
  </si>
  <si>
    <t>INV01035</t>
  </si>
  <si>
    <t>INV01036</t>
  </si>
  <si>
    <t>INV01037</t>
  </si>
  <si>
    <t>INV01038</t>
  </si>
  <si>
    <t>INV01039</t>
  </si>
  <si>
    <t>INV01040</t>
  </si>
  <si>
    <t>INV01041</t>
  </si>
  <si>
    <t>INV01042</t>
  </si>
  <si>
    <t>INV01043</t>
  </si>
  <si>
    <t>INV01044</t>
  </si>
  <si>
    <t>INV01045</t>
  </si>
  <si>
    <t>INV01046</t>
  </si>
  <si>
    <t>INV01047</t>
  </si>
  <si>
    <t>INV01048</t>
  </si>
  <si>
    <t>INV01049</t>
  </si>
  <si>
    <t>INV01050</t>
  </si>
  <si>
    <t>INV01051</t>
  </si>
  <si>
    <t>INV01052</t>
  </si>
  <si>
    <t>INV01053</t>
  </si>
  <si>
    <t>INV01054</t>
  </si>
  <si>
    <t>INV01055</t>
  </si>
  <si>
    <t>INV01056</t>
  </si>
  <si>
    <t>INV01057</t>
  </si>
  <si>
    <t>INV01058</t>
  </si>
  <si>
    <t>INV01059</t>
  </si>
  <si>
    <t>INV01060</t>
  </si>
  <si>
    <t>INV01061</t>
  </si>
  <si>
    <t>INV01062</t>
  </si>
  <si>
    <t>INV01063</t>
  </si>
  <si>
    <t>INV01064</t>
  </si>
  <si>
    <t>INV01065</t>
  </si>
  <si>
    <t>INV01066</t>
  </si>
  <si>
    <t>INV01067</t>
  </si>
  <si>
    <t>INV01068</t>
  </si>
  <si>
    <t>INV01069</t>
  </si>
  <si>
    <t>INV01070</t>
  </si>
  <si>
    <t>INV01071</t>
  </si>
  <si>
    <t>INV01072</t>
  </si>
  <si>
    <t>INV01073</t>
  </si>
  <si>
    <t>INV01074</t>
  </si>
  <si>
    <t>INV01075</t>
  </si>
  <si>
    <t>INV01076</t>
  </si>
  <si>
    <t>INV01077</t>
  </si>
  <si>
    <t>INV01078</t>
  </si>
  <si>
    <t>INV01079</t>
  </si>
  <si>
    <t>INV01080</t>
  </si>
  <si>
    <t>INV01081</t>
  </si>
  <si>
    <t>INV01082</t>
  </si>
  <si>
    <t>INV01083</t>
  </si>
  <si>
    <t>INV01084</t>
  </si>
  <si>
    <t>INV01085</t>
  </si>
  <si>
    <t>INV01086</t>
  </si>
  <si>
    <t>INV01087</t>
  </si>
  <si>
    <t>INV01088</t>
  </si>
  <si>
    <t>INV01089</t>
  </si>
  <si>
    <t>INV01090</t>
  </si>
  <si>
    <t>INV01091</t>
  </si>
  <si>
    <t>INV01092</t>
  </si>
  <si>
    <t>INV01093</t>
  </si>
  <si>
    <t>INV01094</t>
  </si>
  <si>
    <t>INV01095</t>
  </si>
  <si>
    <t>INV01096</t>
  </si>
  <si>
    <t>INV01097</t>
  </si>
  <si>
    <t>INV01098</t>
  </si>
  <si>
    <t>INV01099</t>
  </si>
  <si>
    <t>INV01100</t>
  </si>
  <si>
    <t>INV01101</t>
  </si>
  <si>
    <t>INV01102</t>
  </si>
  <si>
    <t>INV01103</t>
  </si>
  <si>
    <t>INV01104</t>
  </si>
  <si>
    <t>INV01105</t>
  </si>
  <si>
    <t>INV01106</t>
  </si>
  <si>
    <t>INV01107</t>
  </si>
  <si>
    <t>INV01108</t>
  </si>
  <si>
    <t>INV01109</t>
  </si>
  <si>
    <t>INV01110</t>
  </si>
  <si>
    <t>INV01111</t>
  </si>
  <si>
    <t>INV01112</t>
  </si>
  <si>
    <t>INV01113</t>
  </si>
  <si>
    <t>INV01114</t>
  </si>
  <si>
    <t>INV01115</t>
  </si>
  <si>
    <t>INV01116</t>
  </si>
  <si>
    <t>INV01117</t>
  </si>
  <si>
    <t>INV01118</t>
  </si>
  <si>
    <t>INV01119</t>
  </si>
  <si>
    <t>INV01120</t>
  </si>
  <si>
    <t>INV01121</t>
  </si>
  <si>
    <t>INV01122</t>
  </si>
  <si>
    <t>INV01123</t>
  </si>
  <si>
    <t>INV01124</t>
  </si>
  <si>
    <t>INV01125</t>
  </si>
  <si>
    <t>INV01126</t>
  </si>
  <si>
    <t>INV01127</t>
  </si>
  <si>
    <t>INV01128</t>
  </si>
  <si>
    <t>INV01129</t>
  </si>
  <si>
    <t>INV01130</t>
  </si>
  <si>
    <t>INV01131</t>
  </si>
  <si>
    <t>INV01132</t>
  </si>
  <si>
    <t>INV01133</t>
  </si>
  <si>
    <t>INV01134</t>
  </si>
  <si>
    <t>INV01135</t>
  </si>
  <si>
    <t>INV01136</t>
  </si>
  <si>
    <t>INV01137</t>
  </si>
  <si>
    <t>INV01138</t>
  </si>
  <si>
    <t>INV01139</t>
  </si>
  <si>
    <t>INV01140</t>
  </si>
  <si>
    <t>INV01141</t>
  </si>
  <si>
    <t>INV01142</t>
  </si>
  <si>
    <t>INV01143</t>
  </si>
  <si>
    <t>INV01144</t>
  </si>
  <si>
    <t>INV01145</t>
  </si>
  <si>
    <t>INV01146</t>
  </si>
  <si>
    <t>INV01147</t>
  </si>
  <si>
    <t>INV01148</t>
  </si>
  <si>
    <t>INV01149</t>
  </si>
  <si>
    <t>INV01150</t>
  </si>
  <si>
    <t>INV01151</t>
  </si>
  <si>
    <t>INV01152</t>
  </si>
  <si>
    <t>INV01153</t>
  </si>
  <si>
    <t>INV01154</t>
  </si>
  <si>
    <t>INV01155</t>
  </si>
  <si>
    <t>INV01156</t>
  </si>
  <si>
    <t>INV01157</t>
  </si>
  <si>
    <t>INV01158</t>
  </si>
  <si>
    <t>INV01159</t>
  </si>
  <si>
    <t>INV01160</t>
  </si>
  <si>
    <t>INV01161</t>
  </si>
  <si>
    <t>INV01162</t>
  </si>
  <si>
    <t>INV01163</t>
  </si>
  <si>
    <t>INV01164</t>
  </si>
  <si>
    <t>INV01165</t>
  </si>
  <si>
    <t>INV01166</t>
  </si>
  <si>
    <t>INV01167</t>
  </si>
  <si>
    <t>INV01168</t>
  </si>
  <si>
    <t>INV01169</t>
  </si>
  <si>
    <t>INV01170</t>
  </si>
  <si>
    <t>INV01171</t>
  </si>
  <si>
    <t>INV01172</t>
  </si>
  <si>
    <t>INV01173</t>
  </si>
  <si>
    <t>INV01174</t>
  </si>
  <si>
    <t>INV01175</t>
  </si>
  <si>
    <t>INV01176</t>
  </si>
  <si>
    <t>INV01177</t>
  </si>
  <si>
    <t>INV01178</t>
  </si>
  <si>
    <t>INV01179</t>
  </si>
  <si>
    <t>INV01180</t>
  </si>
  <si>
    <t>INV01181</t>
  </si>
  <si>
    <t>INV01182</t>
  </si>
  <si>
    <t>INV01183</t>
  </si>
  <si>
    <t>INV01184</t>
  </si>
  <si>
    <t>INV01185</t>
  </si>
  <si>
    <t>INV01186</t>
  </si>
  <si>
    <t>INV01187</t>
  </si>
  <si>
    <t>INV01188</t>
  </si>
  <si>
    <t>INV01189</t>
  </si>
  <si>
    <t>INV01190</t>
  </si>
  <si>
    <t>INV01191</t>
  </si>
  <si>
    <t>INV01192</t>
  </si>
  <si>
    <t>INV01193</t>
  </si>
  <si>
    <t>INV01194</t>
  </si>
  <si>
    <t>INV01195</t>
  </si>
  <si>
    <t>INV01196</t>
  </si>
  <si>
    <t>INV01197</t>
  </si>
  <si>
    <t>INV01198</t>
  </si>
  <si>
    <t>INV01199</t>
  </si>
  <si>
    <t>INV01200</t>
  </si>
  <si>
    <t>INV01201</t>
  </si>
  <si>
    <t>INV01202</t>
  </si>
  <si>
    <t>INV01203</t>
  </si>
  <si>
    <t>INV01204</t>
  </si>
  <si>
    <t>INV01205</t>
  </si>
  <si>
    <t>INV01206</t>
  </si>
  <si>
    <t>INV01207</t>
  </si>
  <si>
    <t>INV01208</t>
  </si>
  <si>
    <t>INV01209</t>
  </si>
  <si>
    <t>INV01210</t>
  </si>
  <si>
    <t>INV01211</t>
  </si>
  <si>
    <t>INV01212</t>
  </si>
  <si>
    <t>INV01213</t>
  </si>
  <si>
    <t>INV01214</t>
  </si>
  <si>
    <t>INV01215</t>
  </si>
  <si>
    <t>INV01216</t>
  </si>
  <si>
    <t>INV01217</t>
  </si>
  <si>
    <t>INV01218</t>
  </si>
  <si>
    <t>INV01219</t>
  </si>
  <si>
    <t>INV01220</t>
  </si>
  <si>
    <t>INV01221</t>
  </si>
  <si>
    <t>INV01222</t>
  </si>
  <si>
    <t>INV01223</t>
  </si>
  <si>
    <t>INV01224</t>
  </si>
  <si>
    <t>INV01225</t>
  </si>
  <si>
    <t>INV01226</t>
  </si>
  <si>
    <t>INV01227</t>
  </si>
  <si>
    <t>INV01228</t>
  </si>
  <si>
    <t>INV01229</t>
  </si>
  <si>
    <t>INV01230</t>
  </si>
  <si>
    <t>INV01231</t>
  </si>
  <si>
    <t>INV01232</t>
  </si>
  <si>
    <t>INV01233</t>
  </si>
  <si>
    <t>INV01234</t>
  </si>
  <si>
    <t>INV01235</t>
  </si>
  <si>
    <t>INV01236</t>
  </si>
  <si>
    <t>INV01237</t>
  </si>
  <si>
    <t>INV01238</t>
  </si>
  <si>
    <t>INV01239</t>
  </si>
  <si>
    <t>INV01240</t>
  </si>
  <si>
    <t>INV01241</t>
  </si>
  <si>
    <t>INV01242</t>
  </si>
  <si>
    <t>INV01243</t>
  </si>
  <si>
    <t>INV01244</t>
  </si>
  <si>
    <t>INV01245</t>
  </si>
  <si>
    <t>INV01246</t>
  </si>
  <si>
    <t>INV01247</t>
  </si>
  <si>
    <t>INV01248</t>
  </si>
  <si>
    <t>INV01249</t>
  </si>
  <si>
    <t>INV01250</t>
  </si>
  <si>
    <t>INV01251</t>
  </si>
  <si>
    <t>INV01252</t>
  </si>
  <si>
    <t>INV01253</t>
  </si>
  <si>
    <t>INV01254</t>
  </si>
  <si>
    <t>INV01255</t>
  </si>
  <si>
    <t>INV01256</t>
  </si>
  <si>
    <t>INV01257</t>
  </si>
  <si>
    <t>INV01258</t>
  </si>
  <si>
    <t>INV01259</t>
  </si>
  <si>
    <t>INV01260</t>
  </si>
  <si>
    <t>INV01261</t>
  </si>
  <si>
    <t>INV01262</t>
  </si>
  <si>
    <t>INV01263</t>
  </si>
  <si>
    <t>INV01264</t>
  </si>
  <si>
    <t>INV01265</t>
  </si>
  <si>
    <t>INV01266</t>
  </si>
  <si>
    <t>INV01267</t>
  </si>
  <si>
    <t>INV01268</t>
  </si>
  <si>
    <t>INV01269</t>
  </si>
  <si>
    <t>INV01270</t>
  </si>
  <si>
    <t>INV01271</t>
  </si>
  <si>
    <t>INV01272</t>
  </si>
  <si>
    <t>INV01273</t>
  </si>
  <si>
    <t>INV01274</t>
  </si>
  <si>
    <t>INV01275</t>
  </si>
  <si>
    <t>INV01276</t>
  </si>
  <si>
    <t>INV01277</t>
  </si>
  <si>
    <t>INV01278</t>
  </si>
  <si>
    <t>INV01279</t>
  </si>
  <si>
    <t>INV01280</t>
  </si>
  <si>
    <t>INV01281</t>
  </si>
  <si>
    <t>INV01282</t>
  </si>
  <si>
    <t>INV01283</t>
  </si>
  <si>
    <t>INV01284</t>
  </si>
  <si>
    <t>INV01285</t>
  </si>
  <si>
    <t>INV01286</t>
  </si>
  <si>
    <t>INV01287</t>
  </si>
  <si>
    <t>INV01288</t>
  </si>
  <si>
    <t>INV01289</t>
  </si>
  <si>
    <t>INV01290</t>
  </si>
  <si>
    <t>INV01291</t>
  </si>
  <si>
    <t>INV01292</t>
  </si>
  <si>
    <t>INV01293</t>
  </si>
  <si>
    <t>INV01294</t>
  </si>
  <si>
    <t>INV01295</t>
  </si>
  <si>
    <t>INV01296</t>
  </si>
  <si>
    <t>INV01297</t>
  </si>
  <si>
    <t>INV01298</t>
  </si>
  <si>
    <t>INV01299</t>
  </si>
  <si>
    <t>INV01300</t>
  </si>
  <si>
    <t>INV01301</t>
  </si>
  <si>
    <t>INV01302</t>
  </si>
  <si>
    <t>INV01303</t>
  </si>
  <si>
    <t>INV01304</t>
  </si>
  <si>
    <t>INV01305</t>
  </si>
  <si>
    <t>INV01306</t>
  </si>
  <si>
    <t>INV01307</t>
  </si>
  <si>
    <t>INV01308</t>
  </si>
  <si>
    <t>INV01309</t>
  </si>
  <si>
    <t>INV01310</t>
  </si>
  <si>
    <t>INV01311</t>
  </si>
  <si>
    <t>INV01312</t>
  </si>
  <si>
    <t>INV01313</t>
  </si>
  <si>
    <t>INV01314</t>
  </si>
  <si>
    <t>INV01315</t>
  </si>
  <si>
    <t>INV01316</t>
  </si>
  <si>
    <t>INV01317</t>
  </si>
  <si>
    <t>INV01318</t>
  </si>
  <si>
    <t>INV01319</t>
  </si>
  <si>
    <t>INV01320</t>
  </si>
  <si>
    <t>INV01321</t>
  </si>
  <si>
    <t>INV01322</t>
  </si>
  <si>
    <t>INV01323</t>
  </si>
  <si>
    <t>INV01324</t>
  </si>
  <si>
    <t>INV01325</t>
  </si>
  <si>
    <t>INV01326</t>
  </si>
  <si>
    <t>INV01327</t>
  </si>
  <si>
    <t>INV01328</t>
  </si>
  <si>
    <t>INV01329</t>
  </si>
  <si>
    <t>INV01330</t>
  </si>
  <si>
    <t>INV01331</t>
  </si>
  <si>
    <t>INV01332</t>
  </si>
  <si>
    <t>INV01333</t>
  </si>
  <si>
    <t>INV01334</t>
  </si>
  <si>
    <t>INV01335</t>
  </si>
  <si>
    <t>INV01336</t>
  </si>
  <si>
    <t>INV01337</t>
  </si>
  <si>
    <t>INV01338</t>
  </si>
  <si>
    <t>INV01339</t>
  </si>
  <si>
    <t>INV01340</t>
  </si>
  <si>
    <t>INV01341</t>
  </si>
  <si>
    <t>INV01342</t>
  </si>
  <si>
    <t>INV01343</t>
  </si>
  <si>
    <t>INV01344</t>
  </si>
  <si>
    <t>INV01345</t>
  </si>
  <si>
    <t>INV01346</t>
  </si>
  <si>
    <t>INV01347</t>
  </si>
  <si>
    <t>INV01348</t>
  </si>
  <si>
    <t>INV01349</t>
  </si>
  <si>
    <t>INV01350</t>
  </si>
  <si>
    <t>INV01351</t>
  </si>
  <si>
    <t>INV01352</t>
  </si>
  <si>
    <t>INV01353</t>
  </si>
  <si>
    <t>INV01354</t>
  </si>
  <si>
    <t>INV01355</t>
  </si>
  <si>
    <t>INV01356</t>
  </si>
  <si>
    <t>INV01357</t>
  </si>
  <si>
    <t>INV01358</t>
  </si>
  <si>
    <t>INV01359</t>
  </si>
  <si>
    <t>INV01360</t>
  </si>
  <si>
    <t>INV01361</t>
  </si>
  <si>
    <t>INV01362</t>
  </si>
  <si>
    <t>INV01363</t>
  </si>
  <si>
    <t>INV01364</t>
  </si>
  <si>
    <t>INV01365</t>
  </si>
  <si>
    <t>INV01366</t>
  </si>
  <si>
    <t>INV01367</t>
  </si>
  <si>
    <t>INV01368</t>
  </si>
  <si>
    <t>INV01369</t>
  </si>
  <si>
    <t>INV01370</t>
  </si>
  <si>
    <t>INV01371</t>
  </si>
  <si>
    <t>INV01372</t>
  </si>
  <si>
    <t>INV01373</t>
  </si>
  <si>
    <t>INV01374</t>
  </si>
  <si>
    <t>INV01375</t>
  </si>
  <si>
    <t>INV01376</t>
  </si>
  <si>
    <t>INV01377</t>
  </si>
  <si>
    <t>INV01378</t>
  </si>
  <si>
    <t>INV01379</t>
  </si>
  <si>
    <t>INV01380</t>
  </si>
  <si>
    <t>INV01381</t>
  </si>
  <si>
    <t>INV01382</t>
  </si>
  <si>
    <t>INV01383</t>
  </si>
  <si>
    <t>INV01384</t>
  </si>
  <si>
    <t>INV01385</t>
  </si>
  <si>
    <t>INV01386</t>
  </si>
  <si>
    <t>INV01387</t>
  </si>
  <si>
    <t>INV01388</t>
  </si>
  <si>
    <t>INV01389</t>
  </si>
  <si>
    <t>INV01390</t>
  </si>
  <si>
    <t>INV01391</t>
  </si>
  <si>
    <t>INV01392</t>
  </si>
  <si>
    <t>INV01393</t>
  </si>
  <si>
    <t>INV01394</t>
  </si>
  <si>
    <t>INV01395</t>
  </si>
  <si>
    <t>INV01396</t>
  </si>
  <si>
    <t>INV01397</t>
  </si>
  <si>
    <t>INV01398</t>
  </si>
  <si>
    <t>INV01399</t>
  </si>
  <si>
    <t>INV01400</t>
  </si>
  <si>
    <t>INV01401</t>
  </si>
  <si>
    <t>INV01402</t>
  </si>
  <si>
    <t>INV01403</t>
  </si>
  <si>
    <t>INV01404</t>
  </si>
  <si>
    <t>INV01405</t>
  </si>
  <si>
    <t>INV01406</t>
  </si>
  <si>
    <t>INV01407</t>
  </si>
  <si>
    <t>INV01408</t>
  </si>
  <si>
    <t>INV01409</t>
  </si>
  <si>
    <t>INV01410</t>
  </si>
  <si>
    <t>INV01411</t>
  </si>
  <si>
    <t>INV01412</t>
  </si>
  <si>
    <t>INV01413</t>
  </si>
  <si>
    <t>INV01414</t>
  </si>
  <si>
    <t>INV01415</t>
  </si>
  <si>
    <t>INV01416</t>
  </si>
  <si>
    <t>INV01417</t>
  </si>
  <si>
    <t>INV01418</t>
  </si>
  <si>
    <t>INV01419</t>
  </si>
  <si>
    <t>INV01420</t>
  </si>
  <si>
    <t>INV01421</t>
  </si>
  <si>
    <t>INV01422</t>
  </si>
  <si>
    <t>INV01423</t>
  </si>
  <si>
    <t>INV01424</t>
  </si>
  <si>
    <t>INV01425</t>
  </si>
  <si>
    <t>INV01426</t>
  </si>
  <si>
    <t>INV01427</t>
  </si>
  <si>
    <t>INV01428</t>
  </si>
  <si>
    <t>INV01429</t>
  </si>
  <si>
    <t>INV01430</t>
  </si>
  <si>
    <t>INV01431</t>
  </si>
  <si>
    <t>INV01432</t>
  </si>
  <si>
    <t>INV01433</t>
  </si>
  <si>
    <t>INV01434</t>
  </si>
  <si>
    <t>INV01435</t>
  </si>
  <si>
    <t>INV01436</t>
  </si>
  <si>
    <t>INV01437</t>
  </si>
  <si>
    <t>INV01438</t>
  </si>
  <si>
    <t>INV01439</t>
  </si>
  <si>
    <t>INV01440</t>
  </si>
  <si>
    <t>INV01441</t>
  </si>
  <si>
    <t>INV01442</t>
  </si>
  <si>
    <t>INV01443</t>
  </si>
  <si>
    <t>INV01444</t>
  </si>
  <si>
    <t>INV01445</t>
  </si>
  <si>
    <t>INV01446</t>
  </si>
  <si>
    <t>INV01447</t>
  </si>
  <si>
    <t>INV01448</t>
  </si>
  <si>
    <t>INV01449</t>
  </si>
  <si>
    <t>INV01450</t>
  </si>
  <si>
    <t>INV01451</t>
  </si>
  <si>
    <t>INV01452</t>
  </si>
  <si>
    <t>INV01453</t>
  </si>
  <si>
    <t>INV01454</t>
  </si>
  <si>
    <t>INV01455</t>
  </si>
  <si>
    <t>INV01456</t>
  </si>
  <si>
    <t>INV01457</t>
  </si>
  <si>
    <t>INV01458</t>
  </si>
  <si>
    <t>INV01459</t>
  </si>
  <si>
    <t>INV01460</t>
  </si>
  <si>
    <t>INV01461</t>
  </si>
  <si>
    <t>INV01462</t>
  </si>
  <si>
    <t>INV01463</t>
  </si>
  <si>
    <t>INV01464</t>
  </si>
  <si>
    <t>INV01465</t>
  </si>
  <si>
    <t>INV01466</t>
  </si>
  <si>
    <t>INV01467</t>
  </si>
  <si>
    <t>INV01468</t>
  </si>
  <si>
    <t>INV01469</t>
  </si>
  <si>
    <t>INV01470</t>
  </si>
  <si>
    <t>INV01471</t>
  </si>
  <si>
    <t>INV01472</t>
  </si>
  <si>
    <t>INV01473</t>
  </si>
  <si>
    <t>INV01474</t>
  </si>
  <si>
    <t>INV01475</t>
  </si>
  <si>
    <t>INV01476</t>
  </si>
  <si>
    <t>INV01477</t>
  </si>
  <si>
    <t>INV01478</t>
  </si>
  <si>
    <t>INV01479</t>
  </si>
  <si>
    <t>INV01480</t>
  </si>
  <si>
    <t>INV01481</t>
  </si>
  <si>
    <t>INV01482</t>
  </si>
  <si>
    <t>INV01483</t>
  </si>
  <si>
    <t>INV01484</t>
  </si>
  <si>
    <t>INV01485</t>
  </si>
  <si>
    <t>INV01486</t>
  </si>
  <si>
    <t>INV01487</t>
  </si>
  <si>
    <t>INV01488</t>
  </si>
  <si>
    <t>INV01489</t>
  </si>
  <si>
    <t>INV01490</t>
  </si>
  <si>
    <t>INV01491</t>
  </si>
  <si>
    <t>INV01492</t>
  </si>
  <si>
    <t>INV01493</t>
  </si>
  <si>
    <t>INV01494</t>
  </si>
  <si>
    <t>INV01495</t>
  </si>
  <si>
    <t>INV01496</t>
  </si>
  <si>
    <t>INV01497</t>
  </si>
  <si>
    <t>INV01498</t>
  </si>
  <si>
    <t>INV01499</t>
  </si>
  <si>
    <t>INV01500</t>
  </si>
  <si>
    <t>INV01501</t>
  </si>
  <si>
    <t>INV01502</t>
  </si>
  <si>
    <t>INV01503</t>
  </si>
  <si>
    <t>INV01504</t>
  </si>
  <si>
    <t>INV01505</t>
  </si>
  <si>
    <t>INV01506</t>
  </si>
  <si>
    <t>INV01507</t>
  </si>
  <si>
    <t>INV01508</t>
  </si>
  <si>
    <t>INV01509</t>
  </si>
  <si>
    <t>INV01510</t>
  </si>
  <si>
    <t>INV01511</t>
  </si>
  <si>
    <t>INV01512</t>
  </si>
  <si>
    <t>INV01513</t>
  </si>
  <si>
    <t>INV01514</t>
  </si>
  <si>
    <t>INV01515</t>
  </si>
  <si>
    <t>INV01516</t>
  </si>
  <si>
    <t>INV01517</t>
  </si>
  <si>
    <t>INV01518</t>
  </si>
  <si>
    <t>INV01519</t>
  </si>
  <si>
    <t>INV01520</t>
  </si>
  <si>
    <t>INV01521</t>
  </si>
  <si>
    <t>INV01522</t>
  </si>
  <si>
    <t>INV01523</t>
  </si>
  <si>
    <t>INV01524</t>
  </si>
  <si>
    <t>INV01525</t>
  </si>
  <si>
    <t>INV01526</t>
  </si>
  <si>
    <t>INV01527</t>
  </si>
  <si>
    <t>INV01528</t>
  </si>
  <si>
    <t>INV01529</t>
  </si>
  <si>
    <t>INV01530</t>
  </si>
  <si>
    <t>INV01531</t>
  </si>
  <si>
    <t>INV01532</t>
  </si>
  <si>
    <t>INV01533</t>
  </si>
  <si>
    <t>INV01534</t>
  </si>
  <si>
    <t>INV01535</t>
  </si>
  <si>
    <t>INV01536</t>
  </si>
  <si>
    <t>INV01537</t>
  </si>
  <si>
    <t>INV01538</t>
  </si>
  <si>
    <t>INV01539</t>
  </si>
  <si>
    <t>INV01540</t>
  </si>
  <si>
    <t>INV01541</t>
  </si>
  <si>
    <t>INV01542</t>
  </si>
  <si>
    <t>INV01543</t>
  </si>
  <si>
    <t>INV01544</t>
  </si>
  <si>
    <t>INV01545</t>
  </si>
  <si>
    <t>INV01546</t>
  </si>
  <si>
    <t>INV01547</t>
  </si>
  <si>
    <t>INV01548</t>
  </si>
  <si>
    <t>INV01549</t>
  </si>
  <si>
    <t>INV01550</t>
  </si>
  <si>
    <t>INV01551</t>
  </si>
  <si>
    <t>INV01552</t>
  </si>
  <si>
    <t>INV01553</t>
  </si>
  <si>
    <t>INV01554</t>
  </si>
  <si>
    <t>INV01555</t>
  </si>
  <si>
    <t>INV01556</t>
  </si>
  <si>
    <t>INV01557</t>
  </si>
  <si>
    <t>INV01558</t>
  </si>
  <si>
    <t>INV01559</t>
  </si>
  <si>
    <t>INV01560</t>
  </si>
  <si>
    <t>INV01561</t>
  </si>
  <si>
    <t>INV01562</t>
  </si>
  <si>
    <t>INV01563</t>
  </si>
  <si>
    <t>INV01564</t>
  </si>
  <si>
    <t>INV01565</t>
  </si>
  <si>
    <t>INV01566</t>
  </si>
  <si>
    <t>INV01567</t>
  </si>
  <si>
    <t>INV01568</t>
  </si>
  <si>
    <t>INV01569</t>
  </si>
  <si>
    <t>INV01570</t>
  </si>
  <si>
    <t>INV01571</t>
  </si>
  <si>
    <t>INV01572</t>
  </si>
  <si>
    <t>INV01573</t>
  </si>
  <si>
    <t>INV01574</t>
  </si>
  <si>
    <t>INV01575</t>
  </si>
  <si>
    <t>INV01576</t>
  </si>
  <si>
    <t>INV01577</t>
  </si>
  <si>
    <t>INV01578</t>
  </si>
  <si>
    <t>INV01579</t>
  </si>
  <si>
    <t>INV01580</t>
  </si>
  <si>
    <t>INV01581</t>
  </si>
  <si>
    <t>INV01582</t>
  </si>
  <si>
    <t>INV01583</t>
  </si>
  <si>
    <t>INV01584</t>
  </si>
  <si>
    <t>INV01585</t>
  </si>
  <si>
    <t>INV01586</t>
  </si>
  <si>
    <t>INV01587</t>
  </si>
  <si>
    <t>INV01588</t>
  </si>
  <si>
    <t>INV01589</t>
  </si>
  <si>
    <t>INV01590</t>
  </si>
  <si>
    <t>INV01591</t>
  </si>
  <si>
    <t>INV01592</t>
  </si>
  <si>
    <t>INV01593</t>
  </si>
  <si>
    <t>INV01594</t>
  </si>
  <si>
    <t>INV01595</t>
  </si>
  <si>
    <t>INV01596</t>
  </si>
  <si>
    <t>INV01597</t>
  </si>
  <si>
    <t>INV01598</t>
  </si>
  <si>
    <t>INV01599</t>
  </si>
  <si>
    <t>INV01600</t>
  </si>
  <si>
    <t>INV01601</t>
  </si>
  <si>
    <t>INV01602</t>
  </si>
  <si>
    <t>INV01603</t>
  </si>
  <si>
    <t>INV01604</t>
  </si>
  <si>
    <t>INV01605</t>
  </si>
  <si>
    <t>INV01606</t>
  </si>
  <si>
    <t>INV01607</t>
  </si>
  <si>
    <t>INV01608</t>
  </si>
  <si>
    <t>INV01609</t>
  </si>
  <si>
    <t>INV01610</t>
  </si>
  <si>
    <t>INV01611</t>
  </si>
  <si>
    <t>INV01612</t>
  </si>
  <si>
    <t>INV01613</t>
  </si>
  <si>
    <t>INV01614</t>
  </si>
  <si>
    <t>INV01615</t>
  </si>
  <si>
    <t>INV01616</t>
  </si>
  <si>
    <t>INV01617</t>
  </si>
  <si>
    <t>INV01618</t>
  </si>
  <si>
    <t>INV01619</t>
  </si>
  <si>
    <t>INV01620</t>
  </si>
  <si>
    <t>INV01621</t>
  </si>
  <si>
    <t>INV01622</t>
  </si>
  <si>
    <t>INV01623</t>
  </si>
  <si>
    <t>INV01624</t>
  </si>
  <si>
    <t>INV01625</t>
  </si>
  <si>
    <t>INV01626</t>
  </si>
  <si>
    <t>INV01627</t>
  </si>
  <si>
    <t>INV01628</t>
  </si>
  <si>
    <t>INV01629</t>
  </si>
  <si>
    <t>INV01630</t>
  </si>
  <si>
    <t>INV01631</t>
  </si>
  <si>
    <t>INV01632</t>
  </si>
  <si>
    <t>INV01633</t>
  </si>
  <si>
    <t>INV01634</t>
  </si>
  <si>
    <t>INV01635</t>
  </si>
  <si>
    <t>INV01636</t>
  </si>
  <si>
    <t>INV01637</t>
  </si>
  <si>
    <t>INV01638</t>
  </si>
  <si>
    <t>INV01639</t>
  </si>
  <si>
    <t>INV01640</t>
  </si>
  <si>
    <t>INV01641</t>
  </si>
  <si>
    <t>INV01642</t>
  </si>
  <si>
    <t>INV01643</t>
  </si>
  <si>
    <t>INV01644</t>
  </si>
  <si>
    <t>INV01645</t>
  </si>
  <si>
    <t>INV01646</t>
  </si>
  <si>
    <t>INV01647</t>
  </si>
  <si>
    <t>INV01648</t>
  </si>
  <si>
    <t>INV01649</t>
  </si>
  <si>
    <t>INV01650</t>
  </si>
  <si>
    <t>INV01651</t>
  </si>
  <si>
    <t>INV01652</t>
  </si>
  <si>
    <t>INV01653</t>
  </si>
  <si>
    <t>INV01654</t>
  </si>
  <si>
    <t>INV01655</t>
  </si>
  <si>
    <t>INV01656</t>
  </si>
  <si>
    <t>INV01657</t>
  </si>
  <si>
    <t>INV01658</t>
  </si>
  <si>
    <t>INV01659</t>
  </si>
  <si>
    <t>INV01660</t>
  </si>
  <si>
    <t>INV01661</t>
  </si>
  <si>
    <t>INV01662</t>
  </si>
  <si>
    <t>INV01663</t>
  </si>
  <si>
    <t>INV01664</t>
  </si>
  <si>
    <t>INV01665</t>
  </si>
  <si>
    <t>INV01666</t>
  </si>
  <si>
    <t>INV01667</t>
  </si>
  <si>
    <t>INV01668</t>
  </si>
  <si>
    <t>INV01669</t>
  </si>
  <si>
    <t>INV01670</t>
  </si>
  <si>
    <t>INV01671</t>
  </si>
  <si>
    <t>INV01672</t>
  </si>
  <si>
    <t>INV01673</t>
  </si>
  <si>
    <t>INV01674</t>
  </si>
  <si>
    <t>INV01675</t>
  </si>
  <si>
    <t>INV01676</t>
  </si>
  <si>
    <t>INV01677</t>
  </si>
  <si>
    <t>INV01678</t>
  </si>
  <si>
    <t>INV01679</t>
  </si>
  <si>
    <t>INV01680</t>
  </si>
  <si>
    <t>INV01681</t>
  </si>
  <si>
    <t>INV01682</t>
  </si>
  <si>
    <t>INV01683</t>
  </si>
  <si>
    <t>INV01684</t>
  </si>
  <si>
    <t>INV01685</t>
  </si>
  <si>
    <t>INV01686</t>
  </si>
  <si>
    <t>INV01687</t>
  </si>
  <si>
    <t>INV01688</t>
  </si>
  <si>
    <t>INV01689</t>
  </si>
  <si>
    <t>INV01690</t>
  </si>
  <si>
    <t>INV01691</t>
  </si>
  <si>
    <t>INV01692</t>
  </si>
  <si>
    <t>INV01693</t>
  </si>
  <si>
    <t>INV01694</t>
  </si>
  <si>
    <t>INV01695</t>
  </si>
  <si>
    <t>INV01696</t>
  </si>
  <si>
    <t>INV01697</t>
  </si>
  <si>
    <t>INV01698</t>
  </si>
  <si>
    <t>INV01699</t>
  </si>
  <si>
    <t>INV01700</t>
  </si>
  <si>
    <t>INV01701</t>
  </si>
  <si>
    <t>INV01702</t>
  </si>
  <si>
    <t>INV01703</t>
  </si>
  <si>
    <t>INV01704</t>
  </si>
  <si>
    <t>INV01705</t>
  </si>
  <si>
    <t>INV01706</t>
  </si>
  <si>
    <t>INV01707</t>
  </si>
  <si>
    <t>INV01708</t>
  </si>
  <si>
    <t>INV01709</t>
  </si>
  <si>
    <t>INV01710</t>
  </si>
  <si>
    <t>INV01711</t>
  </si>
  <si>
    <t>INV01712</t>
  </si>
  <si>
    <t>INV01713</t>
  </si>
  <si>
    <t>INV01714</t>
  </si>
  <si>
    <t>INV01715</t>
  </si>
  <si>
    <t>INV01716</t>
  </si>
  <si>
    <t>INV01717</t>
  </si>
  <si>
    <t>INV01718</t>
  </si>
  <si>
    <t>INV01719</t>
  </si>
  <si>
    <t>INV01720</t>
  </si>
  <si>
    <t>INV01721</t>
  </si>
  <si>
    <t>INV01722</t>
  </si>
  <si>
    <t>INV01723</t>
  </si>
  <si>
    <t>INV01724</t>
  </si>
  <si>
    <t>INV01725</t>
  </si>
  <si>
    <t>INV01726</t>
  </si>
  <si>
    <t>INV01727</t>
  </si>
  <si>
    <t>INV01728</t>
  </si>
  <si>
    <t>INV01729</t>
  </si>
  <si>
    <t>INV01730</t>
  </si>
  <si>
    <t>INV01731</t>
  </si>
  <si>
    <t>INV01732</t>
  </si>
  <si>
    <t>INV01733</t>
  </si>
  <si>
    <t>INV01734</t>
  </si>
  <si>
    <t>INV01735</t>
  </si>
  <si>
    <t>INV01736</t>
  </si>
  <si>
    <t>INV01737</t>
  </si>
  <si>
    <t>INV01738</t>
  </si>
  <si>
    <t>INV01739</t>
  </si>
  <si>
    <t>INV01740</t>
  </si>
  <si>
    <t>INV01741</t>
  </si>
  <si>
    <t>INV01742</t>
  </si>
  <si>
    <t>INV01743</t>
  </si>
  <si>
    <t>INV01744</t>
  </si>
  <si>
    <t>INV01745</t>
  </si>
  <si>
    <t>INV01746</t>
  </si>
  <si>
    <t>INV01747</t>
  </si>
  <si>
    <t>INV01748</t>
  </si>
  <si>
    <t>INV01749</t>
  </si>
  <si>
    <t>INV01750</t>
  </si>
  <si>
    <t>INV01751</t>
  </si>
  <si>
    <t>INV01752</t>
  </si>
  <si>
    <t>INV01753</t>
  </si>
  <si>
    <t>INV01754</t>
  </si>
  <si>
    <t>INV01755</t>
  </si>
  <si>
    <t>INV01756</t>
  </si>
  <si>
    <t>INV01757</t>
  </si>
  <si>
    <t>INV01758</t>
  </si>
  <si>
    <t>INV01759</t>
  </si>
  <si>
    <t>INV01760</t>
  </si>
  <si>
    <t>INV01761</t>
  </si>
  <si>
    <t>INV01762</t>
  </si>
  <si>
    <t>INV01763</t>
  </si>
  <si>
    <t>INV01764</t>
  </si>
  <si>
    <t>INV01765</t>
  </si>
  <si>
    <t>INV01766</t>
  </si>
  <si>
    <t>INV01767</t>
  </si>
  <si>
    <t>INV01768</t>
  </si>
  <si>
    <t>INV01769</t>
  </si>
  <si>
    <t>INV01770</t>
  </si>
  <si>
    <t>INV01771</t>
  </si>
  <si>
    <t>INV01772</t>
  </si>
  <si>
    <t>INV01773</t>
  </si>
  <si>
    <t>INV01774</t>
  </si>
  <si>
    <t>INV01775</t>
  </si>
  <si>
    <t>INV01776</t>
  </si>
  <si>
    <t>INV01777</t>
  </si>
  <si>
    <t>INV01778</t>
  </si>
  <si>
    <t>INV01779</t>
  </si>
  <si>
    <t>INV01780</t>
  </si>
  <si>
    <t>INV01781</t>
  </si>
  <si>
    <t>INV01782</t>
  </si>
  <si>
    <t>INV01783</t>
  </si>
  <si>
    <t>INV01784</t>
  </si>
  <si>
    <t>INV01785</t>
  </si>
  <si>
    <t>INV01786</t>
  </si>
  <si>
    <t>INV01787</t>
  </si>
  <si>
    <t>INV01788</t>
  </si>
  <si>
    <t>INV01789</t>
  </si>
  <si>
    <t>INV01790</t>
  </si>
  <si>
    <t>INV01791</t>
  </si>
  <si>
    <t>INV01792</t>
  </si>
  <si>
    <t>INV01793</t>
  </si>
  <si>
    <t>INV01794</t>
  </si>
  <si>
    <t>INV01795</t>
  </si>
  <si>
    <t>INV01796</t>
  </si>
  <si>
    <t>INV01797</t>
  </si>
  <si>
    <t>INV01798</t>
  </si>
  <si>
    <t>INV01799</t>
  </si>
  <si>
    <t>INV01800</t>
  </si>
  <si>
    <t>INV01801</t>
  </si>
  <si>
    <t>INV01802</t>
  </si>
  <si>
    <t>INV01803</t>
  </si>
  <si>
    <t>INV01804</t>
  </si>
  <si>
    <t>INV01805</t>
  </si>
  <si>
    <t>INV01806</t>
  </si>
  <si>
    <t>INV01807</t>
  </si>
  <si>
    <t>INV01808</t>
  </si>
  <si>
    <t>INV01809</t>
  </si>
  <si>
    <t>INV01810</t>
  </si>
  <si>
    <t>INV01811</t>
  </si>
  <si>
    <t>INV01812</t>
  </si>
  <si>
    <t>INV01813</t>
  </si>
  <si>
    <t>INV01814</t>
  </si>
  <si>
    <t>INV01815</t>
  </si>
  <si>
    <t>INV01816</t>
  </si>
  <si>
    <t>INV01817</t>
  </si>
  <si>
    <t>INV01818</t>
  </si>
  <si>
    <t>INV01819</t>
  </si>
  <si>
    <t>INV01820</t>
  </si>
  <si>
    <t>INV01821</t>
  </si>
  <si>
    <t>INV01822</t>
  </si>
  <si>
    <t>INV01823</t>
  </si>
  <si>
    <t>INV01824</t>
  </si>
  <si>
    <t>INV01825</t>
  </si>
  <si>
    <t>INV01826</t>
  </si>
  <si>
    <t>INV01827</t>
  </si>
  <si>
    <t>INV01828</t>
  </si>
  <si>
    <t>INV01829</t>
  </si>
  <si>
    <t>INV01830</t>
  </si>
  <si>
    <t>INV01831</t>
  </si>
  <si>
    <t>INV01832</t>
  </si>
  <si>
    <t>INV01833</t>
  </si>
  <si>
    <t>INV01834</t>
  </si>
  <si>
    <t>INV01835</t>
  </si>
  <si>
    <t>INV01836</t>
  </si>
  <si>
    <t>INV01837</t>
  </si>
  <si>
    <t>INV01838</t>
  </si>
  <si>
    <t>INV01839</t>
  </si>
  <si>
    <t>INV01840</t>
  </si>
  <si>
    <t>INV01841</t>
  </si>
  <si>
    <t>INV01842</t>
  </si>
  <si>
    <t>INV01843</t>
  </si>
  <si>
    <t>INV01844</t>
  </si>
  <si>
    <t>INV01845</t>
  </si>
  <si>
    <t>INV01846</t>
  </si>
  <si>
    <t>INV01847</t>
  </si>
  <si>
    <t>INV01848</t>
  </si>
  <si>
    <t>INV01849</t>
  </si>
  <si>
    <t>INV01850</t>
  </si>
  <si>
    <t>INV01851</t>
  </si>
  <si>
    <t>INV01852</t>
  </si>
  <si>
    <t>INV01853</t>
  </si>
  <si>
    <t>INV01854</t>
  </si>
  <si>
    <t>INV01855</t>
  </si>
  <si>
    <t>INV01856</t>
  </si>
  <si>
    <t>INV01857</t>
  </si>
  <si>
    <t>INV01858</t>
  </si>
  <si>
    <t>INV01859</t>
  </si>
  <si>
    <t>INV01860</t>
  </si>
  <si>
    <t>INV01861</t>
  </si>
  <si>
    <t>INV01862</t>
  </si>
  <si>
    <t>INV01863</t>
  </si>
  <si>
    <t>INV01864</t>
  </si>
  <si>
    <t>INV01865</t>
  </si>
  <si>
    <t>INV01866</t>
  </si>
  <si>
    <t>INV01867</t>
  </si>
  <si>
    <t>INV01868</t>
  </si>
  <si>
    <t>INV01869</t>
  </si>
  <si>
    <t>INV01870</t>
  </si>
  <si>
    <t>INV01871</t>
  </si>
  <si>
    <t>INV01872</t>
  </si>
  <si>
    <t>INV01873</t>
  </si>
  <si>
    <t>INV01874</t>
  </si>
  <si>
    <t>INV01875</t>
  </si>
  <si>
    <t>INV01876</t>
  </si>
  <si>
    <t>INV01877</t>
  </si>
  <si>
    <t>INV01878</t>
  </si>
  <si>
    <t>INV01879</t>
  </si>
  <si>
    <t>INV01880</t>
  </si>
  <si>
    <t>INV01881</t>
  </si>
  <si>
    <t>INV01882</t>
  </si>
  <si>
    <t>INV01883</t>
  </si>
  <si>
    <t>INV01884</t>
  </si>
  <si>
    <t>INV01885</t>
  </si>
  <si>
    <t>INV01886</t>
  </si>
  <si>
    <t>INV01887</t>
  </si>
  <si>
    <t>INV01888</t>
  </si>
  <si>
    <t>INV01889</t>
  </si>
  <si>
    <t>INV01890</t>
  </si>
  <si>
    <t>INV01891</t>
  </si>
  <si>
    <t>INV01892</t>
  </si>
  <si>
    <t>INV01893</t>
  </si>
  <si>
    <t>INV01894</t>
  </si>
  <si>
    <t>INV01895</t>
  </si>
  <si>
    <t>INV01896</t>
  </si>
  <si>
    <t>INV01897</t>
  </si>
  <si>
    <t>INV01898</t>
  </si>
  <si>
    <t>INV01899</t>
  </si>
  <si>
    <t>INV01900</t>
  </si>
  <si>
    <t>INV01901</t>
  </si>
  <si>
    <t>INV01902</t>
  </si>
  <si>
    <t>INV01903</t>
  </si>
  <si>
    <t>INV01904</t>
  </si>
  <si>
    <t>INV01905</t>
  </si>
  <si>
    <t>INV01906</t>
  </si>
  <si>
    <t>INV01907</t>
  </si>
  <si>
    <t>INV01908</t>
  </si>
  <si>
    <t>INV01909</t>
  </si>
  <si>
    <t>INV01910</t>
  </si>
  <si>
    <t>INV01911</t>
  </si>
  <si>
    <t>INV01912</t>
  </si>
  <si>
    <t>INV01913</t>
  </si>
  <si>
    <t>INV01914</t>
  </si>
  <si>
    <t>INV01915</t>
  </si>
  <si>
    <t>INV01916</t>
  </si>
  <si>
    <t>INV01917</t>
  </si>
  <si>
    <t>INV01918</t>
  </si>
  <si>
    <t>INV01919</t>
  </si>
  <si>
    <t>INV01920</t>
  </si>
  <si>
    <t>INV01921</t>
  </si>
  <si>
    <t>INV01922</t>
  </si>
  <si>
    <t>INV01923</t>
  </si>
  <si>
    <t>INV01924</t>
  </si>
  <si>
    <t>INV01925</t>
  </si>
  <si>
    <t>INV01926</t>
  </si>
  <si>
    <t>INV01927</t>
  </si>
  <si>
    <t>INV01928</t>
  </si>
  <si>
    <t>INV01929</t>
  </si>
  <si>
    <t>INV01930</t>
  </si>
  <si>
    <t>INV01931</t>
  </si>
  <si>
    <t>INV01932</t>
  </si>
  <si>
    <t>INV01933</t>
  </si>
  <si>
    <t>INV01934</t>
  </si>
  <si>
    <t>INV01935</t>
  </si>
  <si>
    <t>INV01936</t>
  </si>
  <si>
    <t>INV01937</t>
  </si>
  <si>
    <t>INV01938</t>
  </si>
  <si>
    <t>INV01939</t>
  </si>
  <si>
    <t>INV01940</t>
  </si>
  <si>
    <t>INV01941</t>
  </si>
  <si>
    <t>INV01942</t>
  </si>
  <si>
    <t>INV01943</t>
  </si>
  <si>
    <t>INV01944</t>
  </si>
  <si>
    <t>INV01945</t>
  </si>
  <si>
    <t>INV01946</t>
  </si>
  <si>
    <t>INV01947</t>
  </si>
  <si>
    <t>INV01948</t>
  </si>
  <si>
    <t>INV01949</t>
  </si>
  <si>
    <t>INV01950</t>
  </si>
  <si>
    <t>INV01951</t>
  </si>
  <si>
    <t>INV01952</t>
  </si>
  <si>
    <t>INV01953</t>
  </si>
  <si>
    <t>INV01954</t>
  </si>
  <si>
    <t>INV01955</t>
  </si>
  <si>
    <t>INV01956</t>
  </si>
  <si>
    <t>INV01957</t>
  </si>
  <si>
    <t>INV01958</t>
  </si>
  <si>
    <t>INV01959</t>
  </si>
  <si>
    <t>INV01960</t>
  </si>
  <si>
    <t>INV01961</t>
  </si>
  <si>
    <t>INV01962</t>
  </si>
  <si>
    <t>INV01963</t>
  </si>
  <si>
    <t>INV01964</t>
  </si>
  <si>
    <t>INV01965</t>
  </si>
  <si>
    <t>INV01966</t>
  </si>
  <si>
    <t>INV01967</t>
  </si>
  <si>
    <t>INV01968</t>
  </si>
  <si>
    <t>INV01969</t>
  </si>
  <si>
    <t>INV01970</t>
  </si>
  <si>
    <t>INV01971</t>
  </si>
  <si>
    <t>INV01972</t>
  </si>
  <si>
    <t>INV01973</t>
  </si>
  <si>
    <t>INV01974</t>
  </si>
  <si>
    <t>INV01975</t>
  </si>
  <si>
    <t>INV01976</t>
  </si>
  <si>
    <t>INV01977</t>
  </si>
  <si>
    <t>INV01978</t>
  </si>
  <si>
    <t>INV01979</t>
  </si>
  <si>
    <t>INV01980</t>
  </si>
  <si>
    <t>INV01981</t>
  </si>
  <si>
    <t>INV01982</t>
  </si>
  <si>
    <t>INV01983</t>
  </si>
  <si>
    <t>INV01984</t>
  </si>
  <si>
    <t>INV01985</t>
  </si>
  <si>
    <t>INV01986</t>
  </si>
  <si>
    <t>INV01987</t>
  </si>
  <si>
    <t>INV01988</t>
  </si>
  <si>
    <t>INV01989</t>
  </si>
  <si>
    <t>INV01990</t>
  </si>
  <si>
    <t>INV01991</t>
  </si>
  <si>
    <t>INV01992</t>
  </si>
  <si>
    <t>INV01993</t>
  </si>
  <si>
    <t>INV01994</t>
  </si>
  <si>
    <t>INV01995</t>
  </si>
  <si>
    <t>INV01996</t>
  </si>
  <si>
    <t>INV01997</t>
  </si>
  <si>
    <t>INV01998</t>
  </si>
  <si>
    <t>INV01999</t>
  </si>
  <si>
    <t>INV02000</t>
  </si>
  <si>
    <t>INV02001</t>
  </si>
  <si>
    <t>INV02002</t>
  </si>
  <si>
    <t>INV02003</t>
  </si>
  <si>
    <t>INV02004</t>
  </si>
  <si>
    <t>INV02005</t>
  </si>
  <si>
    <t>INV02006</t>
  </si>
  <si>
    <t>INV02007</t>
  </si>
  <si>
    <t>INV02008</t>
  </si>
  <si>
    <t>INV02009</t>
  </si>
  <si>
    <t>INV02010</t>
  </si>
  <si>
    <t>INV02011</t>
  </si>
  <si>
    <t>INV02012</t>
  </si>
  <si>
    <t>INV02013</t>
  </si>
  <si>
    <t>INV02014</t>
  </si>
  <si>
    <t>INV02015</t>
  </si>
  <si>
    <t>INV02016</t>
  </si>
  <si>
    <t>INV02017</t>
  </si>
  <si>
    <t>INV02018</t>
  </si>
  <si>
    <t>INV02019</t>
  </si>
  <si>
    <t>INV02020</t>
  </si>
  <si>
    <t>INV02021</t>
  </si>
  <si>
    <t>INV02022</t>
  </si>
  <si>
    <t>INV02023</t>
  </si>
  <si>
    <t>INV02024</t>
  </si>
  <si>
    <t>INV02025</t>
  </si>
  <si>
    <t>INV02026</t>
  </si>
  <si>
    <t>INV02027</t>
  </si>
  <si>
    <t>INV02028</t>
  </si>
  <si>
    <t>INV02029</t>
  </si>
  <si>
    <t>INV02030</t>
  </si>
  <si>
    <t>INV02031</t>
  </si>
  <si>
    <t>INV02032</t>
  </si>
  <si>
    <t>INV02033</t>
  </si>
  <si>
    <t>INV02034</t>
  </si>
  <si>
    <t>INV02035</t>
  </si>
  <si>
    <t>INV02036</t>
  </si>
  <si>
    <t>INV02037</t>
  </si>
  <si>
    <t>INV02038</t>
  </si>
  <si>
    <t>INV02039</t>
  </si>
  <si>
    <t>INV02040</t>
  </si>
  <si>
    <t>INV02041</t>
  </si>
  <si>
    <t>INV02042</t>
  </si>
  <si>
    <t>INV02043</t>
  </si>
  <si>
    <t>INV02044</t>
  </si>
  <si>
    <t>INV02045</t>
  </si>
  <si>
    <t>INV02046</t>
  </si>
  <si>
    <t>INV02047</t>
  </si>
  <si>
    <t>INV02048</t>
  </si>
  <si>
    <t>INV02049</t>
  </si>
  <si>
    <t>INV02050</t>
  </si>
  <si>
    <t>INV02051</t>
  </si>
  <si>
    <t>INV02052</t>
  </si>
  <si>
    <t>INV02053</t>
  </si>
  <si>
    <t>INV02054</t>
  </si>
  <si>
    <t>INV02055</t>
  </si>
  <si>
    <t>INV02056</t>
  </si>
  <si>
    <t>INV02057</t>
  </si>
  <si>
    <t>INV02058</t>
  </si>
  <si>
    <t>INV02059</t>
  </si>
  <si>
    <t>INV02060</t>
  </si>
  <si>
    <t>INV02061</t>
  </si>
  <si>
    <t>INV02062</t>
  </si>
  <si>
    <t>INV02063</t>
  </si>
  <si>
    <t>INV02064</t>
  </si>
  <si>
    <t>INV02065</t>
  </si>
  <si>
    <t>INV02066</t>
  </si>
  <si>
    <t>INV02067</t>
  </si>
  <si>
    <t>INV02068</t>
  </si>
  <si>
    <t>INV02069</t>
  </si>
  <si>
    <t>INV02070</t>
  </si>
  <si>
    <t>INV02071</t>
  </si>
  <si>
    <t>INV02072</t>
  </si>
  <si>
    <t>INV02073</t>
  </si>
  <si>
    <t>INV02074</t>
  </si>
  <si>
    <t>INV02075</t>
  </si>
  <si>
    <t>INV02076</t>
  </si>
  <si>
    <t>INV02077</t>
  </si>
  <si>
    <t>INV02078</t>
  </si>
  <si>
    <t>INV02079</t>
  </si>
  <si>
    <t>INV02080</t>
  </si>
  <si>
    <t>INV02081</t>
  </si>
  <si>
    <t>INV02082</t>
  </si>
  <si>
    <t>INV02083</t>
  </si>
  <si>
    <t>INV02084</t>
  </si>
  <si>
    <t>INV02085</t>
  </si>
  <si>
    <t>INV02086</t>
  </si>
  <si>
    <t>INV02087</t>
  </si>
  <si>
    <t>INV02088</t>
  </si>
  <si>
    <t>INV02089</t>
  </si>
  <si>
    <t>INV02090</t>
  </si>
  <si>
    <t>INV02091</t>
  </si>
  <si>
    <t>INV02092</t>
  </si>
  <si>
    <t>INV02093</t>
  </si>
  <si>
    <t>INV02094</t>
  </si>
  <si>
    <t>INV02095</t>
  </si>
  <si>
    <t>INV02096</t>
  </si>
  <si>
    <t>INV02097</t>
  </si>
  <si>
    <t>INV02098</t>
  </si>
  <si>
    <t>INV02099</t>
  </si>
  <si>
    <t>INV02100</t>
  </si>
  <si>
    <t>INV02101</t>
  </si>
  <si>
    <t>INV02102</t>
  </si>
  <si>
    <t>INV02103</t>
  </si>
  <si>
    <t>INV02104</t>
  </si>
  <si>
    <t>INV02105</t>
  </si>
  <si>
    <t>INV02106</t>
  </si>
  <si>
    <t>INV02107</t>
  </si>
  <si>
    <t>INV02108</t>
  </si>
  <si>
    <t>INV02109</t>
  </si>
  <si>
    <t>INV02110</t>
  </si>
  <si>
    <t>INV02111</t>
  </si>
  <si>
    <t>INV02112</t>
  </si>
  <si>
    <t>INV02113</t>
  </si>
  <si>
    <t>INV02114</t>
  </si>
  <si>
    <t>INV02115</t>
  </si>
  <si>
    <t>INV02116</t>
  </si>
  <si>
    <t>INV02117</t>
  </si>
  <si>
    <t>INV02118</t>
  </si>
  <si>
    <t>INV02119</t>
  </si>
  <si>
    <t>INV02120</t>
  </si>
  <si>
    <t>INV02121</t>
  </si>
  <si>
    <t>INV02122</t>
  </si>
  <si>
    <t>INV02123</t>
  </si>
  <si>
    <t>INV02124</t>
  </si>
  <si>
    <t>INV02125</t>
  </si>
  <si>
    <t>INV02126</t>
  </si>
  <si>
    <t>INV02127</t>
  </si>
  <si>
    <t>INV02128</t>
  </si>
  <si>
    <t>INV02129</t>
  </si>
  <si>
    <t>INV02130</t>
  </si>
  <si>
    <t>INV02131</t>
  </si>
  <si>
    <t>INV02132</t>
  </si>
  <si>
    <t>INV02133</t>
  </si>
  <si>
    <t>INV02134</t>
  </si>
  <si>
    <t>INV02135</t>
  </si>
  <si>
    <t>INV02136</t>
  </si>
  <si>
    <t>INV02137</t>
  </si>
  <si>
    <t>INV02138</t>
  </si>
  <si>
    <t>INV02139</t>
  </si>
  <si>
    <t>INV02140</t>
  </si>
  <si>
    <t>INV02141</t>
  </si>
  <si>
    <t>INV02142</t>
  </si>
  <si>
    <t>INV02143</t>
  </si>
  <si>
    <t>INV02144</t>
  </si>
  <si>
    <t>INV02145</t>
  </si>
  <si>
    <t>INV02146</t>
  </si>
  <si>
    <t>INV02147</t>
  </si>
  <si>
    <t>INV02148</t>
  </si>
  <si>
    <t>INV02149</t>
  </si>
  <si>
    <t>INV02150</t>
  </si>
  <si>
    <t>INV02151</t>
  </si>
  <si>
    <t>INV02152</t>
  </si>
  <si>
    <t>INV02153</t>
  </si>
  <si>
    <t>INV02154</t>
  </si>
  <si>
    <t>INV02155</t>
  </si>
  <si>
    <t>INV02156</t>
  </si>
  <si>
    <t>INV02157</t>
  </si>
  <si>
    <t>INV02158</t>
  </si>
  <si>
    <t>INV02159</t>
  </si>
  <si>
    <t>INV02160</t>
  </si>
  <si>
    <t>INV02161</t>
  </si>
  <si>
    <t>INV02162</t>
  </si>
  <si>
    <t>INV02163</t>
  </si>
  <si>
    <t>INV02164</t>
  </si>
  <si>
    <t>INV02165</t>
  </si>
  <si>
    <t>INV02166</t>
  </si>
  <si>
    <t>INV02167</t>
  </si>
  <si>
    <t>INV02168</t>
  </si>
  <si>
    <t>INV02169</t>
  </si>
  <si>
    <t>INV02170</t>
  </si>
  <si>
    <t>INV02171</t>
  </si>
  <si>
    <t>INV02172</t>
  </si>
  <si>
    <t>INV02173</t>
  </si>
  <si>
    <t>INV02174</t>
  </si>
  <si>
    <t>INV02175</t>
  </si>
  <si>
    <t>INV02176</t>
  </si>
  <si>
    <t>INV02177</t>
  </si>
  <si>
    <t>INV02178</t>
  </si>
  <si>
    <t>INV02179</t>
  </si>
  <si>
    <t>INV02180</t>
  </si>
  <si>
    <t>INV02181</t>
  </si>
  <si>
    <t>INV02182</t>
  </si>
  <si>
    <t>INV02183</t>
  </si>
  <si>
    <t>INV02184</t>
  </si>
  <si>
    <t>INV02185</t>
  </si>
  <si>
    <t>INV02186</t>
  </si>
  <si>
    <t>INV02187</t>
  </si>
  <si>
    <t>INV02188</t>
  </si>
  <si>
    <t>INV02189</t>
  </si>
  <si>
    <t>INV02190</t>
  </si>
  <si>
    <t>INV02191</t>
  </si>
  <si>
    <t>INV02192</t>
  </si>
  <si>
    <t>INV02193</t>
  </si>
  <si>
    <t>INV02194</t>
  </si>
  <si>
    <t>INV02195</t>
  </si>
  <si>
    <t>INV02196</t>
  </si>
  <si>
    <t>INV02197</t>
  </si>
  <si>
    <t>INV02198</t>
  </si>
  <si>
    <t>INV02199</t>
  </si>
  <si>
    <t>INV02200</t>
  </si>
  <si>
    <t>INV02201</t>
  </si>
  <si>
    <t>INV02202</t>
  </si>
  <si>
    <t>INV02203</t>
  </si>
  <si>
    <t>INV02204</t>
  </si>
  <si>
    <t>INV02205</t>
  </si>
  <si>
    <t>INV02206</t>
  </si>
  <si>
    <t>INV02207</t>
  </si>
  <si>
    <t>INV02208</t>
  </si>
  <si>
    <t>INV02209</t>
  </si>
  <si>
    <t>INV02210</t>
  </si>
  <si>
    <t>INV02211</t>
  </si>
  <si>
    <t>INV02212</t>
  </si>
  <si>
    <t>INV02213</t>
  </si>
  <si>
    <t>INV02214</t>
  </si>
  <si>
    <t>INV02215</t>
  </si>
  <si>
    <t>INV02216</t>
  </si>
  <si>
    <t>INV02217</t>
  </si>
  <si>
    <t>INV02218</t>
  </si>
  <si>
    <t>INV02219</t>
  </si>
  <si>
    <t>INV02220</t>
  </si>
  <si>
    <t>INV02221</t>
  </si>
  <si>
    <t>INV02222</t>
  </si>
  <si>
    <t>INV02223</t>
  </si>
  <si>
    <t>INV02224</t>
  </si>
  <si>
    <t>INV02225</t>
  </si>
  <si>
    <t>INV02226</t>
  </si>
  <si>
    <t>INV02227</t>
  </si>
  <si>
    <t>INV02228</t>
  </si>
  <si>
    <t>INV02229</t>
  </si>
  <si>
    <t>INV02230</t>
  </si>
  <si>
    <t>INV02231</t>
  </si>
  <si>
    <t>INV02232</t>
  </si>
  <si>
    <t>INV02233</t>
  </si>
  <si>
    <t>INV02234</t>
  </si>
  <si>
    <t>INV02235</t>
  </si>
  <si>
    <t>INV02236</t>
  </si>
  <si>
    <t>INV02237</t>
  </si>
  <si>
    <t>INV02238</t>
  </si>
  <si>
    <t>INV02239</t>
  </si>
  <si>
    <t>INV02240</t>
  </si>
  <si>
    <t>INV02241</t>
  </si>
  <si>
    <t>INV02242</t>
  </si>
  <si>
    <t>INV02243</t>
  </si>
  <si>
    <t>INV02244</t>
  </si>
  <si>
    <t>INV02245</t>
  </si>
  <si>
    <t>INV02246</t>
  </si>
  <si>
    <t>INV02247</t>
  </si>
  <si>
    <t>INV02248</t>
  </si>
  <si>
    <t>INV02249</t>
  </si>
  <si>
    <t>INV02250</t>
  </si>
  <si>
    <t>INV02251</t>
  </si>
  <si>
    <t>INV02252</t>
  </si>
  <si>
    <t>INV02253</t>
  </si>
  <si>
    <t>INV02254</t>
  </si>
  <si>
    <t>INV02255</t>
  </si>
  <si>
    <t>INV02256</t>
  </si>
  <si>
    <t>INV02257</t>
  </si>
  <si>
    <t>INV02258</t>
  </si>
  <si>
    <t>INV02259</t>
  </si>
  <si>
    <t>INV02260</t>
  </si>
  <si>
    <t>INV02261</t>
  </si>
  <si>
    <t>INV02262</t>
  </si>
  <si>
    <t>INV02263</t>
  </si>
  <si>
    <t>INV02264</t>
  </si>
  <si>
    <t>INV02265</t>
  </si>
  <si>
    <t>INV02266</t>
  </si>
  <si>
    <t>INV02267</t>
  </si>
  <si>
    <t>INV02268</t>
  </si>
  <si>
    <t>INV02269</t>
  </si>
  <si>
    <t>INV02270</t>
  </si>
  <si>
    <t>INV02271</t>
  </si>
  <si>
    <t>INV02272</t>
  </si>
  <si>
    <t>INV02273</t>
  </si>
  <si>
    <t>INV02274</t>
  </si>
  <si>
    <t>INV02275</t>
  </si>
  <si>
    <t>INV02276</t>
  </si>
  <si>
    <t>INV02277</t>
  </si>
  <si>
    <t>INV02278</t>
  </si>
  <si>
    <t>INV02279</t>
  </si>
  <si>
    <t>INV02280</t>
  </si>
  <si>
    <t>INV02281</t>
  </si>
  <si>
    <t>INV02282</t>
  </si>
  <si>
    <t>INV02283</t>
  </si>
  <si>
    <t>INV02284</t>
  </si>
  <si>
    <t>INV02285</t>
  </si>
  <si>
    <t>INV02286</t>
  </si>
  <si>
    <t>INV02287</t>
  </si>
  <si>
    <t>INV02288</t>
  </si>
  <si>
    <t>INV02289</t>
  </si>
  <si>
    <t>INV02290</t>
  </si>
  <si>
    <t>INV02291</t>
  </si>
  <si>
    <t>INV02292</t>
  </si>
  <si>
    <t>INV02293</t>
  </si>
  <si>
    <t>INV02294</t>
  </si>
  <si>
    <t>INV02295</t>
  </si>
  <si>
    <t>INV02296</t>
  </si>
  <si>
    <t>INV02297</t>
  </si>
  <si>
    <t>INV02298</t>
  </si>
  <si>
    <t>INV02299</t>
  </si>
  <si>
    <t>INV02300</t>
  </si>
  <si>
    <t>INV02301</t>
  </si>
  <si>
    <t>INV02302</t>
  </si>
  <si>
    <t>INV02303</t>
  </si>
  <si>
    <t>INV02304</t>
  </si>
  <si>
    <t>INV02305</t>
  </si>
  <si>
    <t>INV02306</t>
  </si>
  <si>
    <t>INV02307</t>
  </si>
  <si>
    <t>INV02308</t>
  </si>
  <si>
    <t>INV02309</t>
  </si>
  <si>
    <t>INV02310</t>
  </si>
  <si>
    <t>INV02311</t>
  </si>
  <si>
    <t>INV02312</t>
  </si>
  <si>
    <t>INV02313</t>
  </si>
  <si>
    <t>INV02314</t>
  </si>
  <si>
    <t>INV02315</t>
  </si>
  <si>
    <t>INV02316</t>
  </si>
  <si>
    <t>INV02317</t>
  </si>
  <si>
    <t>INV02318</t>
  </si>
  <si>
    <t>INV02319</t>
  </si>
  <si>
    <t>INV02320</t>
  </si>
  <si>
    <t>INV02321</t>
  </si>
  <si>
    <t>INV02322</t>
  </si>
  <si>
    <t>INV02323</t>
  </si>
  <si>
    <t>INV02324</t>
  </si>
  <si>
    <t>INV02325</t>
  </si>
  <si>
    <t>INV02326</t>
  </si>
  <si>
    <t>INV02327</t>
  </si>
  <si>
    <t>INV02328</t>
  </si>
  <si>
    <t>INV02329</t>
  </si>
  <si>
    <t>INV02330</t>
  </si>
  <si>
    <t>INV02331</t>
  </si>
  <si>
    <t>INV02332</t>
  </si>
  <si>
    <t>INV02333</t>
  </si>
  <si>
    <t>INV02334</t>
  </si>
  <si>
    <t>INV02335</t>
  </si>
  <si>
    <t>INV02336</t>
  </si>
  <si>
    <t>INV02337</t>
  </si>
  <si>
    <t>INV02338</t>
  </si>
  <si>
    <t>INV02339</t>
  </si>
  <si>
    <t>INV02340</t>
  </si>
  <si>
    <t>INV02341</t>
  </si>
  <si>
    <t>INV02342</t>
  </si>
  <si>
    <t>INV02343</t>
  </si>
  <si>
    <t>INV02344</t>
  </si>
  <si>
    <t>INV02345</t>
  </si>
  <si>
    <t>INV02346</t>
  </si>
  <si>
    <t>INV02347</t>
  </si>
  <si>
    <t>INV02348</t>
  </si>
  <si>
    <t>INV02349</t>
  </si>
  <si>
    <t>INV02350</t>
  </si>
  <si>
    <t>INV02351</t>
  </si>
  <si>
    <t>INV02352</t>
  </si>
  <si>
    <t>INV02353</t>
  </si>
  <si>
    <t>INV02354</t>
  </si>
  <si>
    <t>INV02355</t>
  </si>
  <si>
    <t>INV02356</t>
  </si>
  <si>
    <t>INV02357</t>
  </si>
  <si>
    <t>INV02358</t>
  </si>
  <si>
    <t>INV02359</t>
  </si>
  <si>
    <t>INV02360</t>
  </si>
  <si>
    <t>INV02361</t>
  </si>
  <si>
    <t>INV02362</t>
  </si>
  <si>
    <t>INV02363</t>
  </si>
  <si>
    <t>INV02364</t>
  </si>
  <si>
    <t>INV02365</t>
  </si>
  <si>
    <t>INV02366</t>
  </si>
  <si>
    <t>INV02367</t>
  </si>
  <si>
    <t>INV02368</t>
  </si>
  <si>
    <t>INV02369</t>
  </si>
  <si>
    <t>INV02370</t>
  </si>
  <si>
    <t>INV02371</t>
  </si>
  <si>
    <t>INV02372</t>
  </si>
  <si>
    <t>INV02373</t>
  </si>
  <si>
    <t>INV02374</t>
  </si>
  <si>
    <t>INV02375</t>
  </si>
  <si>
    <t>INV02376</t>
  </si>
  <si>
    <t>INV02377</t>
  </si>
  <si>
    <t>INV02378</t>
  </si>
  <si>
    <t>INV02379</t>
  </si>
  <si>
    <t>INV02380</t>
  </si>
  <si>
    <t>INV02381</t>
  </si>
  <si>
    <t>INV02382</t>
  </si>
  <si>
    <t>INV02383</t>
  </si>
  <si>
    <t>INV02384</t>
  </si>
  <si>
    <t>INV02385</t>
  </si>
  <si>
    <t>INV02386</t>
  </si>
  <si>
    <t>INV02387</t>
  </si>
  <si>
    <t>INV02388</t>
  </si>
  <si>
    <t>INV02389</t>
  </si>
  <si>
    <t>INV02390</t>
  </si>
  <si>
    <t>INV02391</t>
  </si>
  <si>
    <t>INV02392</t>
  </si>
  <si>
    <t>INV02393</t>
  </si>
  <si>
    <t>INV02394</t>
  </si>
  <si>
    <t>INV02395</t>
  </si>
  <si>
    <t>INV02396</t>
  </si>
  <si>
    <t>INV02397</t>
  </si>
  <si>
    <t>INV02398</t>
  </si>
  <si>
    <t>INV02399</t>
  </si>
  <si>
    <t>INV02400</t>
  </si>
  <si>
    <t>INV02401</t>
  </si>
  <si>
    <t>INV02402</t>
  </si>
  <si>
    <t>INV02403</t>
  </si>
  <si>
    <t>INV02404</t>
  </si>
  <si>
    <t>INV02405</t>
  </si>
  <si>
    <t>INV02406</t>
  </si>
  <si>
    <t>INV02407</t>
  </si>
  <si>
    <t>INV02408</t>
  </si>
  <si>
    <t>INV02409</t>
  </si>
  <si>
    <t>INV02410</t>
  </si>
  <si>
    <t>INV02411</t>
  </si>
  <si>
    <t>INV02412</t>
  </si>
  <si>
    <t>INV02413</t>
  </si>
  <si>
    <t>INV02414</t>
  </si>
  <si>
    <t>INV02415</t>
  </si>
  <si>
    <t>INV02416</t>
  </si>
  <si>
    <t>INV02417</t>
  </si>
  <si>
    <t>INV02418</t>
  </si>
  <si>
    <t>INV02419</t>
  </si>
  <si>
    <t>INV02420</t>
  </si>
  <si>
    <t>INV02421</t>
  </si>
  <si>
    <t>INV02422</t>
  </si>
  <si>
    <t>INV02423</t>
  </si>
  <si>
    <t>INV02424</t>
  </si>
  <si>
    <t>INV02425</t>
  </si>
  <si>
    <t>INV02426</t>
  </si>
  <si>
    <t>INV02427</t>
  </si>
  <si>
    <t>INV02428</t>
  </si>
  <si>
    <t>INV02429</t>
  </si>
  <si>
    <t>INV02430</t>
  </si>
  <si>
    <t>INV02431</t>
  </si>
  <si>
    <t>INV02432</t>
  </si>
  <si>
    <t>INV02433</t>
  </si>
  <si>
    <t>INV02434</t>
  </si>
  <si>
    <t>INV02435</t>
  </si>
  <si>
    <t>INV02436</t>
  </si>
  <si>
    <t>INV02437</t>
  </si>
  <si>
    <t>INV02438</t>
  </si>
  <si>
    <t>INV02439</t>
  </si>
  <si>
    <t>INV02440</t>
  </si>
  <si>
    <t>INV02441</t>
  </si>
  <si>
    <t>INV02442</t>
  </si>
  <si>
    <t>INV02443</t>
  </si>
  <si>
    <t>INV02444</t>
  </si>
  <si>
    <t>INV02445</t>
  </si>
  <si>
    <t>INV02446</t>
  </si>
  <si>
    <t>INV02447</t>
  </si>
  <si>
    <t>INV02448</t>
  </si>
  <si>
    <t>INV02449</t>
  </si>
  <si>
    <t>INV02450</t>
  </si>
  <si>
    <t>INV02451</t>
  </si>
  <si>
    <t>INV02452</t>
  </si>
  <si>
    <t>INV02453</t>
  </si>
  <si>
    <t>INV02454</t>
  </si>
  <si>
    <t>INV02455</t>
  </si>
  <si>
    <t>INV02456</t>
  </si>
  <si>
    <t>INV02457</t>
  </si>
  <si>
    <t>INV02458</t>
  </si>
  <si>
    <t>INV02459</t>
  </si>
  <si>
    <t>INV02460</t>
  </si>
  <si>
    <t>INV02461</t>
  </si>
  <si>
    <t>INV02462</t>
  </si>
  <si>
    <t>INV02463</t>
  </si>
  <si>
    <t>INV02464</t>
  </si>
  <si>
    <t>INV02465</t>
  </si>
  <si>
    <t>INV02466</t>
  </si>
  <si>
    <t>INV02467</t>
  </si>
  <si>
    <t>INV02468</t>
  </si>
  <si>
    <t>INV02469</t>
  </si>
  <si>
    <t>INV02470</t>
  </si>
  <si>
    <t>INV02471</t>
  </si>
  <si>
    <t>INV02472</t>
  </si>
  <si>
    <t>INV02473</t>
  </si>
  <si>
    <t>INV02474</t>
  </si>
  <si>
    <t>INV02475</t>
  </si>
  <si>
    <t>INV02476</t>
  </si>
  <si>
    <t>INV02477</t>
  </si>
  <si>
    <t>INV02478</t>
  </si>
  <si>
    <t>INV02479</t>
  </si>
  <si>
    <t>INV02480</t>
  </si>
  <si>
    <t>INV02481</t>
  </si>
  <si>
    <t>INV02482</t>
  </si>
  <si>
    <t>INV02483</t>
  </si>
  <si>
    <t>INV02484</t>
  </si>
  <si>
    <t>INV02485</t>
  </si>
  <si>
    <t>INV02486</t>
  </si>
  <si>
    <t>INV02487</t>
  </si>
  <si>
    <t>INV02488</t>
  </si>
  <si>
    <t>INV02489</t>
  </si>
  <si>
    <t>INV02490</t>
  </si>
  <si>
    <t>INV02491</t>
  </si>
  <si>
    <t>INV02492</t>
  </si>
  <si>
    <t>INV02493</t>
  </si>
  <si>
    <t>INV02494</t>
  </si>
  <si>
    <t>INV02495</t>
  </si>
  <si>
    <t>INV02496</t>
  </si>
  <si>
    <t>INV02497</t>
  </si>
  <si>
    <t>INV02498</t>
  </si>
  <si>
    <t>INV02499</t>
  </si>
  <si>
    <t>INV02500</t>
  </si>
  <si>
    <t>INV02501</t>
  </si>
  <si>
    <t>INV02502</t>
  </si>
  <si>
    <t>INV02503</t>
  </si>
  <si>
    <t>INV02504</t>
  </si>
  <si>
    <t>INV02505</t>
  </si>
  <si>
    <t>INV02506</t>
  </si>
  <si>
    <t>INV02507</t>
  </si>
  <si>
    <t>INV02508</t>
  </si>
  <si>
    <t>INV02509</t>
  </si>
  <si>
    <t>INV02510</t>
  </si>
  <si>
    <t>INV02511</t>
  </si>
  <si>
    <t>INV02512</t>
  </si>
  <si>
    <t>INV02513</t>
  </si>
  <si>
    <t>INV02514</t>
  </si>
  <si>
    <t>INV02515</t>
  </si>
  <si>
    <t>INV02516</t>
  </si>
  <si>
    <t>INV02517</t>
  </si>
  <si>
    <t>INV02518</t>
  </si>
  <si>
    <t>INV02519</t>
  </si>
  <si>
    <t>INV02520</t>
  </si>
  <si>
    <t>INV02521</t>
  </si>
  <si>
    <t>INV02522</t>
  </si>
  <si>
    <t>INV02523</t>
  </si>
  <si>
    <t>INV02524</t>
  </si>
  <si>
    <t>INV02525</t>
  </si>
  <si>
    <t>INV02526</t>
  </si>
  <si>
    <t>INV02527</t>
  </si>
  <si>
    <t>INV02528</t>
  </si>
  <si>
    <t>INV02529</t>
  </si>
  <si>
    <t>INV02530</t>
  </si>
  <si>
    <t>INV02531</t>
  </si>
  <si>
    <t>INV02532</t>
  </si>
  <si>
    <t>INV02533</t>
  </si>
  <si>
    <t>INV02534</t>
  </si>
  <si>
    <t>INV02535</t>
  </si>
  <si>
    <t>INV02536</t>
  </si>
  <si>
    <t>INV02537</t>
  </si>
  <si>
    <t>INV02538</t>
  </si>
  <si>
    <t>INV02539</t>
  </si>
  <si>
    <t>INV02540</t>
  </si>
  <si>
    <t>INV02541</t>
  </si>
  <si>
    <t>INV02542</t>
  </si>
  <si>
    <t>INV02543</t>
  </si>
  <si>
    <t>INV02544</t>
  </si>
  <si>
    <t>INV02545</t>
  </si>
  <si>
    <t>INV02546</t>
  </si>
  <si>
    <t>INV02547</t>
  </si>
  <si>
    <t>INV02548</t>
  </si>
  <si>
    <t>INV02549</t>
  </si>
  <si>
    <t>INV02550</t>
  </si>
  <si>
    <t>INV02551</t>
  </si>
  <si>
    <t>INV02552</t>
  </si>
  <si>
    <t>INV02553</t>
  </si>
  <si>
    <t>INV02554</t>
  </si>
  <si>
    <t>INV02555</t>
  </si>
  <si>
    <t>INV02556</t>
  </si>
  <si>
    <t>INV02557</t>
  </si>
  <si>
    <t>INV02558</t>
  </si>
  <si>
    <t>INV02559</t>
  </si>
  <si>
    <t>INV02560</t>
  </si>
  <si>
    <t>INV02561</t>
  </si>
  <si>
    <t>INV02562</t>
  </si>
  <si>
    <t>INV02563</t>
  </si>
  <si>
    <t>INV02564</t>
  </si>
  <si>
    <t>INV02565</t>
  </si>
  <si>
    <t>INV02566</t>
  </si>
  <si>
    <t>INV02567</t>
  </si>
  <si>
    <t>INV02568</t>
  </si>
  <si>
    <t>INV02569</t>
  </si>
  <si>
    <t>INV02570</t>
  </si>
  <si>
    <t>INV02571</t>
  </si>
  <si>
    <t>INV02572</t>
  </si>
  <si>
    <t>INV02573</t>
  </si>
  <si>
    <t>INV02574</t>
  </si>
  <si>
    <t>INV02575</t>
  </si>
  <si>
    <t>INV02576</t>
  </si>
  <si>
    <t>INV02577</t>
  </si>
  <si>
    <t>INV02578</t>
  </si>
  <si>
    <t>INV02579</t>
  </si>
  <si>
    <t>INV02580</t>
  </si>
  <si>
    <t>INV02581</t>
  </si>
  <si>
    <t>INV02582</t>
  </si>
  <si>
    <t>INV02583</t>
  </si>
  <si>
    <t>INV02584</t>
  </si>
  <si>
    <t>INV02585</t>
  </si>
  <si>
    <t>INV02586</t>
  </si>
  <si>
    <t>INV02587</t>
  </si>
  <si>
    <t>INV02588</t>
  </si>
  <si>
    <t>INV02589</t>
  </si>
  <si>
    <t>INV02590</t>
  </si>
  <si>
    <t>INV02591</t>
  </si>
  <si>
    <t>INV02592</t>
  </si>
  <si>
    <t>INV02593</t>
  </si>
  <si>
    <t>INV02594</t>
  </si>
  <si>
    <t>INV02595</t>
  </si>
  <si>
    <t>INV02596</t>
  </si>
  <si>
    <t>INV02597</t>
  </si>
  <si>
    <t>INV02598</t>
  </si>
  <si>
    <t>INV02599</t>
  </si>
  <si>
    <t>INV02600</t>
  </si>
  <si>
    <t>INV02601</t>
  </si>
  <si>
    <t>INV02602</t>
  </si>
  <si>
    <t>INV02603</t>
  </si>
  <si>
    <t>INV02604</t>
  </si>
  <si>
    <t>INV02605</t>
  </si>
  <si>
    <t>INV02606</t>
  </si>
  <si>
    <t>INV02607</t>
  </si>
  <si>
    <t>INV02608</t>
  </si>
  <si>
    <t>INV02609</t>
  </si>
  <si>
    <t>INV02610</t>
  </si>
  <si>
    <t>INV02611</t>
  </si>
  <si>
    <t>INV02612</t>
  </si>
  <si>
    <t>INV02613</t>
  </si>
  <si>
    <t>INV02614</t>
  </si>
  <si>
    <t>INV02615</t>
  </si>
  <si>
    <t>INV02616</t>
  </si>
  <si>
    <t>INV02617</t>
  </si>
  <si>
    <t>INV02618</t>
  </si>
  <si>
    <t>INV02619</t>
  </si>
  <si>
    <t>INV02620</t>
  </si>
  <si>
    <t>INV02621</t>
  </si>
  <si>
    <t>INV02622</t>
  </si>
  <si>
    <t>INV02623</t>
  </si>
  <si>
    <t>INV02624</t>
  </si>
  <si>
    <t>INV02625</t>
  </si>
  <si>
    <t>INV02626</t>
  </si>
  <si>
    <t>INV02627</t>
  </si>
  <si>
    <t>INV02628</t>
  </si>
  <si>
    <t>INV02629</t>
  </si>
  <si>
    <t>INV02630</t>
  </si>
  <si>
    <t>INV02631</t>
  </si>
  <si>
    <t>INV02632</t>
  </si>
  <si>
    <t>INV02633</t>
  </si>
  <si>
    <t>INV02634</t>
  </si>
  <si>
    <t>INV02635</t>
  </si>
  <si>
    <t>INV02636</t>
  </si>
  <si>
    <t>INV02637</t>
  </si>
  <si>
    <t>INV02638</t>
  </si>
  <si>
    <t>INV02639</t>
  </si>
  <si>
    <t>INV02640</t>
  </si>
  <si>
    <t>INV02641</t>
  </si>
  <si>
    <t>INV02642</t>
  </si>
  <si>
    <t>INV02643</t>
  </si>
  <si>
    <t>INV02644</t>
  </si>
  <si>
    <t>INV02645</t>
  </si>
  <si>
    <t>INV02646</t>
  </si>
  <si>
    <t>INV02647</t>
  </si>
  <si>
    <t>INV02648</t>
  </si>
  <si>
    <t>INV02649</t>
  </si>
  <si>
    <t>INV02650</t>
  </si>
  <si>
    <t>INV02651</t>
  </si>
  <si>
    <t>INV02652</t>
  </si>
  <si>
    <t>INV02653</t>
  </si>
  <si>
    <t>INV02654</t>
  </si>
  <si>
    <t>INV02655</t>
  </si>
  <si>
    <t>INV02656</t>
  </si>
  <si>
    <t>INV02657</t>
  </si>
  <si>
    <t>INV02658</t>
  </si>
  <si>
    <t>INV02659</t>
  </si>
  <si>
    <t>INV02660</t>
  </si>
  <si>
    <t>INV02661</t>
  </si>
  <si>
    <t>INV02662</t>
  </si>
  <si>
    <t>INV02663</t>
  </si>
  <si>
    <t>INV02664</t>
  </si>
  <si>
    <t>INV02665</t>
  </si>
  <si>
    <t>INV02666</t>
  </si>
  <si>
    <t>INV02667</t>
  </si>
  <si>
    <t>INV02668</t>
  </si>
  <si>
    <t>INV02669</t>
  </si>
  <si>
    <t>INV02670</t>
  </si>
  <si>
    <t>INV02671</t>
  </si>
  <si>
    <t>INV02672</t>
  </si>
  <si>
    <t>INV02673</t>
  </si>
  <si>
    <t>INV02674</t>
  </si>
  <si>
    <t>INV02675</t>
  </si>
  <si>
    <t>INV02676</t>
  </si>
  <si>
    <t>INV02677</t>
  </si>
  <si>
    <t>INV02678</t>
  </si>
  <si>
    <t>INV02679</t>
  </si>
  <si>
    <t>INV02680</t>
  </si>
  <si>
    <t>INV02681</t>
  </si>
  <si>
    <t>INV02682</t>
  </si>
  <si>
    <t>INV02683</t>
  </si>
  <si>
    <t>INV02684</t>
  </si>
  <si>
    <t>INV02685</t>
  </si>
  <si>
    <t>INV02686</t>
  </si>
  <si>
    <t>INV02687</t>
  </si>
  <si>
    <t>INV02688</t>
  </si>
  <si>
    <t>INV02689</t>
  </si>
  <si>
    <t>INV02690</t>
  </si>
  <si>
    <t>INV02691</t>
  </si>
  <si>
    <t>INV02692</t>
  </si>
  <si>
    <t>INV02693</t>
  </si>
  <si>
    <t>INV02694</t>
  </si>
  <si>
    <t>INV02695</t>
  </si>
  <si>
    <t>INV02696</t>
  </si>
  <si>
    <t>INV02697</t>
  </si>
  <si>
    <t>INV02698</t>
  </si>
  <si>
    <t>INV02699</t>
  </si>
  <si>
    <t>INV02700</t>
  </si>
  <si>
    <t>INV02701</t>
  </si>
  <si>
    <t>INV02702</t>
  </si>
  <si>
    <t>INV02703</t>
  </si>
  <si>
    <t>INV02704</t>
  </si>
  <si>
    <t>INV02705</t>
  </si>
  <si>
    <t>INV02706</t>
  </si>
  <si>
    <t>INV02707</t>
  </si>
  <si>
    <t>INV02708</t>
  </si>
  <si>
    <t>INV02709</t>
  </si>
  <si>
    <t>INV02710</t>
  </si>
  <si>
    <t>INV02711</t>
  </si>
  <si>
    <t>INV02712</t>
  </si>
  <si>
    <t>INV02713</t>
  </si>
  <si>
    <t>INV02714</t>
  </si>
  <si>
    <t>INV02715</t>
  </si>
  <si>
    <t>INV02716</t>
  </si>
  <si>
    <t>INV02717</t>
  </si>
  <si>
    <t>INV02718</t>
  </si>
  <si>
    <t>INV02719</t>
  </si>
  <si>
    <t>INV02720</t>
  </si>
  <si>
    <t>INV02721</t>
  </si>
  <si>
    <t>INV02722</t>
  </si>
  <si>
    <t>INV02723</t>
  </si>
  <si>
    <t>INV02724</t>
  </si>
  <si>
    <t>INV02725</t>
  </si>
  <si>
    <t>INV02726</t>
  </si>
  <si>
    <t>INV02727</t>
  </si>
  <si>
    <t>INV02728</t>
  </si>
  <si>
    <t>INV02729</t>
  </si>
  <si>
    <t>INV02730</t>
  </si>
  <si>
    <t>INV02731</t>
  </si>
  <si>
    <t>INV02732</t>
  </si>
  <si>
    <t>INV02733</t>
  </si>
  <si>
    <t>INV02734</t>
  </si>
  <si>
    <t>INV02735</t>
  </si>
  <si>
    <t>INV02736</t>
  </si>
  <si>
    <t>INV02737</t>
  </si>
  <si>
    <t>INV02738</t>
  </si>
  <si>
    <t>INV02739</t>
  </si>
  <si>
    <t>INV02740</t>
  </si>
  <si>
    <t>INV02741</t>
  </si>
  <si>
    <t>INV02742</t>
  </si>
  <si>
    <t>INV02743</t>
  </si>
  <si>
    <t>INV02744</t>
  </si>
  <si>
    <t>INV02745</t>
  </si>
  <si>
    <t>INV02746</t>
  </si>
  <si>
    <t>INV02747</t>
  </si>
  <si>
    <t>INV02748</t>
  </si>
  <si>
    <t>INV02749</t>
  </si>
  <si>
    <t>INV02750</t>
  </si>
  <si>
    <t>INV02751</t>
  </si>
  <si>
    <t>INV02752</t>
  </si>
  <si>
    <t>INV02753</t>
  </si>
  <si>
    <t>INV02754</t>
  </si>
  <si>
    <t>INV02755</t>
  </si>
  <si>
    <t>INV02756</t>
  </si>
  <si>
    <t>INV02757</t>
  </si>
  <si>
    <t>INV02758</t>
  </si>
  <si>
    <t>INV02759</t>
  </si>
  <si>
    <t>INV02760</t>
  </si>
  <si>
    <t>INV02761</t>
  </si>
  <si>
    <t>INV02762</t>
  </si>
  <si>
    <t>INV02763</t>
  </si>
  <si>
    <t>INV02764</t>
  </si>
  <si>
    <t>INV02765</t>
  </si>
  <si>
    <t>INV02766</t>
  </si>
  <si>
    <t>INV02767</t>
  </si>
  <si>
    <t>INV02768</t>
  </si>
  <si>
    <t>INV02769</t>
  </si>
  <si>
    <t>INV02770</t>
  </si>
  <si>
    <t>INV02771</t>
  </si>
  <si>
    <t>INV02772</t>
  </si>
  <si>
    <t>INV02773</t>
  </si>
  <si>
    <t>INV02774</t>
  </si>
  <si>
    <t>INV02775</t>
  </si>
  <si>
    <t>INV02776</t>
  </si>
  <si>
    <t>INV02777</t>
  </si>
  <si>
    <t>INV02778</t>
  </si>
  <si>
    <t>INV02779</t>
  </si>
  <si>
    <t>INV02780</t>
  </si>
  <si>
    <t>INV02781</t>
  </si>
  <si>
    <t>INV02782</t>
  </si>
  <si>
    <t>INV02783</t>
  </si>
  <si>
    <t>INV02784</t>
  </si>
  <si>
    <t>INV02785</t>
  </si>
  <si>
    <t>INV02786</t>
  </si>
  <si>
    <t>INV02787</t>
  </si>
  <si>
    <t>INV02788</t>
  </si>
  <si>
    <t>INV02789</t>
  </si>
  <si>
    <t>INV02790</t>
  </si>
  <si>
    <t>INV02791</t>
  </si>
  <si>
    <t>INV02792</t>
  </si>
  <si>
    <t>INV02793</t>
  </si>
  <si>
    <t>INV02794</t>
  </si>
  <si>
    <t>INV02795</t>
  </si>
  <si>
    <t>INV02796</t>
  </si>
  <si>
    <t>INV02797</t>
  </si>
  <si>
    <t>INV02798</t>
  </si>
  <si>
    <t>INV02799</t>
  </si>
  <si>
    <t>INV02800</t>
  </si>
  <si>
    <t>INV02801</t>
  </si>
  <si>
    <t>INV02802</t>
  </si>
  <si>
    <t>INV02803</t>
  </si>
  <si>
    <t>INV02804</t>
  </si>
  <si>
    <t>INV02805</t>
  </si>
  <si>
    <t>INV02806</t>
  </si>
  <si>
    <t>INV02807</t>
  </si>
  <si>
    <t>INV02808</t>
  </si>
  <si>
    <t>INV02809</t>
  </si>
  <si>
    <t>INV02810</t>
  </si>
  <si>
    <t>INV02811</t>
  </si>
  <si>
    <t>INV02812</t>
  </si>
  <si>
    <t>INV02813</t>
  </si>
  <si>
    <t>INV02814</t>
  </si>
  <si>
    <t>INV02815</t>
  </si>
  <si>
    <t>INV02816</t>
  </si>
  <si>
    <t>INV02817</t>
  </si>
  <si>
    <t>INV02818</t>
  </si>
  <si>
    <t>INV02819</t>
  </si>
  <si>
    <t>INV02820</t>
  </si>
  <si>
    <t>INV02821</t>
  </si>
  <si>
    <t>INV02822</t>
  </si>
  <si>
    <t>INV02823</t>
  </si>
  <si>
    <t>INV02824</t>
  </si>
  <si>
    <t>INV02825</t>
  </si>
  <si>
    <t>INV02826</t>
  </si>
  <si>
    <t>INV02827</t>
  </si>
  <si>
    <t>INV02828</t>
  </si>
  <si>
    <t>INV02829</t>
  </si>
  <si>
    <t>INV02830</t>
  </si>
  <si>
    <t>INV02831</t>
  </si>
  <si>
    <t>INV02832</t>
  </si>
  <si>
    <t>INV02833</t>
  </si>
  <si>
    <t>INV02834</t>
  </si>
  <si>
    <t>INV02835</t>
  </si>
  <si>
    <t>INV02836</t>
  </si>
  <si>
    <t>INV02837</t>
  </si>
  <si>
    <t>INV02838</t>
  </si>
  <si>
    <t>INV02839</t>
  </si>
  <si>
    <t>INV02840</t>
  </si>
  <si>
    <t>INV02841</t>
  </si>
  <si>
    <t>INV02842</t>
  </si>
  <si>
    <t>INV02843</t>
  </si>
  <si>
    <t>INV02844</t>
  </si>
  <si>
    <t>INV02845</t>
  </si>
  <si>
    <t>INV02846</t>
  </si>
  <si>
    <t>INV02847</t>
  </si>
  <si>
    <t>INV02848</t>
  </si>
  <si>
    <t>INV02849</t>
  </si>
  <si>
    <t>INV02850</t>
  </si>
  <si>
    <t>INV02851</t>
  </si>
  <si>
    <t>INV02852</t>
  </si>
  <si>
    <t>INV02853</t>
  </si>
  <si>
    <t>INV02854</t>
  </si>
  <si>
    <t>INV02855</t>
  </si>
  <si>
    <t>INV02856</t>
  </si>
  <si>
    <t>INV02857</t>
  </si>
  <si>
    <t>INV02858</t>
  </si>
  <si>
    <t>INV02859</t>
  </si>
  <si>
    <t>INV02860</t>
  </si>
  <si>
    <t>INV02861</t>
  </si>
  <si>
    <t>INV02862</t>
  </si>
  <si>
    <t>INV02863</t>
  </si>
  <si>
    <t>INV02864</t>
  </si>
  <si>
    <t>INV02865</t>
  </si>
  <si>
    <t>INV02866</t>
  </si>
  <si>
    <t>INV02867</t>
  </si>
  <si>
    <t>INV02868</t>
  </si>
  <si>
    <t>INV02869</t>
  </si>
  <si>
    <t>INV02870</t>
  </si>
  <si>
    <t>INV02871</t>
  </si>
  <si>
    <t>INV02872</t>
  </si>
  <si>
    <t>INV02873</t>
  </si>
  <si>
    <t>INV02874</t>
  </si>
  <si>
    <t>INV02875</t>
  </si>
  <si>
    <t>INV02876</t>
  </si>
  <si>
    <t>INV02877</t>
  </si>
  <si>
    <t>INV02878</t>
  </si>
  <si>
    <t>INV02879</t>
  </si>
  <si>
    <t>INV02880</t>
  </si>
  <si>
    <t>INV02881</t>
  </si>
  <si>
    <t>INV02882</t>
  </si>
  <si>
    <t>INV02883</t>
  </si>
  <si>
    <t>INV02884</t>
  </si>
  <si>
    <t>INV02885</t>
  </si>
  <si>
    <t>INV02886</t>
  </si>
  <si>
    <t>INV02887</t>
  </si>
  <si>
    <t>INV02888</t>
  </si>
  <si>
    <t>INV02889</t>
  </si>
  <si>
    <t>INV02890</t>
  </si>
  <si>
    <t>INV02891</t>
  </si>
  <si>
    <t>INV02892</t>
  </si>
  <si>
    <t>INV02893</t>
  </si>
  <si>
    <t>INV02894</t>
  </si>
  <si>
    <t>INV02895</t>
  </si>
  <si>
    <t>INV02896</t>
  </si>
  <si>
    <t>INV02897</t>
  </si>
  <si>
    <t>INV02898</t>
  </si>
  <si>
    <t>INV02899</t>
  </si>
  <si>
    <t>INV02900</t>
  </si>
  <si>
    <t>INV02901</t>
  </si>
  <si>
    <t>INV02902</t>
  </si>
  <si>
    <t>INV02903</t>
  </si>
  <si>
    <t>INV02904</t>
  </si>
  <si>
    <t>INV02905</t>
  </si>
  <si>
    <t>INV02906</t>
  </si>
  <si>
    <t>INV02907</t>
  </si>
  <si>
    <t>INV02908</t>
  </si>
  <si>
    <t>INV02909</t>
  </si>
  <si>
    <t>INV02910</t>
  </si>
  <si>
    <t>INV02911</t>
  </si>
  <si>
    <t>INV02912</t>
  </si>
  <si>
    <t>INV02913</t>
  </si>
  <si>
    <t>INV02914</t>
  </si>
  <si>
    <t>INV02915</t>
  </si>
  <si>
    <t>INV02916</t>
  </si>
  <si>
    <t>INV02917</t>
  </si>
  <si>
    <t>INV02918</t>
  </si>
  <si>
    <t>INV02919</t>
  </si>
  <si>
    <t>INV02920</t>
  </si>
  <si>
    <t>INV02921</t>
  </si>
  <si>
    <t>INV02922</t>
  </si>
  <si>
    <t>INV02923</t>
  </si>
  <si>
    <t>INV02924</t>
  </si>
  <si>
    <t>INV02925</t>
  </si>
  <si>
    <t>INV02926</t>
  </si>
  <si>
    <t>INV02927</t>
  </si>
  <si>
    <t>INV02928</t>
  </si>
  <si>
    <t>INV02929</t>
  </si>
  <si>
    <t>INV02930</t>
  </si>
  <si>
    <t>INV02931</t>
  </si>
  <si>
    <t>INV02932</t>
  </si>
  <si>
    <t>INV02933</t>
  </si>
  <si>
    <t>INV02934</t>
  </si>
  <si>
    <t>INV02935</t>
  </si>
  <si>
    <t>INV02936</t>
  </si>
  <si>
    <t>INV02937</t>
  </si>
  <si>
    <t>INV02938</t>
  </si>
  <si>
    <t>INV02939</t>
  </si>
  <si>
    <t>INV02940</t>
  </si>
  <si>
    <t>INV02941</t>
  </si>
  <si>
    <t>INV02942</t>
  </si>
  <si>
    <t>INV02943</t>
  </si>
  <si>
    <t>INV02944</t>
  </si>
  <si>
    <t>INV02945</t>
  </si>
  <si>
    <t>INV02946</t>
  </si>
  <si>
    <t>INV02947</t>
  </si>
  <si>
    <t>INV02948</t>
  </si>
  <si>
    <t>INV02949</t>
  </si>
  <si>
    <t>INV02950</t>
  </si>
  <si>
    <t>INV02951</t>
  </si>
  <si>
    <t>INV02952</t>
  </si>
  <si>
    <t>INV02953</t>
  </si>
  <si>
    <t>INV02954</t>
  </si>
  <si>
    <t>INV02955</t>
  </si>
  <si>
    <t>INV02956</t>
  </si>
  <si>
    <t>INV02957</t>
  </si>
  <si>
    <t>INV02958</t>
  </si>
  <si>
    <t>INV02959</t>
  </si>
  <si>
    <t>INV02960</t>
  </si>
  <si>
    <t>INV02961</t>
  </si>
  <si>
    <t>INV02962</t>
  </si>
  <si>
    <t>INV02963</t>
  </si>
  <si>
    <t>INV02964</t>
  </si>
  <si>
    <t>INV02965</t>
  </si>
  <si>
    <t>INV02966</t>
  </si>
  <si>
    <t>INV02967</t>
  </si>
  <si>
    <t>INV02968</t>
  </si>
  <si>
    <t>INV02969</t>
  </si>
  <si>
    <t>INV02970</t>
  </si>
  <si>
    <t>INV02971</t>
  </si>
  <si>
    <t>INV02972</t>
  </si>
  <si>
    <t>INV02973</t>
  </si>
  <si>
    <t>INV02974</t>
  </si>
  <si>
    <t>INV02975</t>
  </si>
  <si>
    <t>INV02976</t>
  </si>
  <si>
    <t>INV02977</t>
  </si>
  <si>
    <t>INV02978</t>
  </si>
  <si>
    <t>INV02979</t>
  </si>
  <si>
    <t>INV02980</t>
  </si>
  <si>
    <t>INV02981</t>
  </si>
  <si>
    <t>INV02982</t>
  </si>
  <si>
    <t>INV02983</t>
  </si>
  <si>
    <t>INV02984</t>
  </si>
  <si>
    <t>INV02985</t>
  </si>
  <si>
    <t>INV02986</t>
  </si>
  <si>
    <t>INV02987</t>
  </si>
  <si>
    <t>INV02988</t>
  </si>
  <si>
    <t>INV02989</t>
  </si>
  <si>
    <t>INV02990</t>
  </si>
  <si>
    <t>INV02991</t>
  </si>
  <si>
    <t>INV02992</t>
  </si>
  <si>
    <t>INV02993</t>
  </si>
  <si>
    <t>INV02994</t>
  </si>
  <si>
    <t>INV02995</t>
  </si>
  <si>
    <t>INV02996</t>
  </si>
  <si>
    <t>INV02997</t>
  </si>
  <si>
    <t>INV02998</t>
  </si>
  <si>
    <t>INV02999</t>
  </si>
  <si>
    <t>INV03000</t>
  </si>
  <si>
    <t>INV03001</t>
  </si>
  <si>
    <t>INV03002</t>
  </si>
  <si>
    <t>INV03003</t>
  </si>
  <si>
    <t>INV03004</t>
  </si>
  <si>
    <t>INV03005</t>
  </si>
  <si>
    <t>INV03006</t>
  </si>
  <si>
    <t>INV03007</t>
  </si>
  <si>
    <t>INV03008</t>
  </si>
  <si>
    <t>INV03009</t>
  </si>
  <si>
    <t>INV03010</t>
  </si>
  <si>
    <t>INV03011</t>
  </si>
  <si>
    <t>INV03012</t>
  </si>
  <si>
    <t>INV03013</t>
  </si>
  <si>
    <t>INV03014</t>
  </si>
  <si>
    <t>INV03015</t>
  </si>
  <si>
    <t>INV03016</t>
  </si>
  <si>
    <t>INV03017</t>
  </si>
  <si>
    <t>INV03018</t>
  </si>
  <si>
    <t>INV03019</t>
  </si>
  <si>
    <t>INV03020</t>
  </si>
  <si>
    <t>INV03021</t>
  </si>
  <si>
    <t>INV03022</t>
  </si>
  <si>
    <t>INV03023</t>
  </si>
  <si>
    <t>INV03024</t>
  </si>
  <si>
    <t>INV03025</t>
  </si>
  <si>
    <t>INV03026</t>
  </si>
  <si>
    <t>INV03027</t>
  </si>
  <si>
    <t>INV03028</t>
  </si>
  <si>
    <t>INV03029</t>
  </si>
  <si>
    <t>INV03030</t>
  </si>
  <si>
    <t>INV03031</t>
  </si>
  <si>
    <t>INV03032</t>
  </si>
  <si>
    <t>INV03033</t>
  </si>
  <si>
    <t>INV03034</t>
  </si>
  <si>
    <t>INV03035</t>
  </si>
  <si>
    <t>INV03036</t>
  </si>
  <si>
    <t>INV03037</t>
  </si>
  <si>
    <t>INV03038</t>
  </si>
  <si>
    <t>INV03039</t>
  </si>
  <si>
    <t>INV03040</t>
  </si>
  <si>
    <t>INV03041</t>
  </si>
  <si>
    <t>INV03042</t>
  </si>
  <si>
    <t>INV03043</t>
  </si>
  <si>
    <t>INV03044</t>
  </si>
  <si>
    <t>INV03045</t>
  </si>
  <si>
    <t>INV03046</t>
  </si>
  <si>
    <t>INV03047</t>
  </si>
  <si>
    <t>INV03048</t>
  </si>
  <si>
    <t>INV03049</t>
  </si>
  <si>
    <t>INV03050</t>
  </si>
  <si>
    <t>INV03051</t>
  </si>
  <si>
    <t>INV03052</t>
  </si>
  <si>
    <t>INV03053</t>
  </si>
  <si>
    <t>INV03054</t>
  </si>
  <si>
    <t>INV03055</t>
  </si>
  <si>
    <t>INV03056</t>
  </si>
  <si>
    <t>INV03057</t>
  </si>
  <si>
    <t>INV03058</t>
  </si>
  <si>
    <t>INV03059</t>
  </si>
  <si>
    <t>INV03060</t>
  </si>
  <si>
    <t>INV03061</t>
  </si>
  <si>
    <t>INV03062</t>
  </si>
  <si>
    <t>INV03063</t>
  </si>
  <si>
    <t>INV03064</t>
  </si>
  <si>
    <t>INV03065</t>
  </si>
  <si>
    <t>INV03066</t>
  </si>
  <si>
    <t>INV03067</t>
  </si>
  <si>
    <t>INV03068</t>
  </si>
  <si>
    <t>INV03069</t>
  </si>
  <si>
    <t>INV03070</t>
  </si>
  <si>
    <t>INV03071</t>
  </si>
  <si>
    <t>INV03072</t>
  </si>
  <si>
    <t>INV03073</t>
  </si>
  <si>
    <t>INV03074</t>
  </si>
  <si>
    <t>INV03075</t>
  </si>
  <si>
    <t>INV03076</t>
  </si>
  <si>
    <t>INV03077</t>
  </si>
  <si>
    <t>INV03078</t>
  </si>
  <si>
    <t>INV03079</t>
  </si>
  <si>
    <t>INV03080</t>
  </si>
  <si>
    <t>INV03081</t>
  </si>
  <si>
    <t>INV03082</t>
  </si>
  <si>
    <t>INV03083</t>
  </si>
  <si>
    <t>INV03084</t>
  </si>
  <si>
    <t>INV03085</t>
  </si>
  <si>
    <t>INV03086</t>
  </si>
  <si>
    <t>INV03087</t>
  </si>
  <si>
    <t>INV03088</t>
  </si>
  <si>
    <t>INV03089</t>
  </si>
  <si>
    <t>INV03090</t>
  </si>
  <si>
    <t>INV03091</t>
  </si>
  <si>
    <t>INV03092</t>
  </si>
  <si>
    <t>INV03093</t>
  </si>
  <si>
    <t>INV03094</t>
  </si>
  <si>
    <t>INV03095</t>
  </si>
  <si>
    <t>INV03096</t>
  </si>
  <si>
    <t>INV03097</t>
  </si>
  <si>
    <t>INV03098</t>
  </si>
  <si>
    <t>INV03099</t>
  </si>
  <si>
    <t>INV03100</t>
  </si>
  <si>
    <t>INV03101</t>
  </si>
  <si>
    <t>INV03102</t>
  </si>
  <si>
    <t>INV03103</t>
  </si>
  <si>
    <t>INV03104</t>
  </si>
  <si>
    <t>INV03105</t>
  </si>
  <si>
    <t>INV03106</t>
  </si>
  <si>
    <t>INV03107</t>
  </si>
  <si>
    <t>INV03108</t>
  </si>
  <si>
    <t>INV03109</t>
  </si>
  <si>
    <t>INV03110</t>
  </si>
  <si>
    <t>INV03111</t>
  </si>
  <si>
    <t>INV03112</t>
  </si>
  <si>
    <t>INV03113</t>
  </si>
  <si>
    <t>INV03114</t>
  </si>
  <si>
    <t>INV03115</t>
  </si>
  <si>
    <t>INV03116</t>
  </si>
  <si>
    <t>INV03117</t>
  </si>
  <si>
    <t>INV03118</t>
  </si>
  <si>
    <t>INV03119</t>
  </si>
  <si>
    <t>INV03120</t>
  </si>
  <si>
    <t>INV03121</t>
  </si>
  <si>
    <t>INV03122</t>
  </si>
  <si>
    <t>INV03123</t>
  </si>
  <si>
    <t>INV03124</t>
  </si>
  <si>
    <t>INV03125</t>
  </si>
  <si>
    <t>INV03126</t>
  </si>
  <si>
    <t>INV03127</t>
  </si>
  <si>
    <t>INV03128</t>
  </si>
  <si>
    <t>INV03129</t>
  </si>
  <si>
    <t>INV03130</t>
  </si>
  <si>
    <t>INV03131</t>
  </si>
  <si>
    <t>INV03132</t>
  </si>
  <si>
    <t>INV03133</t>
  </si>
  <si>
    <t>INV03134</t>
  </si>
  <si>
    <t>INV03135</t>
  </si>
  <si>
    <t>INV03136</t>
  </si>
  <si>
    <t>INV03137</t>
  </si>
  <si>
    <t>INV03138</t>
  </si>
  <si>
    <t>INV03139</t>
  </si>
  <si>
    <t>INV03140</t>
  </si>
  <si>
    <t>INV03141</t>
  </si>
  <si>
    <t>INV03142</t>
  </si>
  <si>
    <t>INV03143</t>
  </si>
  <si>
    <t>INV03144</t>
  </si>
  <si>
    <t>INV03145</t>
  </si>
  <si>
    <t>INV03146</t>
  </si>
  <si>
    <t>INV03147</t>
  </si>
  <si>
    <t>INV03148</t>
  </si>
  <si>
    <t>INV03149</t>
  </si>
  <si>
    <t>INV03150</t>
  </si>
  <si>
    <t>INV03151</t>
  </si>
  <si>
    <t>INV03152</t>
  </si>
  <si>
    <t>INV03153</t>
  </si>
  <si>
    <t>INV03154</t>
  </si>
  <si>
    <t>INV03155</t>
  </si>
  <si>
    <t>INV03156</t>
  </si>
  <si>
    <t>INV03157</t>
  </si>
  <si>
    <t>INV03158</t>
  </si>
  <si>
    <t>INV03159</t>
  </si>
  <si>
    <t>INV03160</t>
  </si>
  <si>
    <t>INV03161</t>
  </si>
  <si>
    <t>INV03162</t>
  </si>
  <si>
    <t>INV03163</t>
  </si>
  <si>
    <t>INV03164</t>
  </si>
  <si>
    <t>INV03165</t>
  </si>
  <si>
    <t>INV03166</t>
  </si>
  <si>
    <t>INV03167</t>
  </si>
  <si>
    <t>INV03168</t>
  </si>
  <si>
    <t>INV03169</t>
  </si>
  <si>
    <t>INV03170</t>
  </si>
  <si>
    <t>INV03171</t>
  </si>
  <si>
    <t>INV03172</t>
  </si>
  <si>
    <t>INV03173</t>
  </si>
  <si>
    <t>INV03174</t>
  </si>
  <si>
    <t>INV03175</t>
  </si>
  <si>
    <t>INV03176</t>
  </si>
  <si>
    <t>INV03177</t>
  </si>
  <si>
    <t>INV03178</t>
  </si>
  <si>
    <t>INV03179</t>
  </si>
  <si>
    <t>INV03180</t>
  </si>
  <si>
    <t>INV03181</t>
  </si>
  <si>
    <t>INV03182</t>
  </si>
  <si>
    <t>INV03183</t>
  </si>
  <si>
    <t>INV03184</t>
  </si>
  <si>
    <t>INV03185</t>
  </si>
  <si>
    <t>INV03186</t>
  </si>
  <si>
    <t>INV03187</t>
  </si>
  <si>
    <t>INV03188</t>
  </si>
  <si>
    <t>INV03189</t>
  </si>
  <si>
    <t>INV03190</t>
  </si>
  <si>
    <t>INV03191</t>
  </si>
  <si>
    <t>INV03192</t>
  </si>
  <si>
    <t>INV03193</t>
  </si>
  <si>
    <t>INV03194</t>
  </si>
  <si>
    <t>INV03195</t>
  </si>
  <si>
    <t>INV03196</t>
  </si>
  <si>
    <t>INV03197</t>
  </si>
  <si>
    <t>INV03198</t>
  </si>
  <si>
    <t>INV03199</t>
  </si>
  <si>
    <t>INV03200</t>
  </si>
  <si>
    <t>INV03201</t>
  </si>
  <si>
    <t>INV03202</t>
  </si>
  <si>
    <t>INV03203</t>
  </si>
  <si>
    <t>INV03204</t>
  </si>
  <si>
    <t>INV03205</t>
  </si>
  <si>
    <t>INV03206</t>
  </si>
  <si>
    <t>INV03207</t>
  </si>
  <si>
    <t>INV03208</t>
  </si>
  <si>
    <t>INV03209</t>
  </si>
  <si>
    <t>INV03210</t>
  </si>
  <si>
    <t>INV03211</t>
  </si>
  <si>
    <t>INV03212</t>
  </si>
  <si>
    <t>INV03213</t>
  </si>
  <si>
    <t>INV03214</t>
  </si>
  <si>
    <t>INV03215</t>
  </si>
  <si>
    <t>INV03216</t>
  </si>
  <si>
    <t>INV03217</t>
  </si>
  <si>
    <t>INV03218</t>
  </si>
  <si>
    <t>INV03219</t>
  </si>
  <si>
    <t>INV03220</t>
  </si>
  <si>
    <t>INV03221</t>
  </si>
  <si>
    <t>INV03222</t>
  </si>
  <si>
    <t>INV03223</t>
  </si>
  <si>
    <t>INV03224</t>
  </si>
  <si>
    <t>INV03225</t>
  </si>
  <si>
    <t>INV03226</t>
  </si>
  <si>
    <t>INV03227</t>
  </si>
  <si>
    <t>INV03228</t>
  </si>
  <si>
    <t>INV03229</t>
  </si>
  <si>
    <t>INV03230</t>
  </si>
  <si>
    <t>INV03231</t>
  </si>
  <si>
    <t>INV03232</t>
  </si>
  <si>
    <t>INV03233</t>
  </si>
  <si>
    <t>INV03234</t>
  </si>
  <si>
    <t>INV03235</t>
  </si>
  <si>
    <t>INV03236</t>
  </si>
  <si>
    <t>INV03237</t>
  </si>
  <si>
    <t>INV03238</t>
  </si>
  <si>
    <t>INV03239</t>
  </si>
  <si>
    <t>INV03240</t>
  </si>
  <si>
    <t>INV03241</t>
  </si>
  <si>
    <t>INV03242</t>
  </si>
  <si>
    <t>INV03243</t>
  </si>
  <si>
    <t>INV03244</t>
  </si>
  <si>
    <t>INV03245</t>
  </si>
  <si>
    <t>INV03246</t>
  </si>
  <si>
    <t>INV03247</t>
  </si>
  <si>
    <t>INV03248</t>
  </si>
  <si>
    <t>INV03249</t>
  </si>
  <si>
    <t>INV03250</t>
  </si>
  <si>
    <t>INV03251</t>
  </si>
  <si>
    <t>INV03252</t>
  </si>
  <si>
    <t>INV03253</t>
  </si>
  <si>
    <t>INV03254</t>
  </si>
  <si>
    <t>INV03255</t>
  </si>
  <si>
    <t>INV03256</t>
  </si>
  <si>
    <t>INV03257</t>
  </si>
  <si>
    <t>INV03258</t>
  </si>
  <si>
    <t>INV03259</t>
  </si>
  <si>
    <t>INV03260</t>
  </si>
  <si>
    <t>INV03261</t>
  </si>
  <si>
    <t>INV03262</t>
  </si>
  <si>
    <t>INV03263</t>
  </si>
  <si>
    <t>INV03264</t>
  </si>
  <si>
    <t>INV03265</t>
  </si>
  <si>
    <t>INV03266</t>
  </si>
  <si>
    <t>INV03267</t>
  </si>
  <si>
    <t>INV03268</t>
  </si>
  <si>
    <t>INV03269</t>
  </si>
  <si>
    <t>INV03270</t>
  </si>
  <si>
    <t>INV03271</t>
  </si>
  <si>
    <t>INV03272</t>
  </si>
  <si>
    <t>INV03273</t>
  </si>
  <si>
    <t>INV03274</t>
  </si>
  <si>
    <t>INV03275</t>
  </si>
  <si>
    <t>INV03276</t>
  </si>
  <si>
    <t>INV03277</t>
  </si>
  <si>
    <t>INV03278</t>
  </si>
  <si>
    <t>INV03279</t>
  </si>
  <si>
    <t>INV03280</t>
  </si>
  <si>
    <t>INV03281</t>
  </si>
  <si>
    <t>INV03282</t>
  </si>
  <si>
    <t>INV03283</t>
  </si>
  <si>
    <t>INV03284</t>
  </si>
  <si>
    <t>INV03285</t>
  </si>
  <si>
    <t>INV03286</t>
  </si>
  <si>
    <t>INV03287</t>
  </si>
  <si>
    <t>INV03288</t>
  </si>
  <si>
    <t>INV03289</t>
  </si>
  <si>
    <t>INV03290</t>
  </si>
  <si>
    <t>INV03291</t>
  </si>
  <si>
    <t>INV03292</t>
  </si>
  <si>
    <t>INV03293</t>
  </si>
  <si>
    <t>INV03294</t>
  </si>
  <si>
    <t>INV03295</t>
  </si>
  <si>
    <t>INV03296</t>
  </si>
  <si>
    <t>INV03297</t>
  </si>
  <si>
    <t>INV03298</t>
  </si>
  <si>
    <t>INV03299</t>
  </si>
  <si>
    <t>INV03300</t>
  </si>
  <si>
    <t>INV03301</t>
  </si>
  <si>
    <t>INV03302</t>
  </si>
  <si>
    <t>INV03303</t>
  </si>
  <si>
    <t>INV03304</t>
  </si>
  <si>
    <t>INV03305</t>
  </si>
  <si>
    <t>INV03306</t>
  </si>
  <si>
    <t>INV03307</t>
  </si>
  <si>
    <t>INV03308</t>
  </si>
  <si>
    <t>INV03309</t>
  </si>
  <si>
    <t>INV03310</t>
  </si>
  <si>
    <t>INV03311</t>
  </si>
  <si>
    <t>INV03312</t>
  </si>
  <si>
    <t>INV03313</t>
  </si>
  <si>
    <t>INV03314</t>
  </si>
  <si>
    <t>INV03315</t>
  </si>
  <si>
    <t>INV03316</t>
  </si>
  <si>
    <t>INV03317</t>
  </si>
  <si>
    <t>INV03318</t>
  </si>
  <si>
    <t>INV03319</t>
  </si>
  <si>
    <t>INV03320</t>
  </si>
  <si>
    <t>INV03321</t>
  </si>
  <si>
    <t>INV03322</t>
  </si>
  <si>
    <t>INV03323</t>
  </si>
  <si>
    <t>INV03324</t>
  </si>
  <si>
    <t>INV03325</t>
  </si>
  <si>
    <t>INV03326</t>
  </si>
  <si>
    <t>INV03327</t>
  </si>
  <si>
    <t>INV03328</t>
  </si>
  <si>
    <t>INV03329</t>
  </si>
  <si>
    <t>INV03330</t>
  </si>
  <si>
    <t>INV03331</t>
  </si>
  <si>
    <t>INV03332</t>
  </si>
  <si>
    <t>INV03333</t>
  </si>
  <si>
    <t>INV03334</t>
  </si>
  <si>
    <t>INV03335</t>
  </si>
  <si>
    <t>INV03336</t>
  </si>
  <si>
    <t>INV03337</t>
  </si>
  <si>
    <t>INV03338</t>
  </si>
  <si>
    <t>INV03339</t>
  </si>
  <si>
    <t>INV03340</t>
  </si>
  <si>
    <t>INV03341</t>
  </si>
  <si>
    <t>INV03342</t>
  </si>
  <si>
    <t>INV03343</t>
  </si>
  <si>
    <t>INV03344</t>
  </si>
  <si>
    <t>INV03345</t>
  </si>
  <si>
    <t>INV03346</t>
  </si>
  <si>
    <t>INV03347</t>
  </si>
  <si>
    <t>INV03348</t>
  </si>
  <si>
    <t>INV03349</t>
  </si>
  <si>
    <t>INV03350</t>
  </si>
  <si>
    <t>INV03351</t>
  </si>
  <si>
    <t>INV03352</t>
  </si>
  <si>
    <t>INV03353</t>
  </si>
  <si>
    <t>INV03354</t>
  </si>
  <si>
    <t>INV03355</t>
  </si>
  <si>
    <t>INV03356</t>
  </si>
  <si>
    <t>INV03357</t>
  </si>
  <si>
    <t>INV03358</t>
  </si>
  <si>
    <t>INV03359</t>
  </si>
  <si>
    <t>INV03360</t>
  </si>
  <si>
    <t>INV03361</t>
  </si>
  <si>
    <t>INV03362</t>
  </si>
  <si>
    <t>INV03363</t>
  </si>
  <si>
    <t>INV03364</t>
  </si>
  <si>
    <t>INV03365</t>
  </si>
  <si>
    <t>INV03366</t>
  </si>
  <si>
    <t>INV03367</t>
  </si>
  <si>
    <t>INV03368</t>
  </si>
  <si>
    <t>INV03369</t>
  </si>
  <si>
    <t>INV03370</t>
  </si>
  <si>
    <t>INV03371</t>
  </si>
  <si>
    <t>INV03372</t>
  </si>
  <si>
    <t>INV03373</t>
  </si>
  <si>
    <t>INV03374</t>
  </si>
  <si>
    <t>INV03375</t>
  </si>
  <si>
    <t>INV03376</t>
  </si>
  <si>
    <t>INV03377</t>
  </si>
  <si>
    <t>INV03378</t>
  </si>
  <si>
    <t>INV03379</t>
  </si>
  <si>
    <t>INV03380</t>
  </si>
  <si>
    <t>INV03381</t>
  </si>
  <si>
    <t>INV03382</t>
  </si>
  <si>
    <t>INV03383</t>
  </si>
  <si>
    <t>INV03384</t>
  </si>
  <si>
    <t>INV03385</t>
  </si>
  <si>
    <t>INV03386</t>
  </si>
  <si>
    <t>INV03387</t>
  </si>
  <si>
    <t>INV03388</t>
  </si>
  <si>
    <t>INV03389</t>
  </si>
  <si>
    <t>INV03390</t>
  </si>
  <si>
    <t>INV03391</t>
  </si>
  <si>
    <t>INV03392</t>
  </si>
  <si>
    <t>INV03393</t>
  </si>
  <si>
    <t>INV03394</t>
  </si>
  <si>
    <t>INV03395</t>
  </si>
  <si>
    <t>INV03396</t>
  </si>
  <si>
    <t>INV03397</t>
  </si>
  <si>
    <t>INV03398</t>
  </si>
  <si>
    <t>INV03399</t>
  </si>
  <si>
    <t>INV03400</t>
  </si>
  <si>
    <t>INV03401</t>
  </si>
  <si>
    <t>INV03402</t>
  </si>
  <si>
    <t>INV03403</t>
  </si>
  <si>
    <t>INV03404</t>
  </si>
  <si>
    <t>INV03405</t>
  </si>
  <si>
    <t>INV03406</t>
  </si>
  <si>
    <t>INV03407</t>
  </si>
  <si>
    <t>INV03408</t>
  </si>
  <si>
    <t>INV03409</t>
  </si>
  <si>
    <t>INV03410</t>
  </si>
  <si>
    <t>INV03411</t>
  </si>
  <si>
    <t>INV03412</t>
  </si>
  <si>
    <t>INV03413</t>
  </si>
  <si>
    <t>INV03414</t>
  </si>
  <si>
    <t>INV03415</t>
  </si>
  <si>
    <t>INV03416</t>
  </si>
  <si>
    <t>INV03417</t>
  </si>
  <si>
    <t>INV03418</t>
  </si>
  <si>
    <t>INV03419</t>
  </si>
  <si>
    <t>INV03420</t>
  </si>
  <si>
    <t>INV03421</t>
  </si>
  <si>
    <t>INV03422</t>
  </si>
  <si>
    <t>INV03423</t>
  </si>
  <si>
    <t>INV03424</t>
  </si>
  <si>
    <t>INV03425</t>
  </si>
  <si>
    <t>INV03426</t>
  </si>
  <si>
    <t>INV03427</t>
  </si>
  <si>
    <t>INV03428</t>
  </si>
  <si>
    <t>INV03429</t>
  </si>
  <si>
    <t>INV03430</t>
  </si>
  <si>
    <t>INV03431</t>
  </si>
  <si>
    <t>INV03432</t>
  </si>
  <si>
    <t>INV03433</t>
  </si>
  <si>
    <t>INV03434</t>
  </si>
  <si>
    <t>INV03435</t>
  </si>
  <si>
    <t>INV03436</t>
  </si>
  <si>
    <t>INV03437</t>
  </si>
  <si>
    <t>INV03438</t>
  </si>
  <si>
    <t>INV03439</t>
  </si>
  <si>
    <t>INV03440</t>
  </si>
  <si>
    <t>INV03441</t>
  </si>
  <si>
    <t>INV03442</t>
  </si>
  <si>
    <t>INV03443</t>
  </si>
  <si>
    <t>INV03444</t>
  </si>
  <si>
    <t>INV03445</t>
  </si>
  <si>
    <t>INV03446</t>
  </si>
  <si>
    <t>INV03447</t>
  </si>
  <si>
    <t>INV03448</t>
  </si>
  <si>
    <t>INV03449</t>
  </si>
  <si>
    <t>INV03450</t>
  </si>
  <si>
    <t>INV03451</t>
  </si>
  <si>
    <t>INV03452</t>
  </si>
  <si>
    <t>INV03453</t>
  </si>
  <si>
    <t>INV03454</t>
  </si>
  <si>
    <t>INV03455</t>
  </si>
  <si>
    <t>INV03456</t>
  </si>
  <si>
    <t>INV03457</t>
  </si>
  <si>
    <t>INV03458</t>
  </si>
  <si>
    <t>INV03459</t>
  </si>
  <si>
    <t>INV03460</t>
  </si>
  <si>
    <t>INV03461</t>
  </si>
  <si>
    <t>INV03462</t>
  </si>
  <si>
    <t>INV03463</t>
  </si>
  <si>
    <t>INV03464</t>
  </si>
  <si>
    <t>INV03465</t>
  </si>
  <si>
    <t>INV03466</t>
  </si>
  <si>
    <t>INV03467</t>
  </si>
  <si>
    <t>INV03468</t>
  </si>
  <si>
    <t>INV03469</t>
  </si>
  <si>
    <t>INV03470</t>
  </si>
  <si>
    <t>INV03471</t>
  </si>
  <si>
    <t>INV03472</t>
  </si>
  <si>
    <t>INV03473</t>
  </si>
  <si>
    <t>INV03474</t>
  </si>
  <si>
    <t>INV03475</t>
  </si>
  <si>
    <t>INV03476</t>
  </si>
  <si>
    <t>INV03477</t>
  </si>
  <si>
    <t>INV03478</t>
  </si>
  <si>
    <t>INV03479</t>
  </si>
  <si>
    <t>INV03480</t>
  </si>
  <si>
    <t>INV03481</t>
  </si>
  <si>
    <t>INV03482</t>
  </si>
  <si>
    <t>INV03483</t>
  </si>
  <si>
    <t>INV03484</t>
  </si>
  <si>
    <t>INV03485</t>
  </si>
  <si>
    <t>INV03486</t>
  </si>
  <si>
    <t>INV03487</t>
  </si>
  <si>
    <t>INV03488</t>
  </si>
  <si>
    <t>INV03489</t>
  </si>
  <si>
    <t>INV03490</t>
  </si>
  <si>
    <t>INV03491</t>
  </si>
  <si>
    <t>INV03492</t>
  </si>
  <si>
    <t>INV03493</t>
  </si>
  <si>
    <t>INV03494</t>
  </si>
  <si>
    <t>INV03495</t>
  </si>
  <si>
    <t>INV03496</t>
  </si>
  <si>
    <t>INV03497</t>
  </si>
  <si>
    <t>INV03498</t>
  </si>
  <si>
    <t>INV03499</t>
  </si>
  <si>
    <t>INV03500</t>
  </si>
  <si>
    <t>INV03501</t>
  </si>
  <si>
    <t>INV03502</t>
  </si>
  <si>
    <t>INV03503</t>
  </si>
  <si>
    <t>INV03504</t>
  </si>
  <si>
    <t>INV03505</t>
  </si>
  <si>
    <t>INV03506</t>
  </si>
  <si>
    <t>INV03507</t>
  </si>
  <si>
    <t>INV03508</t>
  </si>
  <si>
    <t>INV03509</t>
  </si>
  <si>
    <t>INV03510</t>
  </si>
  <si>
    <t>INV03511</t>
  </si>
  <si>
    <t>INV03512</t>
  </si>
  <si>
    <t>INV03513</t>
  </si>
  <si>
    <t>INV03514</t>
  </si>
  <si>
    <t>INV03515</t>
  </si>
  <si>
    <t>INV03516</t>
  </si>
  <si>
    <t>INV03517</t>
  </si>
  <si>
    <t>INV03518</t>
  </si>
  <si>
    <t>INV03519</t>
  </si>
  <si>
    <t>INV03520</t>
  </si>
  <si>
    <t>INV03521</t>
  </si>
  <si>
    <t>INV03522</t>
  </si>
  <si>
    <t>INV03523</t>
  </si>
  <si>
    <t>INV03524</t>
  </si>
  <si>
    <t>INV03525</t>
  </si>
  <si>
    <t>INV03526</t>
  </si>
  <si>
    <t>INV03527</t>
  </si>
  <si>
    <t>INV03528</t>
  </si>
  <si>
    <t>INV03529</t>
  </si>
  <si>
    <t>INV03530</t>
  </si>
  <si>
    <t>INV03531</t>
  </si>
  <si>
    <t>INV03532</t>
  </si>
  <si>
    <t>INV03533</t>
  </si>
  <si>
    <t>INV03534</t>
  </si>
  <si>
    <t>INV03535</t>
  </si>
  <si>
    <t>INV03536</t>
  </si>
  <si>
    <t>INV03537</t>
  </si>
  <si>
    <t>INV03538</t>
  </si>
  <si>
    <t>INV03539</t>
  </si>
  <si>
    <t>INV03540</t>
  </si>
  <si>
    <t>INV03541</t>
  </si>
  <si>
    <t>INV03542</t>
  </si>
  <si>
    <t>INV03543</t>
  </si>
  <si>
    <t>INV03544</t>
  </si>
  <si>
    <t>INV03545</t>
  </si>
  <si>
    <t>INV03546</t>
  </si>
  <si>
    <t>INV03547</t>
  </si>
  <si>
    <t>INV03548</t>
  </si>
  <si>
    <t>INV03549</t>
  </si>
  <si>
    <t>INV03550</t>
  </si>
  <si>
    <t>INV03551</t>
  </si>
  <si>
    <t>INV03552</t>
  </si>
  <si>
    <t>INV03553</t>
  </si>
  <si>
    <t>INV03554</t>
  </si>
  <si>
    <t>INV03555</t>
  </si>
  <si>
    <t>INV03556</t>
  </si>
  <si>
    <t>INV03557</t>
  </si>
  <si>
    <t>INV03558</t>
  </si>
  <si>
    <t>INV03559</t>
  </si>
  <si>
    <t>INV03560</t>
  </si>
  <si>
    <t>INV03561</t>
  </si>
  <si>
    <t>INV03562</t>
  </si>
  <si>
    <t>INV03563</t>
  </si>
  <si>
    <t>INV03564</t>
  </si>
  <si>
    <t>INV03565</t>
  </si>
  <si>
    <t>INV03566</t>
  </si>
  <si>
    <t>INV03567</t>
  </si>
  <si>
    <t>INV03568</t>
  </si>
  <si>
    <t>INV03569</t>
  </si>
  <si>
    <t>INV03570</t>
  </si>
  <si>
    <t>INV03571</t>
  </si>
  <si>
    <t>INV03572</t>
  </si>
  <si>
    <t>INV03573</t>
  </si>
  <si>
    <t>INV03574</t>
  </si>
  <si>
    <t>INV03575</t>
  </si>
  <si>
    <t>INV03576</t>
  </si>
  <si>
    <t>INV03577</t>
  </si>
  <si>
    <t>INV03578</t>
  </si>
  <si>
    <t>INV03579</t>
  </si>
  <si>
    <t>INV03580</t>
  </si>
  <si>
    <t>INV03581</t>
  </si>
  <si>
    <t>INV03582</t>
  </si>
  <si>
    <t>INV03583</t>
  </si>
  <si>
    <t>INV03584</t>
  </si>
  <si>
    <t>INV03585</t>
  </si>
  <si>
    <t>INV03586</t>
  </si>
  <si>
    <t>INV03587</t>
  </si>
  <si>
    <t>INV03588</t>
  </si>
  <si>
    <t>INV03589</t>
  </si>
  <si>
    <t>INV03590</t>
  </si>
  <si>
    <t>INV03591</t>
  </si>
  <si>
    <t>INV03592</t>
  </si>
  <si>
    <t>INV03593</t>
  </si>
  <si>
    <t>INV03594</t>
  </si>
  <si>
    <t>INV03595</t>
  </si>
  <si>
    <t>INV03596</t>
  </si>
  <si>
    <t>INV03597</t>
  </si>
  <si>
    <t>INV03598</t>
  </si>
  <si>
    <t>INV03599</t>
  </si>
  <si>
    <t>INV03600</t>
  </si>
  <si>
    <t>INV03601</t>
  </si>
  <si>
    <t>INV03602</t>
  </si>
  <si>
    <t>INV03603</t>
  </si>
  <si>
    <t>INV03604</t>
  </si>
  <si>
    <t>INV03605</t>
  </si>
  <si>
    <t>INV03606</t>
  </si>
  <si>
    <t>INV03607</t>
  </si>
  <si>
    <t>INV03608</t>
  </si>
  <si>
    <t>INV03609</t>
  </si>
  <si>
    <t>INV03610</t>
  </si>
  <si>
    <t>INV03611</t>
  </si>
  <si>
    <t>INV03612</t>
  </si>
  <si>
    <t>INV03613</t>
  </si>
  <si>
    <t>INV03614</t>
  </si>
  <si>
    <t>INV03615</t>
  </si>
  <si>
    <t>INV03616</t>
  </si>
  <si>
    <t>INV03617</t>
  </si>
  <si>
    <t>INV03618</t>
  </si>
  <si>
    <t>INV03619</t>
  </si>
  <si>
    <t>INV03620</t>
  </si>
  <si>
    <t>INV03621</t>
  </si>
  <si>
    <t>INV03622</t>
  </si>
  <si>
    <t>INV03623</t>
  </si>
  <si>
    <t>INV03624</t>
  </si>
  <si>
    <t>INV03625</t>
  </si>
  <si>
    <t>INV03626</t>
  </si>
  <si>
    <t>INV03627</t>
  </si>
  <si>
    <t>INV03628</t>
  </si>
  <si>
    <t>INV03629</t>
  </si>
  <si>
    <t>INV03630</t>
  </si>
  <si>
    <t>INV03631</t>
  </si>
  <si>
    <t>INV03632</t>
  </si>
  <si>
    <t>INV03633</t>
  </si>
  <si>
    <t>INV03634</t>
  </si>
  <si>
    <t>INV03635</t>
  </si>
  <si>
    <t>INV03636</t>
  </si>
  <si>
    <t>INV03637</t>
  </si>
  <si>
    <t>INV03638</t>
  </si>
  <si>
    <t>INV03639</t>
  </si>
  <si>
    <t>INV03640</t>
  </si>
  <si>
    <t>INV03641</t>
  </si>
  <si>
    <t>INV03642</t>
  </si>
  <si>
    <t>INV03643</t>
  </si>
  <si>
    <t>INV03644</t>
  </si>
  <si>
    <t>INV03645</t>
  </si>
  <si>
    <t>INV03646</t>
  </si>
  <si>
    <t>INV03647</t>
  </si>
  <si>
    <t>INV03648</t>
  </si>
  <si>
    <t>INV03649</t>
  </si>
  <si>
    <t>INV03650</t>
  </si>
  <si>
    <t>INV03651</t>
  </si>
  <si>
    <t>INV03652</t>
  </si>
  <si>
    <t>INV03653</t>
  </si>
  <si>
    <t>INV03654</t>
  </si>
  <si>
    <t>INV03655</t>
  </si>
  <si>
    <t>INV03656</t>
  </si>
  <si>
    <t>INV03657</t>
  </si>
  <si>
    <t>INV03658</t>
  </si>
  <si>
    <t>INV03659</t>
  </si>
  <si>
    <t>INV03660</t>
  </si>
  <si>
    <t>INV03661</t>
  </si>
  <si>
    <t>INV03662</t>
  </si>
  <si>
    <t>INV03663</t>
  </si>
  <si>
    <t>INV03664</t>
  </si>
  <si>
    <t>INV03665</t>
  </si>
  <si>
    <t>INV03666</t>
  </si>
  <si>
    <t>INV03667</t>
  </si>
  <si>
    <t>INV03668</t>
  </si>
  <si>
    <t>INV03669</t>
  </si>
  <si>
    <t>INV03670</t>
  </si>
  <si>
    <t>INV03671</t>
  </si>
  <si>
    <t>INV03672</t>
  </si>
  <si>
    <t>INV03673</t>
  </si>
  <si>
    <t>INV03674</t>
  </si>
  <si>
    <t>INV03675</t>
  </si>
  <si>
    <t>INV03676</t>
  </si>
  <si>
    <t>INV03677</t>
  </si>
  <si>
    <t>INV03678</t>
  </si>
  <si>
    <t>INV03679</t>
  </si>
  <si>
    <t>INV03680</t>
  </si>
  <si>
    <t>INV03681</t>
  </si>
  <si>
    <t>INV03682</t>
  </si>
  <si>
    <t>INV03683</t>
  </si>
  <si>
    <t>INV03684</t>
  </si>
  <si>
    <t>INV03685</t>
  </si>
  <si>
    <t>INV03686</t>
  </si>
  <si>
    <t>INV03687</t>
  </si>
  <si>
    <t>INV03688</t>
  </si>
  <si>
    <t>INV03689</t>
  </si>
  <si>
    <t>INV03690</t>
  </si>
  <si>
    <t>INV03691</t>
  </si>
  <si>
    <t>INV03692</t>
  </si>
  <si>
    <t>INV03693</t>
  </si>
  <si>
    <t>INV03694</t>
  </si>
  <si>
    <t>INV03695</t>
  </si>
  <si>
    <t>INV03696</t>
  </si>
  <si>
    <t>INV03697</t>
  </si>
  <si>
    <t>INV03698</t>
  </si>
  <si>
    <t>INV03699</t>
  </si>
  <si>
    <t>INV03700</t>
  </si>
  <si>
    <t>INV03701</t>
  </si>
  <si>
    <t>INV03702</t>
  </si>
  <si>
    <t>INV03703</t>
  </si>
  <si>
    <t>INV03704</t>
  </si>
  <si>
    <t>INV03705</t>
  </si>
  <si>
    <t>INV03706</t>
  </si>
  <si>
    <t>INV03707</t>
  </si>
  <si>
    <t>INV03708</t>
  </si>
  <si>
    <t>INV03709</t>
  </si>
  <si>
    <t>INV03710</t>
  </si>
  <si>
    <t>INV03711</t>
  </si>
  <si>
    <t>INV03712</t>
  </si>
  <si>
    <t>INV03713</t>
  </si>
  <si>
    <t>INV03714</t>
  </si>
  <si>
    <t>INV03715</t>
  </si>
  <si>
    <t>INV03716</t>
  </si>
  <si>
    <t>INV03717</t>
  </si>
  <si>
    <t>INV03718</t>
  </si>
  <si>
    <t>INV03719</t>
  </si>
  <si>
    <t>INV03720</t>
  </si>
  <si>
    <t>INV03721</t>
  </si>
  <si>
    <t>INV03722</t>
  </si>
  <si>
    <t>INV03723</t>
  </si>
  <si>
    <t>INV03724</t>
  </si>
  <si>
    <t>INV03725</t>
  </si>
  <si>
    <t>INV03726</t>
  </si>
  <si>
    <t>INV03727</t>
  </si>
  <si>
    <t>INV03728</t>
  </si>
  <si>
    <t>INV03729</t>
  </si>
  <si>
    <t>INV03730</t>
  </si>
  <si>
    <t>INV03731</t>
  </si>
  <si>
    <t>INV03732</t>
  </si>
  <si>
    <t>INV03733</t>
  </si>
  <si>
    <t>INV03734</t>
  </si>
  <si>
    <t>INV03735</t>
  </si>
  <si>
    <t>INV03736</t>
  </si>
  <si>
    <t>INV03737</t>
  </si>
  <si>
    <t>INV03738</t>
  </si>
  <si>
    <t>INV03739</t>
  </si>
  <si>
    <t>INV03740</t>
  </si>
  <si>
    <t>INV03741</t>
  </si>
  <si>
    <t>INV03742</t>
  </si>
  <si>
    <t>INV03743</t>
  </si>
  <si>
    <t>INV03744</t>
  </si>
  <si>
    <t>INV03745</t>
  </si>
  <si>
    <t>INV03746</t>
  </si>
  <si>
    <t>INV03747</t>
  </si>
  <si>
    <t>INV03748</t>
  </si>
  <si>
    <t>INV03749</t>
  </si>
  <si>
    <t>INV03750</t>
  </si>
  <si>
    <t>INV03751</t>
  </si>
  <si>
    <t>INV03752</t>
  </si>
  <si>
    <t>INV03753</t>
  </si>
  <si>
    <t>INV03754</t>
  </si>
  <si>
    <t>INV03755</t>
  </si>
  <si>
    <t>INV03756</t>
  </si>
  <si>
    <t>INV03757</t>
  </si>
  <si>
    <t>INV03758</t>
  </si>
  <si>
    <t>INV03759</t>
  </si>
  <si>
    <t>INV03760</t>
  </si>
  <si>
    <t>INV03761</t>
  </si>
  <si>
    <t>INV03762</t>
  </si>
  <si>
    <t>INV03763</t>
  </si>
  <si>
    <t>INV03764</t>
  </si>
  <si>
    <t>INV03765</t>
  </si>
  <si>
    <t>INV03766</t>
  </si>
  <si>
    <t>INV03767</t>
  </si>
  <si>
    <t>INV03768</t>
  </si>
  <si>
    <t>INV03769</t>
  </si>
  <si>
    <t>INV03770</t>
  </si>
  <si>
    <t>INV03771</t>
  </si>
  <si>
    <t>INV03772</t>
  </si>
  <si>
    <t>INV03773</t>
  </si>
  <si>
    <t>INV03774</t>
  </si>
  <si>
    <t>INV03775</t>
  </si>
  <si>
    <t>INV03776</t>
  </si>
  <si>
    <t>INV03777</t>
  </si>
  <si>
    <t>INV03778</t>
  </si>
  <si>
    <t>INV03779</t>
  </si>
  <si>
    <t>INV03780</t>
  </si>
  <si>
    <t>INV03781</t>
  </si>
  <si>
    <t>INV03782</t>
  </si>
  <si>
    <t>INV03783</t>
  </si>
  <si>
    <t>INV03784</t>
  </si>
  <si>
    <t>INV03785</t>
  </si>
  <si>
    <t>INV03786</t>
  </si>
  <si>
    <t>INV03787</t>
  </si>
  <si>
    <t>INV03788</t>
  </si>
  <si>
    <t>INV03789</t>
  </si>
  <si>
    <t>INV03790</t>
  </si>
  <si>
    <t>INV03791</t>
  </si>
  <si>
    <t>INV03792</t>
  </si>
  <si>
    <t>INV03793</t>
  </si>
  <si>
    <t>INV03794</t>
  </si>
  <si>
    <t>INV03795</t>
  </si>
  <si>
    <t>INV03796</t>
  </si>
  <si>
    <t>INV03797</t>
  </si>
  <si>
    <t>INV03798</t>
  </si>
  <si>
    <t>INV03799</t>
  </si>
  <si>
    <t>INV03800</t>
  </si>
  <si>
    <t>INV03801</t>
  </si>
  <si>
    <t>INV03802</t>
  </si>
  <si>
    <t>INV03803</t>
  </si>
  <si>
    <t>INV03804</t>
  </si>
  <si>
    <t>INV03805</t>
  </si>
  <si>
    <t>INV03806</t>
  </si>
  <si>
    <t>INV03807</t>
  </si>
  <si>
    <t>INV03808</t>
  </si>
  <si>
    <t>INV03809</t>
  </si>
  <si>
    <t>INV03810</t>
  </si>
  <si>
    <t>INV03811</t>
  </si>
  <si>
    <t>INV03812</t>
  </si>
  <si>
    <t>INV03813</t>
  </si>
  <si>
    <t>INV03814</t>
  </si>
  <si>
    <t>INV03815</t>
  </si>
  <si>
    <t>INV03816</t>
  </si>
  <si>
    <t>INV03817</t>
  </si>
  <si>
    <t>INV03818</t>
  </si>
  <si>
    <t>INV03819</t>
  </si>
  <si>
    <t>INV03820</t>
  </si>
  <si>
    <t>INV03821</t>
  </si>
  <si>
    <t>INV03822</t>
  </si>
  <si>
    <t>INV03823</t>
  </si>
  <si>
    <t>INV03824</t>
  </si>
  <si>
    <t>INV03825</t>
  </si>
  <si>
    <t>INV03826</t>
  </si>
  <si>
    <t>INV03827</t>
  </si>
  <si>
    <t>INV03828</t>
  </si>
  <si>
    <t>INV03829</t>
  </si>
  <si>
    <t>INV03830</t>
  </si>
  <si>
    <t>INV03831</t>
  </si>
  <si>
    <t>INV03832</t>
  </si>
  <si>
    <t>INV03833</t>
  </si>
  <si>
    <t>INV03834</t>
  </si>
  <si>
    <t>INV03835</t>
  </si>
  <si>
    <t>INV03836</t>
  </si>
  <si>
    <t>INV03837</t>
  </si>
  <si>
    <t>INV03838</t>
  </si>
  <si>
    <t>INV03839</t>
  </si>
  <si>
    <t>INV03840</t>
  </si>
  <si>
    <t>INV03841</t>
  </si>
  <si>
    <t>INV03842</t>
  </si>
  <si>
    <t>INV03843</t>
  </si>
  <si>
    <t>INV03844</t>
  </si>
  <si>
    <t>INV03845</t>
  </si>
  <si>
    <t>INV03846</t>
  </si>
  <si>
    <t>INV03847</t>
  </si>
  <si>
    <t>INV03848</t>
  </si>
  <si>
    <t>INV03849</t>
  </si>
  <si>
    <t>INV03850</t>
  </si>
  <si>
    <t>INV03851</t>
  </si>
  <si>
    <t>INV03852</t>
  </si>
  <si>
    <t>INV03853</t>
  </si>
  <si>
    <t>INV03854</t>
  </si>
  <si>
    <t>INV03855</t>
  </si>
  <si>
    <t>INV03856</t>
  </si>
  <si>
    <t>INV03857</t>
  </si>
  <si>
    <t>INV03858</t>
  </si>
  <si>
    <t>INV03859</t>
  </si>
  <si>
    <t>INV03860</t>
  </si>
  <si>
    <t>INV03861</t>
  </si>
  <si>
    <t>INV03862</t>
  </si>
  <si>
    <t>INV03863</t>
  </si>
  <si>
    <t>INV03864</t>
  </si>
  <si>
    <t>INV03865</t>
  </si>
  <si>
    <t>INV03866</t>
  </si>
  <si>
    <t>INV03867</t>
  </si>
  <si>
    <t>INV03868</t>
  </si>
  <si>
    <t>INV03869</t>
  </si>
  <si>
    <t>INV03870</t>
  </si>
  <si>
    <t>INV03871</t>
  </si>
  <si>
    <t>INV03872</t>
  </si>
  <si>
    <t>INV03873</t>
  </si>
  <si>
    <t>INV03874</t>
  </si>
  <si>
    <t>INV03875</t>
  </si>
  <si>
    <t>INV03876</t>
  </si>
  <si>
    <t>INV03877</t>
  </si>
  <si>
    <t>INV03878</t>
  </si>
  <si>
    <t>INV03879</t>
  </si>
  <si>
    <t>INV03880</t>
  </si>
  <si>
    <t>INV03881</t>
  </si>
  <si>
    <t>INV03882</t>
  </si>
  <si>
    <t>INV03883</t>
  </si>
  <si>
    <t>INV03884</t>
  </si>
  <si>
    <t>INV03885</t>
  </si>
  <si>
    <t>INV03886</t>
  </si>
  <si>
    <t>INV03887</t>
  </si>
  <si>
    <t>INV03888</t>
  </si>
  <si>
    <t>INV03889</t>
  </si>
  <si>
    <t>INV03890</t>
  </si>
  <si>
    <t>INV03891</t>
  </si>
  <si>
    <t>INV03892</t>
  </si>
  <si>
    <t>INV03893</t>
  </si>
  <si>
    <t>INV03894</t>
  </si>
  <si>
    <t>INV03895</t>
  </si>
  <si>
    <t>INV03896</t>
  </si>
  <si>
    <t>INV03897</t>
  </si>
  <si>
    <t>INV03898</t>
  </si>
  <si>
    <t>INV03899</t>
  </si>
  <si>
    <t>INV03900</t>
  </si>
  <si>
    <t>INV03901</t>
  </si>
  <si>
    <t>INV03902</t>
  </si>
  <si>
    <t>INV03903</t>
  </si>
  <si>
    <t>INV03904</t>
  </si>
  <si>
    <t>INV03905</t>
  </si>
  <si>
    <t>INV03906</t>
  </si>
  <si>
    <t>INV03907</t>
  </si>
  <si>
    <t>INV03908</t>
  </si>
  <si>
    <t>INV03909</t>
  </si>
  <si>
    <t>INV03910</t>
  </si>
  <si>
    <t>INV03911</t>
  </si>
  <si>
    <t>INV03912</t>
  </si>
  <si>
    <t>INV03913</t>
  </si>
  <si>
    <t>INV03914</t>
  </si>
  <si>
    <t>INV03915</t>
  </si>
  <si>
    <t>INV03916</t>
  </si>
  <si>
    <t>INV03917</t>
  </si>
  <si>
    <t>INV03918</t>
  </si>
  <si>
    <t>INV03919</t>
  </si>
  <si>
    <t>INV03920</t>
  </si>
  <si>
    <t>INV03921</t>
  </si>
  <si>
    <t>INV03922</t>
  </si>
  <si>
    <t>INV03923</t>
  </si>
  <si>
    <t>INV03924</t>
  </si>
  <si>
    <t>INV03925</t>
  </si>
  <si>
    <t>INV03926</t>
  </si>
  <si>
    <t>INV03927</t>
  </si>
  <si>
    <t>INV03928</t>
  </si>
  <si>
    <t>INV03929</t>
  </si>
  <si>
    <t>INV03930</t>
  </si>
  <si>
    <t>INV03931</t>
  </si>
  <si>
    <t>INV03932</t>
  </si>
  <si>
    <t>INV03933</t>
  </si>
  <si>
    <t>INV03934</t>
  </si>
  <si>
    <t>INV03935</t>
  </si>
  <si>
    <t>INV03936</t>
  </si>
  <si>
    <t>INV03937</t>
  </si>
  <si>
    <t>INV03938</t>
  </si>
  <si>
    <t>INV03939</t>
  </si>
  <si>
    <t>INV03940</t>
  </si>
  <si>
    <t>INV03941</t>
  </si>
  <si>
    <t>INV03942</t>
  </si>
  <si>
    <t>INV03943</t>
  </si>
  <si>
    <t>INV03944</t>
  </si>
  <si>
    <t>INV03945</t>
  </si>
  <si>
    <t>INV03946</t>
  </si>
  <si>
    <t>INV03947</t>
  </si>
  <si>
    <t>INV03948</t>
  </si>
  <si>
    <t>INV03949</t>
  </si>
  <si>
    <t>INV03950</t>
  </si>
  <si>
    <t>INV03951</t>
  </si>
  <si>
    <t>INV03952</t>
  </si>
  <si>
    <t>INV03953</t>
  </si>
  <si>
    <t>INV03954</t>
  </si>
  <si>
    <t>INV03955</t>
  </si>
  <si>
    <t>INV03956</t>
  </si>
  <si>
    <t>INV03957</t>
  </si>
  <si>
    <t>INV03958</t>
  </si>
  <si>
    <t>INV03959</t>
  </si>
  <si>
    <t>INV03960</t>
  </si>
  <si>
    <t>INV03961</t>
  </si>
  <si>
    <t>INV03962</t>
  </si>
  <si>
    <t>INV03963</t>
  </si>
  <si>
    <t>INV03964</t>
  </si>
  <si>
    <t>INV03965</t>
  </si>
  <si>
    <t>INV03966</t>
  </si>
  <si>
    <t>INV03967</t>
  </si>
  <si>
    <t>INV03968</t>
  </si>
  <si>
    <t>INV03969</t>
  </si>
  <si>
    <t>INV03970</t>
  </si>
  <si>
    <t>INV03971</t>
  </si>
  <si>
    <t>INV03972</t>
  </si>
  <si>
    <t>INV03973</t>
  </si>
  <si>
    <t>INV03974</t>
  </si>
  <si>
    <t>INV03975</t>
  </si>
  <si>
    <t>INV03976</t>
  </si>
  <si>
    <t>INV03977</t>
  </si>
  <si>
    <t>INV03978</t>
  </si>
  <si>
    <t>INV03979</t>
  </si>
  <si>
    <t>INV03980</t>
  </si>
  <si>
    <t>INV03981</t>
  </si>
  <si>
    <t>INV03982</t>
  </si>
  <si>
    <t>INV03983</t>
  </si>
  <si>
    <t>INV03984</t>
  </si>
  <si>
    <t>INV03985</t>
  </si>
  <si>
    <t>INV03986</t>
  </si>
  <si>
    <t>INV03987</t>
  </si>
  <si>
    <t>INV03988</t>
  </si>
  <si>
    <t>INV03989</t>
  </si>
  <si>
    <t>INV03990</t>
  </si>
  <si>
    <t>INV03991</t>
  </si>
  <si>
    <t>INV03992</t>
  </si>
  <si>
    <t>INV03993</t>
  </si>
  <si>
    <t>INV03994</t>
  </si>
  <si>
    <t>INV03995</t>
  </si>
  <si>
    <t>INV03996</t>
  </si>
  <si>
    <t>INV03997</t>
  </si>
  <si>
    <t>INV03998</t>
  </si>
  <si>
    <t>INV03999</t>
  </si>
  <si>
    <t>INV04000</t>
  </si>
  <si>
    <t>INV04001</t>
  </si>
  <si>
    <t>INV04002</t>
  </si>
  <si>
    <t>INV04003</t>
  </si>
  <si>
    <t>INV04004</t>
  </si>
  <si>
    <t>INV04005</t>
  </si>
  <si>
    <t>INV04006</t>
  </si>
  <si>
    <t>INV04007</t>
  </si>
  <si>
    <t>INV04008</t>
  </si>
  <si>
    <t>INV04009</t>
  </si>
  <si>
    <t>INV04010</t>
  </si>
  <si>
    <t>INV04011</t>
  </si>
  <si>
    <t>INV04012</t>
  </si>
  <si>
    <t>INV04013</t>
  </si>
  <si>
    <t>INV04014</t>
  </si>
  <si>
    <t>INV04015</t>
  </si>
  <si>
    <t>INV04016</t>
  </si>
  <si>
    <t>INV04017</t>
  </si>
  <si>
    <t>INV04018</t>
  </si>
  <si>
    <t>INV04019</t>
  </si>
  <si>
    <t>INV04020</t>
  </si>
  <si>
    <t>INV04021</t>
  </si>
  <si>
    <t>INV04022</t>
  </si>
  <si>
    <t>INV04023</t>
  </si>
  <si>
    <t>INV04024</t>
  </si>
  <si>
    <t>INV04025</t>
  </si>
  <si>
    <t>INV04026</t>
  </si>
  <si>
    <t>INV04027</t>
  </si>
  <si>
    <t>INV04028</t>
  </si>
  <si>
    <t>INV04029</t>
  </si>
  <si>
    <t>INV04030</t>
  </si>
  <si>
    <t>INV04031</t>
  </si>
  <si>
    <t>INV04032</t>
  </si>
  <si>
    <t>INV04033</t>
  </si>
  <si>
    <t>INV04034</t>
  </si>
  <si>
    <t>INV04035</t>
  </si>
  <si>
    <t>INV04036</t>
  </si>
  <si>
    <t>INV04037</t>
  </si>
  <si>
    <t>INV04038</t>
  </si>
  <si>
    <t>INV04039</t>
  </si>
  <si>
    <t>INV04040</t>
  </si>
  <si>
    <t>INV04041</t>
  </si>
  <si>
    <t>INV04042</t>
  </si>
  <si>
    <t>INV04043</t>
  </si>
  <si>
    <t>INV04044</t>
  </si>
  <si>
    <t>INV04045</t>
  </si>
  <si>
    <t>INV04046</t>
  </si>
  <si>
    <t>INV04047</t>
  </si>
  <si>
    <t>INV04048</t>
  </si>
  <si>
    <t>INV04049</t>
  </si>
  <si>
    <t>INV04050</t>
  </si>
  <si>
    <t>INV04051</t>
  </si>
  <si>
    <t>INV04052</t>
  </si>
  <si>
    <t>INV04053</t>
  </si>
  <si>
    <t>INV04054</t>
  </si>
  <si>
    <t>INV04055</t>
  </si>
  <si>
    <t>INV04056</t>
  </si>
  <si>
    <t>INV04057</t>
  </si>
  <si>
    <t>INV04058</t>
  </si>
  <si>
    <t>INV04059</t>
  </si>
  <si>
    <t>INV04060</t>
  </si>
  <si>
    <t>INV04061</t>
  </si>
  <si>
    <t>INV04062</t>
  </si>
  <si>
    <t>INV04063</t>
  </si>
  <si>
    <t>INV04064</t>
  </si>
  <si>
    <t>INV04065</t>
  </si>
  <si>
    <t>INV04066</t>
  </si>
  <si>
    <t>INV04067</t>
  </si>
  <si>
    <t>INV04068</t>
  </si>
  <si>
    <t>INV04069</t>
  </si>
  <si>
    <t>INV04070</t>
  </si>
  <si>
    <t>INV04071</t>
  </si>
  <si>
    <t>INV04072</t>
  </si>
  <si>
    <t>INV04073</t>
  </si>
  <si>
    <t>INV04074</t>
  </si>
  <si>
    <t>INV04075</t>
  </si>
  <si>
    <t>INV04076</t>
  </si>
  <si>
    <t>INV04077</t>
  </si>
  <si>
    <t>INV04078</t>
  </si>
  <si>
    <t>INV04079</t>
  </si>
  <si>
    <t>INV04080</t>
  </si>
  <si>
    <t>INV04081</t>
  </si>
  <si>
    <t>INV04082</t>
  </si>
  <si>
    <t>INV04083</t>
  </si>
  <si>
    <t>INV04084</t>
  </si>
  <si>
    <t>INV04085</t>
  </si>
  <si>
    <t>INV04086</t>
  </si>
  <si>
    <t>INV04087</t>
  </si>
  <si>
    <t>INV04088</t>
  </si>
  <si>
    <t>INV04089</t>
  </si>
  <si>
    <t>INV04090</t>
  </si>
  <si>
    <t>INV04091</t>
  </si>
  <si>
    <t>INV04092</t>
  </si>
  <si>
    <t>INV04093</t>
  </si>
  <si>
    <t>INV04094</t>
  </si>
  <si>
    <t>INV04095</t>
  </si>
  <si>
    <t>INV04096</t>
  </si>
  <si>
    <t>INV04097</t>
  </si>
  <si>
    <t>INV04098</t>
  </si>
  <si>
    <t>INV04099</t>
  </si>
  <si>
    <t>INV04100</t>
  </si>
  <si>
    <t>INV04101</t>
  </si>
  <si>
    <t>INV04102</t>
  </si>
  <si>
    <t>INV04103</t>
  </si>
  <si>
    <t>INV04104</t>
  </si>
  <si>
    <t>INV04105</t>
  </si>
  <si>
    <t>INV04106</t>
  </si>
  <si>
    <t>INV04107</t>
  </si>
  <si>
    <t>INV04108</t>
  </si>
  <si>
    <t>INV04109</t>
  </si>
  <si>
    <t>INV04110</t>
  </si>
  <si>
    <t>INV04111</t>
  </si>
  <si>
    <t>INV04112</t>
  </si>
  <si>
    <t>INV04113</t>
  </si>
  <si>
    <t>INV04114</t>
  </si>
  <si>
    <t>INV04115</t>
  </si>
  <si>
    <t>INV04116</t>
  </si>
  <si>
    <t>INV04117</t>
  </si>
  <si>
    <t>INV04118</t>
  </si>
  <si>
    <t>INV04119</t>
  </si>
  <si>
    <t>INV04120</t>
  </si>
  <si>
    <t>INV04121</t>
  </si>
  <si>
    <t>INV04122</t>
  </si>
  <si>
    <t>INV04123</t>
  </si>
  <si>
    <t>INV04124</t>
  </si>
  <si>
    <t>INV04125</t>
  </si>
  <si>
    <t>INV04126</t>
  </si>
  <si>
    <t>INV04127</t>
  </si>
  <si>
    <t>INV04128</t>
  </si>
  <si>
    <t>INV04129</t>
  </si>
  <si>
    <t>INV04130</t>
  </si>
  <si>
    <t>INV04131</t>
  </si>
  <si>
    <t>INV04132</t>
  </si>
  <si>
    <t>INV04133</t>
  </si>
  <si>
    <t>INV04134</t>
  </si>
  <si>
    <t>INV04135</t>
  </si>
  <si>
    <t>INV04136</t>
  </si>
  <si>
    <t>INV04137</t>
  </si>
  <si>
    <t>INV04138</t>
  </si>
  <si>
    <t>INV04139</t>
  </si>
  <si>
    <t>INV04140</t>
  </si>
  <si>
    <t>INV04141</t>
  </si>
  <si>
    <t>INV04142</t>
  </si>
  <si>
    <t>INV04143</t>
  </si>
  <si>
    <t>INV04144</t>
  </si>
  <si>
    <t>INV04145</t>
  </si>
  <si>
    <t>INV04146</t>
  </si>
  <si>
    <t>INV04147</t>
  </si>
  <si>
    <t>INV04148</t>
  </si>
  <si>
    <t>INV04149</t>
  </si>
  <si>
    <t>INV04150</t>
  </si>
  <si>
    <t>INV04151</t>
  </si>
  <si>
    <t>INV04152</t>
  </si>
  <si>
    <t>INV04153</t>
  </si>
  <si>
    <t>INV04154</t>
  </si>
  <si>
    <t>INV04155</t>
  </si>
  <si>
    <t>INV04156</t>
  </si>
  <si>
    <t>INV04157</t>
  </si>
  <si>
    <t>INV04158</t>
  </si>
  <si>
    <t>INV04159</t>
  </si>
  <si>
    <t>INV04160</t>
  </si>
  <si>
    <t>INV04161</t>
  </si>
  <si>
    <t>INV04162</t>
  </si>
  <si>
    <t>INV04163</t>
  </si>
  <si>
    <t>INV04164</t>
  </si>
  <si>
    <t>INV04165</t>
  </si>
  <si>
    <t>INV04166</t>
  </si>
  <si>
    <t>INV04167</t>
  </si>
  <si>
    <t>INV04168</t>
  </si>
  <si>
    <t>INV04169</t>
  </si>
  <si>
    <t>INV04170</t>
  </si>
  <si>
    <t>INV04171</t>
  </si>
  <si>
    <t>INV04172</t>
  </si>
  <si>
    <t>INV04173</t>
  </si>
  <si>
    <t>INV04174</t>
  </si>
  <si>
    <t>INV04175</t>
  </si>
  <si>
    <t>INV04176</t>
  </si>
  <si>
    <t>INV04177</t>
  </si>
  <si>
    <t>INV04178</t>
  </si>
  <si>
    <t>INV04179</t>
  </si>
  <si>
    <t>INV04180</t>
  </si>
  <si>
    <t>INV04181</t>
  </si>
  <si>
    <t>INV04182</t>
  </si>
  <si>
    <t>INV04183</t>
  </si>
  <si>
    <t>INV04184</t>
  </si>
  <si>
    <t>INV04185</t>
  </si>
  <si>
    <t>INV04186</t>
  </si>
  <si>
    <t>INV04187</t>
  </si>
  <si>
    <t>INV04188</t>
  </si>
  <si>
    <t>INV04189</t>
  </si>
  <si>
    <t>INV04190</t>
  </si>
  <si>
    <t>INV04191</t>
  </si>
  <si>
    <t>INV04192</t>
  </si>
  <si>
    <t>INV04193</t>
  </si>
  <si>
    <t>INV04194</t>
  </si>
  <si>
    <t>INV04195</t>
  </si>
  <si>
    <t>INV04196</t>
  </si>
  <si>
    <t>INV04197</t>
  </si>
  <si>
    <t>INV04198</t>
  </si>
  <si>
    <t>INV04199</t>
  </si>
  <si>
    <t>INV04200</t>
  </si>
  <si>
    <t>INV04201</t>
  </si>
  <si>
    <t>INV04202</t>
  </si>
  <si>
    <t>INV04203</t>
  </si>
  <si>
    <t>INV04204</t>
  </si>
  <si>
    <t>INV04205</t>
  </si>
  <si>
    <t>INV04206</t>
  </si>
  <si>
    <t>INV04207</t>
  </si>
  <si>
    <t>INV04208</t>
  </si>
  <si>
    <t>INV04209</t>
  </si>
  <si>
    <t>INV04210</t>
  </si>
  <si>
    <t>INV04211</t>
  </si>
  <si>
    <t>INV04212</t>
  </si>
  <si>
    <t>INV04213</t>
  </si>
  <si>
    <t>INV04214</t>
  </si>
  <si>
    <t>INV04215</t>
  </si>
  <si>
    <t>INV04216</t>
  </si>
  <si>
    <t>INV04217</t>
  </si>
  <si>
    <t>INV04218</t>
  </si>
  <si>
    <t>INV04219</t>
  </si>
  <si>
    <t>INV04220</t>
  </si>
  <si>
    <t>INV04221</t>
  </si>
  <si>
    <t>INV04222</t>
  </si>
  <si>
    <t>INV04223</t>
  </si>
  <si>
    <t>INV04224</t>
  </si>
  <si>
    <t>INV04225</t>
  </si>
  <si>
    <t>INV04226</t>
  </si>
  <si>
    <t>INV04227</t>
  </si>
  <si>
    <t>INV04228</t>
  </si>
  <si>
    <t>INV04229</t>
  </si>
  <si>
    <t>INV04230</t>
  </si>
  <si>
    <t>INV04231</t>
  </si>
  <si>
    <t>INV04232</t>
  </si>
  <si>
    <t>INV04233</t>
  </si>
  <si>
    <t>INV04234</t>
  </si>
  <si>
    <t>INV04235</t>
  </si>
  <si>
    <t>INV04236</t>
  </si>
  <si>
    <t>INV04237</t>
  </si>
  <si>
    <t>INV04238</t>
  </si>
  <si>
    <t>INV04239</t>
  </si>
  <si>
    <t>INV04240</t>
  </si>
  <si>
    <t>INV04241</t>
  </si>
  <si>
    <t>INV04242</t>
  </si>
  <si>
    <t>INV04243</t>
  </si>
  <si>
    <t>INV04244</t>
  </si>
  <si>
    <t>INV04245</t>
  </si>
  <si>
    <t>INV04246</t>
  </si>
  <si>
    <t>INV04247</t>
  </si>
  <si>
    <t>INV04248</t>
  </si>
  <si>
    <t>INV04249</t>
  </si>
  <si>
    <t>INV04250</t>
  </si>
  <si>
    <t>INV04251</t>
  </si>
  <si>
    <t>INV04252</t>
  </si>
  <si>
    <t>INV04253</t>
  </si>
  <si>
    <t>INV04254</t>
  </si>
  <si>
    <t>INV04255</t>
  </si>
  <si>
    <t>INV04256</t>
  </si>
  <si>
    <t>INV04257</t>
  </si>
  <si>
    <t>INV04258</t>
  </si>
  <si>
    <t>INV04259</t>
  </si>
  <si>
    <t>INV04260</t>
  </si>
  <si>
    <t>INV04261</t>
  </si>
  <si>
    <t>INV04262</t>
  </si>
  <si>
    <t>INV04263</t>
  </si>
  <si>
    <t>INV04264</t>
  </si>
  <si>
    <t>INV04265</t>
  </si>
  <si>
    <t>INV04266</t>
  </si>
  <si>
    <t>INV04267</t>
  </si>
  <si>
    <t>INV04268</t>
  </si>
  <si>
    <t>INV04269</t>
  </si>
  <si>
    <t>INV04270</t>
  </si>
  <si>
    <t>INV04271</t>
  </si>
  <si>
    <t>INV04272</t>
  </si>
  <si>
    <t>INV04273</t>
  </si>
  <si>
    <t>INV04274</t>
  </si>
  <si>
    <t>INV04275</t>
  </si>
  <si>
    <t>INV04276</t>
  </si>
  <si>
    <t>INV04277</t>
  </si>
  <si>
    <t>INV04278</t>
  </si>
  <si>
    <t>INV04279</t>
  </si>
  <si>
    <t>INV04280</t>
  </si>
  <si>
    <t>INV04281</t>
  </si>
  <si>
    <t>INV04282</t>
  </si>
  <si>
    <t>INV04283</t>
  </si>
  <si>
    <t>INV04284</t>
  </si>
  <si>
    <t>INV04285</t>
  </si>
  <si>
    <t>INV04286</t>
  </si>
  <si>
    <t>INV04287</t>
  </si>
  <si>
    <t>INV04288</t>
  </si>
  <si>
    <t>INV04289</t>
  </si>
  <si>
    <t>INV04290</t>
  </si>
  <si>
    <t>INV04291</t>
  </si>
  <si>
    <t>INV04292</t>
  </si>
  <si>
    <t>INV04293</t>
  </si>
  <si>
    <t>INV04294</t>
  </si>
  <si>
    <t>INV04295</t>
  </si>
  <si>
    <t>INV04296</t>
  </si>
  <si>
    <t>INV04297</t>
  </si>
  <si>
    <t>INV04298</t>
  </si>
  <si>
    <t>INV04299</t>
  </si>
  <si>
    <t>INV04300</t>
  </si>
  <si>
    <t>INV04301</t>
  </si>
  <si>
    <t>INV04302</t>
  </si>
  <si>
    <t>INV04303</t>
  </si>
  <si>
    <t>INV04304</t>
  </si>
  <si>
    <t>INV04305</t>
  </si>
  <si>
    <t>INV04306</t>
  </si>
  <si>
    <t>INV04307</t>
  </si>
  <si>
    <t>INV04308</t>
  </si>
  <si>
    <t>INV04309</t>
  </si>
  <si>
    <t>INV04310</t>
  </si>
  <si>
    <t>INV04311</t>
  </si>
  <si>
    <t>INV04312</t>
  </si>
  <si>
    <t>INV04313</t>
  </si>
  <si>
    <t>INV04314</t>
  </si>
  <si>
    <t>INV04315</t>
  </si>
  <si>
    <t>INV04316</t>
  </si>
  <si>
    <t>INV04317</t>
  </si>
  <si>
    <t>INV04318</t>
  </si>
  <si>
    <t>INV04319</t>
  </si>
  <si>
    <t>INV04320</t>
  </si>
  <si>
    <t>INV04321</t>
  </si>
  <si>
    <t>INV04322</t>
  </si>
  <si>
    <t>INV04323</t>
  </si>
  <si>
    <t>INV04324</t>
  </si>
  <si>
    <t>INV04325</t>
  </si>
  <si>
    <t>INV04326</t>
  </si>
  <si>
    <t>INV04327</t>
  </si>
  <si>
    <t>INV04328</t>
  </si>
  <si>
    <t>INV04329</t>
  </si>
  <si>
    <t>INV04330</t>
  </si>
  <si>
    <t>INV04331</t>
  </si>
  <si>
    <t>INV04332</t>
  </si>
  <si>
    <t>INV04333</t>
  </si>
  <si>
    <t>INV04334</t>
  </si>
  <si>
    <t>INV04335</t>
  </si>
  <si>
    <t>INV04336</t>
  </si>
  <si>
    <t>INV04337</t>
  </si>
  <si>
    <t>INV04338</t>
  </si>
  <si>
    <t>INV04339</t>
  </si>
  <si>
    <t>INV04340</t>
  </si>
  <si>
    <t>INV04341</t>
  </si>
  <si>
    <t>INV04342</t>
  </si>
  <si>
    <t>INV04343</t>
  </si>
  <si>
    <t>INV04344</t>
  </si>
  <si>
    <t>INV04345</t>
  </si>
  <si>
    <t>INV04346</t>
  </si>
  <si>
    <t>INV04347</t>
  </si>
  <si>
    <t>INV04348</t>
  </si>
  <si>
    <t>INV04349</t>
  </si>
  <si>
    <t>INV04350</t>
  </si>
  <si>
    <t>INV04351</t>
  </si>
  <si>
    <t>INV04352</t>
  </si>
  <si>
    <t>INV04353</t>
  </si>
  <si>
    <t>INV04354</t>
  </si>
  <si>
    <t>INV04355</t>
  </si>
  <si>
    <t>INV04356</t>
  </si>
  <si>
    <t>INV04357</t>
  </si>
  <si>
    <t>INV04358</t>
  </si>
  <si>
    <t>INV04359</t>
  </si>
  <si>
    <t>INV04360</t>
  </si>
  <si>
    <t>INV04361</t>
  </si>
  <si>
    <t>INV04362</t>
  </si>
  <si>
    <t>INV04363</t>
  </si>
  <si>
    <t>INV04364</t>
  </si>
  <si>
    <t>INV04365</t>
  </si>
  <si>
    <t>INV04366</t>
  </si>
  <si>
    <t>INV04367</t>
  </si>
  <si>
    <t>INV04368</t>
  </si>
  <si>
    <t>INV04369</t>
  </si>
  <si>
    <t>INV04370</t>
  </si>
  <si>
    <t>INV04371</t>
  </si>
  <si>
    <t>INV04372</t>
  </si>
  <si>
    <t>INV04373</t>
  </si>
  <si>
    <t>INV04374</t>
  </si>
  <si>
    <t>INV04375</t>
  </si>
  <si>
    <t>INV04376</t>
  </si>
  <si>
    <t>INV04377</t>
  </si>
  <si>
    <t>INV04378</t>
  </si>
  <si>
    <t>INV04379</t>
  </si>
  <si>
    <t>INV04380</t>
  </si>
  <si>
    <t>INV04381</t>
  </si>
  <si>
    <t>INV04382</t>
  </si>
  <si>
    <t>INV04383</t>
  </si>
  <si>
    <t>INV04384</t>
  </si>
  <si>
    <t>INV04385</t>
  </si>
  <si>
    <t>INV04386</t>
  </si>
  <si>
    <t>INV04387</t>
  </si>
  <si>
    <t>INV04388</t>
  </si>
  <si>
    <t>INV04389</t>
  </si>
  <si>
    <t>INV04390</t>
  </si>
  <si>
    <t>INV04391</t>
  </si>
  <si>
    <t>INV04392</t>
  </si>
  <si>
    <t>INV04393</t>
  </si>
  <si>
    <t>INV04394</t>
  </si>
  <si>
    <t>INV04395</t>
  </si>
  <si>
    <t>INV04396</t>
  </si>
  <si>
    <t>INV04397</t>
  </si>
  <si>
    <t>INV04398</t>
  </si>
  <si>
    <t>INV04399</t>
  </si>
  <si>
    <t>INV04400</t>
  </si>
  <si>
    <t>INV04401</t>
  </si>
  <si>
    <t>INV04402</t>
  </si>
  <si>
    <t>INV04403</t>
  </si>
  <si>
    <t>INV04404</t>
  </si>
  <si>
    <t>INV04405</t>
  </si>
  <si>
    <t>INV04406</t>
  </si>
  <si>
    <t>INV04407</t>
  </si>
  <si>
    <t>INV04408</t>
  </si>
  <si>
    <t>INV04409</t>
  </si>
  <si>
    <t>INV04410</t>
  </si>
  <si>
    <t>INV04411</t>
  </si>
  <si>
    <t>INV04412</t>
  </si>
  <si>
    <t>INV04413</t>
  </si>
  <si>
    <t>INV04414</t>
  </si>
  <si>
    <t>INV04415</t>
  </si>
  <si>
    <t>INV04416</t>
  </si>
  <si>
    <t>INV04417</t>
  </si>
  <si>
    <t>INV04418</t>
  </si>
  <si>
    <t>INV04419</t>
  </si>
  <si>
    <t>INV04420</t>
  </si>
  <si>
    <t>INV04421</t>
  </si>
  <si>
    <t>INV04422</t>
  </si>
  <si>
    <t>INV04423</t>
  </si>
  <si>
    <t>INV04424</t>
  </si>
  <si>
    <t>INV04425</t>
  </si>
  <si>
    <t>INV04426</t>
  </si>
  <si>
    <t>INV04427</t>
  </si>
  <si>
    <t>INV04428</t>
  </si>
  <si>
    <t>INV04429</t>
  </si>
  <si>
    <t>INV04430</t>
  </si>
  <si>
    <t>INV04431</t>
  </si>
  <si>
    <t>INV04432</t>
  </si>
  <si>
    <t>INV04433</t>
  </si>
  <si>
    <t>INV04434</t>
  </si>
  <si>
    <t>INV04435</t>
  </si>
  <si>
    <t>INV04436</t>
  </si>
  <si>
    <t>INV04437</t>
  </si>
  <si>
    <t>INV04438</t>
  </si>
  <si>
    <t>INV04439</t>
  </si>
  <si>
    <t>INV04440</t>
  </si>
  <si>
    <t>INV04441</t>
  </si>
  <si>
    <t>INV04442</t>
  </si>
  <si>
    <t>INV04443</t>
  </si>
  <si>
    <t>INV04444</t>
  </si>
  <si>
    <t>INV04445</t>
  </si>
  <si>
    <t>INV04446</t>
  </si>
  <si>
    <t>INV04447</t>
  </si>
  <si>
    <t>INV04448</t>
  </si>
  <si>
    <t>INV04449</t>
  </si>
  <si>
    <t>INV04450</t>
  </si>
  <si>
    <t>INV04451</t>
  </si>
  <si>
    <t>INV04452</t>
  </si>
  <si>
    <t>INV04453</t>
  </si>
  <si>
    <t>INV04454</t>
  </si>
  <si>
    <t>INV04455</t>
  </si>
  <si>
    <t>INV04456</t>
  </si>
  <si>
    <t>INV04457</t>
  </si>
  <si>
    <t>INV04458</t>
  </si>
  <si>
    <t>INV04459</t>
  </si>
  <si>
    <t>INV04460</t>
  </si>
  <si>
    <t>INV04461</t>
  </si>
  <si>
    <t>INV04462</t>
  </si>
  <si>
    <t>INV04463</t>
  </si>
  <si>
    <t>INV04464</t>
  </si>
  <si>
    <t>INV04465</t>
  </si>
  <si>
    <t>INV04466</t>
  </si>
  <si>
    <t>INV04467</t>
  </si>
  <si>
    <t>INV04468</t>
  </si>
  <si>
    <t>INV04469</t>
  </si>
  <si>
    <t>INV04470</t>
  </si>
  <si>
    <t>INV04471</t>
  </si>
  <si>
    <t>INV04472</t>
  </si>
  <si>
    <t>INV04473</t>
  </si>
  <si>
    <t>INV04474</t>
  </si>
  <si>
    <t>INV04475</t>
  </si>
  <si>
    <t>INV04476</t>
  </si>
  <si>
    <t>INV04477</t>
  </si>
  <si>
    <t>INV04478</t>
  </si>
  <si>
    <t>INV04479</t>
  </si>
  <si>
    <t>INV04480</t>
  </si>
  <si>
    <t>INV04481</t>
  </si>
  <si>
    <t>INV04482</t>
  </si>
  <si>
    <t>INV04483</t>
  </si>
  <si>
    <t>INV04484</t>
  </si>
  <si>
    <t>INV04485</t>
  </si>
  <si>
    <t>INV04486</t>
  </si>
  <si>
    <t>INV04487</t>
  </si>
  <si>
    <t>INV04488</t>
  </si>
  <si>
    <t>INV04489</t>
  </si>
  <si>
    <t>INV04490</t>
  </si>
  <si>
    <t>INV04491</t>
  </si>
  <si>
    <t>INV04492</t>
  </si>
  <si>
    <t>INV04493</t>
  </si>
  <si>
    <t>INV04494</t>
  </si>
  <si>
    <t>INV04495</t>
  </si>
  <si>
    <t>INV04496</t>
  </si>
  <si>
    <t>INV04497</t>
  </si>
  <si>
    <t>INV04498</t>
  </si>
  <si>
    <t>INV04499</t>
  </si>
  <si>
    <t>INV04500</t>
  </si>
  <si>
    <t>INV04501</t>
  </si>
  <si>
    <t>INV04502</t>
  </si>
  <si>
    <t>INV04503</t>
  </si>
  <si>
    <t>INV04504</t>
  </si>
  <si>
    <t>INV04505</t>
  </si>
  <si>
    <t>INV04506</t>
  </si>
  <si>
    <t>INV04507</t>
  </si>
  <si>
    <t>INV04508</t>
  </si>
  <si>
    <t>INV04509</t>
  </si>
  <si>
    <t>INV04510</t>
  </si>
  <si>
    <t>INV04511</t>
  </si>
  <si>
    <t>INV04512</t>
  </si>
  <si>
    <t>INV04513</t>
  </si>
  <si>
    <t>INV04514</t>
  </si>
  <si>
    <t>INV04515</t>
  </si>
  <si>
    <t>INV04516</t>
  </si>
  <si>
    <t>INV04517</t>
  </si>
  <si>
    <t>INV04518</t>
  </si>
  <si>
    <t>INV04519</t>
  </si>
  <si>
    <t>INV04520</t>
  </si>
  <si>
    <t>INV04521</t>
  </si>
  <si>
    <t>INV04522</t>
  </si>
  <si>
    <t>INV04523</t>
  </si>
  <si>
    <t>INV04524</t>
  </si>
  <si>
    <t>INV04525</t>
  </si>
  <si>
    <t>INV04526</t>
  </si>
  <si>
    <t>INV04527</t>
  </si>
  <si>
    <t>INV04528</t>
  </si>
  <si>
    <t>INV04529</t>
  </si>
  <si>
    <t>INV04530</t>
  </si>
  <si>
    <t>INV04531</t>
  </si>
  <si>
    <t>INV04532</t>
  </si>
  <si>
    <t>INV04533</t>
  </si>
  <si>
    <t>INV04534</t>
  </si>
  <si>
    <t>INV04535</t>
  </si>
  <si>
    <t>INV04536</t>
  </si>
  <si>
    <t>INV04537</t>
  </si>
  <si>
    <t>INV04538</t>
  </si>
  <si>
    <t>INV04539</t>
  </si>
  <si>
    <t>INV04540</t>
  </si>
  <si>
    <t>INV04541</t>
  </si>
  <si>
    <t>INV04542</t>
  </si>
  <si>
    <t>INV04543</t>
  </si>
  <si>
    <t>INV04544</t>
  </si>
  <si>
    <t>INV04545</t>
  </si>
  <si>
    <t>INV04546</t>
  </si>
  <si>
    <t>INV04547</t>
  </si>
  <si>
    <t>INV04548</t>
  </si>
  <si>
    <t>INV04549</t>
  </si>
  <si>
    <t>INV04550</t>
  </si>
  <si>
    <t>INV04551</t>
  </si>
  <si>
    <t>INV04552</t>
  </si>
  <si>
    <t>INV04553</t>
  </si>
  <si>
    <t>INV04554</t>
  </si>
  <si>
    <t>INV04555</t>
  </si>
  <si>
    <t>INV04556</t>
  </si>
  <si>
    <t>INV04557</t>
  </si>
  <si>
    <t>INV04558</t>
  </si>
  <si>
    <t>INV04559</t>
  </si>
  <si>
    <t>INV04560</t>
  </si>
  <si>
    <t>INV04561</t>
  </si>
  <si>
    <t>INV04562</t>
  </si>
  <si>
    <t>INV04563</t>
  </si>
  <si>
    <t>INV04564</t>
  </si>
  <si>
    <t>INV04565</t>
  </si>
  <si>
    <t>INV04566</t>
  </si>
  <si>
    <t>INV04567</t>
  </si>
  <si>
    <t>INV04568</t>
  </si>
  <si>
    <t>INV04569</t>
  </si>
  <si>
    <t>INV04570</t>
  </si>
  <si>
    <t>INV04571</t>
  </si>
  <si>
    <t>INV04572</t>
  </si>
  <si>
    <t>INV04573</t>
  </si>
  <si>
    <t>INV04574</t>
  </si>
  <si>
    <t>INV04575</t>
  </si>
  <si>
    <t>INV04576</t>
  </si>
  <si>
    <t>INV04577</t>
  </si>
  <si>
    <t>INV04578</t>
  </si>
  <si>
    <t>INV04579</t>
  </si>
  <si>
    <t>INV04580</t>
  </si>
  <si>
    <t>INV04581</t>
  </si>
  <si>
    <t>INV04582</t>
  </si>
  <si>
    <t>INV04583</t>
  </si>
  <si>
    <t>INV04584</t>
  </si>
  <si>
    <t>INV04585</t>
  </si>
  <si>
    <t>INV04586</t>
  </si>
  <si>
    <t>INV04587</t>
  </si>
  <si>
    <t>INV04588</t>
  </si>
  <si>
    <t>INV04589</t>
  </si>
  <si>
    <t>INV04590</t>
  </si>
  <si>
    <t>INV04591</t>
  </si>
  <si>
    <t>INV04592</t>
  </si>
  <si>
    <t>INV04593</t>
  </si>
  <si>
    <t>INV04594</t>
  </si>
  <si>
    <t>INV04595</t>
  </si>
  <si>
    <t>INV04596</t>
  </si>
  <si>
    <t>INV04597</t>
  </si>
  <si>
    <t>INV04598</t>
  </si>
  <si>
    <t>INV04599</t>
  </si>
  <si>
    <t>INV04600</t>
  </si>
  <si>
    <t>INV04601</t>
  </si>
  <si>
    <t>INV04602</t>
  </si>
  <si>
    <t>INV04603</t>
  </si>
  <si>
    <t>INV04604</t>
  </si>
  <si>
    <t>INV04605</t>
  </si>
  <si>
    <t>INV04606</t>
  </si>
  <si>
    <t>INV04607</t>
  </si>
  <si>
    <t>INV04608</t>
  </si>
  <si>
    <t>INV04609</t>
  </si>
  <si>
    <t>INV04610</t>
  </si>
  <si>
    <t>INV04611</t>
  </si>
  <si>
    <t>INV04612</t>
  </si>
  <si>
    <t>INV04613</t>
  </si>
  <si>
    <t>INV04614</t>
  </si>
  <si>
    <t>INV04615</t>
  </si>
  <si>
    <t>INV04616</t>
  </si>
  <si>
    <t>INV04617</t>
  </si>
  <si>
    <t>INV04618</t>
  </si>
  <si>
    <t>INV04619</t>
  </si>
  <si>
    <t>INV04620</t>
  </si>
  <si>
    <t>INV04621</t>
  </si>
  <si>
    <t>INV04622</t>
  </si>
  <si>
    <t>INV04623</t>
  </si>
  <si>
    <t>INV04624</t>
  </si>
  <si>
    <t>INV04625</t>
  </si>
  <si>
    <t>INV04626</t>
  </si>
  <si>
    <t>INV04627</t>
  </si>
  <si>
    <t>INV04628</t>
  </si>
  <si>
    <t>INV04629</t>
  </si>
  <si>
    <t>INV04630</t>
  </si>
  <si>
    <t>INV04631</t>
  </si>
  <si>
    <t>INV04632</t>
  </si>
  <si>
    <t>INV04633</t>
  </si>
  <si>
    <t>INV04634</t>
  </si>
  <si>
    <t>INV04635</t>
  </si>
  <si>
    <t>INV04636</t>
  </si>
  <si>
    <t>INV04637</t>
  </si>
  <si>
    <t>INV04638</t>
  </si>
  <si>
    <t>INV04639</t>
  </si>
  <si>
    <t>INV04640</t>
  </si>
  <si>
    <t>INV04641</t>
  </si>
  <si>
    <t>INV04642</t>
  </si>
  <si>
    <t>INV04643</t>
  </si>
  <si>
    <t>INV04644</t>
  </si>
  <si>
    <t>INV04645</t>
  </si>
  <si>
    <t>INV04646</t>
  </si>
  <si>
    <t>INV04647</t>
  </si>
  <si>
    <t>INV04648</t>
  </si>
  <si>
    <t>INV04649</t>
  </si>
  <si>
    <t>INV04650</t>
  </si>
  <si>
    <t>INV04651</t>
  </si>
  <si>
    <t>INV04652</t>
  </si>
  <si>
    <t>INV04653</t>
  </si>
  <si>
    <t>INV04654</t>
  </si>
  <si>
    <t>INV04655</t>
  </si>
  <si>
    <t>INV04656</t>
  </si>
  <si>
    <t>INV04657</t>
  </si>
  <si>
    <t>INV04658</t>
  </si>
  <si>
    <t>INV04659</t>
  </si>
  <si>
    <t>INV04660</t>
  </si>
  <si>
    <t>INV04661</t>
  </si>
  <si>
    <t>INV04662</t>
  </si>
  <si>
    <t>INV04663</t>
  </si>
  <si>
    <t>INV04664</t>
  </si>
  <si>
    <t>INV04665</t>
  </si>
  <si>
    <t>INV04666</t>
  </si>
  <si>
    <t>INV04667</t>
  </si>
  <si>
    <t>INV04668</t>
  </si>
  <si>
    <t>INV04669</t>
  </si>
  <si>
    <t>INV04670</t>
  </si>
  <si>
    <t>INV04671</t>
  </si>
  <si>
    <t>INV04672</t>
  </si>
  <si>
    <t>INV04673</t>
  </si>
  <si>
    <t>INV04674</t>
  </si>
  <si>
    <t>INV04675</t>
  </si>
  <si>
    <t>INV04676</t>
  </si>
  <si>
    <t>INV04677</t>
  </si>
  <si>
    <t>INV04678</t>
  </si>
  <si>
    <t>INV04679</t>
  </si>
  <si>
    <t>INV04680</t>
  </si>
  <si>
    <t>INV04681</t>
  </si>
  <si>
    <t>INV04682</t>
  </si>
  <si>
    <t>INV04683</t>
  </si>
  <si>
    <t>INV04684</t>
  </si>
  <si>
    <t>INV04685</t>
  </si>
  <si>
    <t>INV04686</t>
  </si>
  <si>
    <t>INV04687</t>
  </si>
  <si>
    <t>INV04688</t>
  </si>
  <si>
    <t>INV04689</t>
  </si>
  <si>
    <t>INV04690</t>
  </si>
  <si>
    <t>INV04691</t>
  </si>
  <si>
    <t>INV04692</t>
  </si>
  <si>
    <t>INV04693</t>
  </si>
  <si>
    <t>INV04694</t>
  </si>
  <si>
    <t>INV04695</t>
  </si>
  <si>
    <t>INV04696</t>
  </si>
  <si>
    <t>INV04697</t>
  </si>
  <si>
    <t>INV04698</t>
  </si>
  <si>
    <t>INV04699</t>
  </si>
  <si>
    <t>INV04700</t>
  </si>
  <si>
    <t>INV04701</t>
  </si>
  <si>
    <t>INV04702</t>
  </si>
  <si>
    <t>INV04703</t>
  </si>
  <si>
    <t>INV04704</t>
  </si>
  <si>
    <t>INV04705</t>
  </si>
  <si>
    <t>INV04706</t>
  </si>
  <si>
    <t>INV04707</t>
  </si>
  <si>
    <t>INV04708</t>
  </si>
  <si>
    <t>INV04709</t>
  </si>
  <si>
    <t>INV04710</t>
  </si>
  <si>
    <t>INV04711</t>
  </si>
  <si>
    <t>INV04712</t>
  </si>
  <si>
    <t>INV04713</t>
  </si>
  <si>
    <t>INV04714</t>
  </si>
  <si>
    <t>INV04715</t>
  </si>
  <si>
    <t>INV04716</t>
  </si>
  <si>
    <t>INV04717</t>
  </si>
  <si>
    <t>INV04718</t>
  </si>
  <si>
    <t>INV04719</t>
  </si>
  <si>
    <t>INV04720</t>
  </si>
  <si>
    <t>INV04721</t>
  </si>
  <si>
    <t>INV04722</t>
  </si>
  <si>
    <t>INV04723</t>
  </si>
  <si>
    <t>INV04724</t>
  </si>
  <si>
    <t>INV04725</t>
  </si>
  <si>
    <t>INV04726</t>
  </si>
  <si>
    <t>INV04727</t>
  </si>
  <si>
    <t>INV04728</t>
  </si>
  <si>
    <t>INV04729</t>
  </si>
  <si>
    <t>INV04730</t>
  </si>
  <si>
    <t>INV04731</t>
  </si>
  <si>
    <t>INV04732</t>
  </si>
  <si>
    <t>INV04733</t>
  </si>
  <si>
    <t>INV04734</t>
  </si>
  <si>
    <t>INV04735</t>
  </si>
  <si>
    <t>INV04736</t>
  </si>
  <si>
    <t>INV04737</t>
  </si>
  <si>
    <t>INV04738</t>
  </si>
  <si>
    <t>INV04739</t>
  </si>
  <si>
    <t>INV04740</t>
  </si>
  <si>
    <t>INV04741</t>
  </si>
  <si>
    <t>INV04742</t>
  </si>
  <si>
    <t>INV04743</t>
  </si>
  <si>
    <t>INV04744</t>
  </si>
  <si>
    <t>INV04745</t>
  </si>
  <si>
    <t>INV04746</t>
  </si>
  <si>
    <t>INV04747</t>
  </si>
  <si>
    <t>INV04748</t>
  </si>
  <si>
    <t>INV04749</t>
  </si>
  <si>
    <t>INV04750</t>
  </si>
  <si>
    <t>INV04751</t>
  </si>
  <si>
    <t>INV04752</t>
  </si>
  <si>
    <t>INV04753</t>
  </si>
  <si>
    <t>INV04754</t>
  </si>
  <si>
    <t>INV04755</t>
  </si>
  <si>
    <t>INV04756</t>
  </si>
  <si>
    <t>INV04757</t>
  </si>
  <si>
    <t>INV04758</t>
  </si>
  <si>
    <t>INV04759</t>
  </si>
  <si>
    <t>INV04760</t>
  </si>
  <si>
    <t>INV04761</t>
  </si>
  <si>
    <t>INV04762</t>
  </si>
  <si>
    <t>INV04763</t>
  </si>
  <si>
    <t>INV04764</t>
  </si>
  <si>
    <t>INV04765</t>
  </si>
  <si>
    <t>INV04766</t>
  </si>
  <si>
    <t>INV04767</t>
  </si>
  <si>
    <t>INV04768</t>
  </si>
  <si>
    <t>INV04769</t>
  </si>
  <si>
    <t>INV04770</t>
  </si>
  <si>
    <t>INV04771</t>
  </si>
  <si>
    <t>INV04772</t>
  </si>
  <si>
    <t>INV04773</t>
  </si>
  <si>
    <t>INV04774</t>
  </si>
  <si>
    <t>INV04775</t>
  </si>
  <si>
    <t>INV04776</t>
  </si>
  <si>
    <t>INV04777</t>
  </si>
  <si>
    <t>INV04778</t>
  </si>
  <si>
    <t>INV04779</t>
  </si>
  <si>
    <t>INV04780</t>
  </si>
  <si>
    <t>INV04781</t>
  </si>
  <si>
    <t>INV04782</t>
  </si>
  <si>
    <t>INV04783</t>
  </si>
  <si>
    <t>INV04784</t>
  </si>
  <si>
    <t>INV04785</t>
  </si>
  <si>
    <t>INV04786</t>
  </si>
  <si>
    <t>INV04787</t>
  </si>
  <si>
    <t>INV04788</t>
  </si>
  <si>
    <t>INV04789</t>
  </si>
  <si>
    <t>INV04790</t>
  </si>
  <si>
    <t>INV04791</t>
  </si>
  <si>
    <t>INV04792</t>
  </si>
  <si>
    <t>INV04793</t>
  </si>
  <si>
    <t>INV04794</t>
  </si>
  <si>
    <t>INV04795</t>
  </si>
  <si>
    <t>INV04796</t>
  </si>
  <si>
    <t>INV04797</t>
  </si>
  <si>
    <t>INV04798</t>
  </si>
  <si>
    <t>INV04799</t>
  </si>
  <si>
    <t>INV04800</t>
  </si>
  <si>
    <t>INV04801</t>
  </si>
  <si>
    <t>INV04802</t>
  </si>
  <si>
    <t>INV04803</t>
  </si>
  <si>
    <t>INV04804</t>
  </si>
  <si>
    <t>INV04805</t>
  </si>
  <si>
    <t>INV04806</t>
  </si>
  <si>
    <t>INV04807</t>
  </si>
  <si>
    <t>INV04808</t>
  </si>
  <si>
    <t>INV04809</t>
  </si>
  <si>
    <t>INV04810</t>
  </si>
  <si>
    <t>INV04811</t>
  </si>
  <si>
    <t>INV04812</t>
  </si>
  <si>
    <t>INV04813</t>
  </si>
  <si>
    <t>INV04814</t>
  </si>
  <si>
    <t>INV04815</t>
  </si>
  <si>
    <t>INV04816</t>
  </si>
  <si>
    <t>INV04817</t>
  </si>
  <si>
    <t>INV04818</t>
  </si>
  <si>
    <t>INV04819</t>
  </si>
  <si>
    <t>INV04820</t>
  </si>
  <si>
    <t>INV04821</t>
  </si>
  <si>
    <t>INV04822</t>
  </si>
  <si>
    <t>INV04823</t>
  </si>
  <si>
    <t>INV04824</t>
  </si>
  <si>
    <t>INV04825</t>
  </si>
  <si>
    <t>INV04826</t>
  </si>
  <si>
    <t>INV04827</t>
  </si>
  <si>
    <t>INV04828</t>
  </si>
  <si>
    <t>INV04829</t>
  </si>
  <si>
    <t>INV04830</t>
  </si>
  <si>
    <t>INV04831</t>
  </si>
  <si>
    <t>INV04832</t>
  </si>
  <si>
    <t>INV04833</t>
  </si>
  <si>
    <t>INV04834</t>
  </si>
  <si>
    <t>INV04835</t>
  </si>
  <si>
    <t>INV04836</t>
  </si>
  <si>
    <t>INV04837</t>
  </si>
  <si>
    <t>INV04838</t>
  </si>
  <si>
    <t>INV04839</t>
  </si>
  <si>
    <t>INV04840</t>
  </si>
  <si>
    <t>INV04841</t>
  </si>
  <si>
    <t>INV04842</t>
  </si>
  <si>
    <t>INV04843</t>
  </si>
  <si>
    <t>INV04844</t>
  </si>
  <si>
    <t>INV04845</t>
  </si>
  <si>
    <t>INV04846</t>
  </si>
  <si>
    <t>INV04847</t>
  </si>
  <si>
    <t>INV04848</t>
  </si>
  <si>
    <t>INV04849</t>
  </si>
  <si>
    <t>INV04850</t>
  </si>
  <si>
    <t>INV04851</t>
  </si>
  <si>
    <t>INV04852</t>
  </si>
  <si>
    <t>INV04853</t>
  </si>
  <si>
    <t>INV04854</t>
  </si>
  <si>
    <t>INV04855</t>
  </si>
  <si>
    <t>INV04856</t>
  </si>
  <si>
    <t>INV04857</t>
  </si>
  <si>
    <t>INV04858</t>
  </si>
  <si>
    <t>INV04859</t>
  </si>
  <si>
    <t>INV04860</t>
  </si>
  <si>
    <t>INV04861</t>
  </si>
  <si>
    <t>INV04862</t>
  </si>
  <si>
    <t>INV04863</t>
  </si>
  <si>
    <t>INV04864</t>
  </si>
  <si>
    <t>INV04865</t>
  </si>
  <si>
    <t>INV04866</t>
  </si>
  <si>
    <t>INV04867</t>
  </si>
  <si>
    <t>INV04868</t>
  </si>
  <si>
    <t>INV04869</t>
  </si>
  <si>
    <t>INV04870</t>
  </si>
  <si>
    <t>INV04871</t>
  </si>
  <si>
    <t>INV04872</t>
  </si>
  <si>
    <t>INV04873</t>
  </si>
  <si>
    <t>INV04874</t>
  </si>
  <si>
    <t>INV04875</t>
  </si>
  <si>
    <t>INV04876</t>
  </si>
  <si>
    <t>INV04877</t>
  </si>
  <si>
    <t>INV04878</t>
  </si>
  <si>
    <t>INV04879</t>
  </si>
  <si>
    <t>INV04880</t>
  </si>
  <si>
    <t>INV04881</t>
  </si>
  <si>
    <t>INV04882</t>
  </si>
  <si>
    <t>INV04883</t>
  </si>
  <si>
    <t>INV04884</t>
  </si>
  <si>
    <t>INV04885</t>
  </si>
  <si>
    <t>INV04886</t>
  </si>
  <si>
    <t>INV04887</t>
  </si>
  <si>
    <t>INV04888</t>
  </si>
  <si>
    <t>INV04889</t>
  </si>
  <si>
    <t>INV04890</t>
  </si>
  <si>
    <t>INV04891</t>
  </si>
  <si>
    <t>INV04892</t>
  </si>
  <si>
    <t>INV04893</t>
  </si>
  <si>
    <t>INV04894</t>
  </si>
  <si>
    <t>INV04895</t>
  </si>
  <si>
    <t>INV04896</t>
  </si>
  <si>
    <t>INV04897</t>
  </si>
  <si>
    <t>INV04898</t>
  </si>
  <si>
    <t>INV04899</t>
  </si>
  <si>
    <t>INV04900</t>
  </si>
  <si>
    <t>INV04901</t>
  </si>
  <si>
    <t>INV04902</t>
  </si>
  <si>
    <t>INV04903</t>
  </si>
  <si>
    <t>INV04904</t>
  </si>
  <si>
    <t>INV04905</t>
  </si>
  <si>
    <t>INV04906</t>
  </si>
  <si>
    <t>INV04907</t>
  </si>
  <si>
    <t>INV04908</t>
  </si>
  <si>
    <t>INV04909</t>
  </si>
  <si>
    <t>INV04910</t>
  </si>
  <si>
    <t>INV04911</t>
  </si>
  <si>
    <t>INV04912</t>
  </si>
  <si>
    <t>INV04913</t>
  </si>
  <si>
    <t>INV04914</t>
  </si>
  <si>
    <t>INV04915</t>
  </si>
  <si>
    <t>INV04916</t>
  </si>
  <si>
    <t>INV04917</t>
  </si>
  <si>
    <t>INV04918</t>
  </si>
  <si>
    <t>INV04919</t>
  </si>
  <si>
    <t>INV04920</t>
  </si>
  <si>
    <t>INV04921</t>
  </si>
  <si>
    <t>INV04922</t>
  </si>
  <si>
    <t>INV04923</t>
  </si>
  <si>
    <t>INV04924</t>
  </si>
  <si>
    <t>INV04925</t>
  </si>
  <si>
    <t>INV04926</t>
  </si>
  <si>
    <t>INV04927</t>
  </si>
  <si>
    <t>INV04928</t>
  </si>
  <si>
    <t>INV04929</t>
  </si>
  <si>
    <t>INV04930</t>
  </si>
  <si>
    <t>INV04931</t>
  </si>
  <si>
    <t>INV04932</t>
  </si>
  <si>
    <t>INV04933</t>
  </si>
  <si>
    <t>INV04934</t>
  </si>
  <si>
    <t>INV04935</t>
  </si>
  <si>
    <t>INV04936</t>
  </si>
  <si>
    <t>INV04937</t>
  </si>
  <si>
    <t>INV04938</t>
  </si>
  <si>
    <t>INV04939</t>
  </si>
  <si>
    <t>INV04940</t>
  </si>
  <si>
    <t>INV04941</t>
  </si>
  <si>
    <t>INV04942</t>
  </si>
  <si>
    <t>INV04943</t>
  </si>
  <si>
    <t>INV04944</t>
  </si>
  <si>
    <t>INV04945</t>
  </si>
  <si>
    <t>INV04946</t>
  </si>
  <si>
    <t>INV04947</t>
  </si>
  <si>
    <t>INV04948</t>
  </si>
  <si>
    <t>INV04949</t>
  </si>
  <si>
    <t>INV04950</t>
  </si>
  <si>
    <t>INV04951</t>
  </si>
  <si>
    <t>INV04952</t>
  </si>
  <si>
    <t>INV04953</t>
  </si>
  <si>
    <t>INV04954</t>
  </si>
  <si>
    <t>INV04955</t>
  </si>
  <si>
    <t>INV04956</t>
  </si>
  <si>
    <t>INV04957</t>
  </si>
  <si>
    <t>INV04958</t>
  </si>
  <si>
    <t>INV04959</t>
  </si>
  <si>
    <t>INV04960</t>
  </si>
  <si>
    <t>INV04961</t>
  </si>
  <si>
    <t>INV04962</t>
  </si>
  <si>
    <t>INV04963</t>
  </si>
  <si>
    <t>INV04964</t>
  </si>
  <si>
    <t>INV04965</t>
  </si>
  <si>
    <t>INV04966</t>
  </si>
  <si>
    <t>INV04967</t>
  </si>
  <si>
    <t>INV04968</t>
  </si>
  <si>
    <t>INV04969</t>
  </si>
  <si>
    <t>INV04970</t>
  </si>
  <si>
    <t>INV04971</t>
  </si>
  <si>
    <t>INV04972</t>
  </si>
  <si>
    <t>INV04973</t>
  </si>
  <si>
    <t>INV04974</t>
  </si>
  <si>
    <t>INV04975</t>
  </si>
  <si>
    <t>INV04976</t>
  </si>
  <si>
    <t>INV04977</t>
  </si>
  <si>
    <t>INV04978</t>
  </si>
  <si>
    <t>INV04979</t>
  </si>
  <si>
    <t>INV04980</t>
  </si>
  <si>
    <t>INV04981</t>
  </si>
  <si>
    <t>INV04982</t>
  </si>
  <si>
    <t>INV04983</t>
  </si>
  <si>
    <t>INV04984</t>
  </si>
  <si>
    <t>INV04985</t>
  </si>
  <si>
    <t>INV04986</t>
  </si>
  <si>
    <t>INV04987</t>
  </si>
  <si>
    <t>INV04988</t>
  </si>
  <si>
    <t>INV04989</t>
  </si>
  <si>
    <t>INV04990</t>
  </si>
  <si>
    <t>INV04991</t>
  </si>
  <si>
    <t>INV04992</t>
  </si>
  <si>
    <t>INV04993</t>
  </si>
  <si>
    <t>INV04994</t>
  </si>
  <si>
    <t>INV04995</t>
  </si>
  <si>
    <t>INV04996</t>
  </si>
  <si>
    <t>INV04997</t>
  </si>
  <si>
    <t>INV04998</t>
  </si>
  <si>
    <t>INV04999</t>
  </si>
  <si>
    <t>INV05000</t>
  </si>
  <si>
    <t>INV05001</t>
  </si>
  <si>
    <t>INV05002</t>
  </si>
  <si>
    <t>INV05003</t>
  </si>
  <si>
    <t>INV05004</t>
  </si>
  <si>
    <t>INV05005</t>
  </si>
  <si>
    <t>INV05006</t>
  </si>
  <si>
    <t>INV05007</t>
  </si>
  <si>
    <t>INV05008</t>
  </si>
  <si>
    <t>INV05009</t>
  </si>
  <si>
    <t>INV05010</t>
  </si>
  <si>
    <t>INV05011</t>
  </si>
  <si>
    <t>INV05012</t>
  </si>
  <si>
    <t>INV05013</t>
  </si>
  <si>
    <t>INV05014</t>
  </si>
  <si>
    <t>INV05015</t>
  </si>
  <si>
    <t>INV05016</t>
  </si>
  <si>
    <t>INV05017</t>
  </si>
  <si>
    <t>INV05018</t>
  </si>
  <si>
    <t>INV05019</t>
  </si>
  <si>
    <t>INV05020</t>
  </si>
  <si>
    <t>INV05021</t>
  </si>
  <si>
    <t>INV05022</t>
  </si>
  <si>
    <t>INV05023</t>
  </si>
  <si>
    <t>INV05024</t>
  </si>
  <si>
    <t>INV05025</t>
  </si>
  <si>
    <t>INV05026</t>
  </si>
  <si>
    <t>INV05027</t>
  </si>
  <si>
    <t>INV05028</t>
  </si>
  <si>
    <t>INV05029</t>
  </si>
  <si>
    <t>INV05030</t>
  </si>
  <si>
    <t>INV05031</t>
  </si>
  <si>
    <t>INV05032</t>
  </si>
  <si>
    <t>INV05033</t>
  </si>
  <si>
    <t>INV05034</t>
  </si>
  <si>
    <t>INV05035</t>
  </si>
  <si>
    <t>INV05036</t>
  </si>
  <si>
    <t>INV05037</t>
  </si>
  <si>
    <t>INV05038</t>
  </si>
  <si>
    <t>INV05039</t>
  </si>
  <si>
    <t>INV05040</t>
  </si>
  <si>
    <t>INV05041</t>
  </si>
  <si>
    <t>INV05042</t>
  </si>
  <si>
    <t>INV05043</t>
  </si>
  <si>
    <t>INV05044</t>
  </si>
  <si>
    <t>INV05045</t>
  </si>
  <si>
    <t>INV05046</t>
  </si>
  <si>
    <t>INV05047</t>
  </si>
  <si>
    <t>INV05048</t>
  </si>
  <si>
    <t>INV05049</t>
  </si>
  <si>
    <t>INV05050</t>
  </si>
  <si>
    <t>INV05051</t>
  </si>
  <si>
    <t>INV05052</t>
  </si>
  <si>
    <t>INV05053</t>
  </si>
  <si>
    <t>INV05054</t>
  </si>
  <si>
    <t>INV05055</t>
  </si>
  <si>
    <t>INV05056</t>
  </si>
  <si>
    <t>INV05057</t>
  </si>
  <si>
    <t>INV05058</t>
  </si>
  <si>
    <t>INV05059</t>
  </si>
  <si>
    <t>INV05060</t>
  </si>
  <si>
    <t>INV05061</t>
  </si>
  <si>
    <t>INV05062</t>
  </si>
  <si>
    <t>INV05063</t>
  </si>
  <si>
    <t>INV05064</t>
  </si>
  <si>
    <t>INV05065</t>
  </si>
  <si>
    <t>INV05066</t>
  </si>
  <si>
    <t>INV05067</t>
  </si>
  <si>
    <t>INV05068</t>
  </si>
  <si>
    <t>INV05069</t>
  </si>
  <si>
    <t>INV05070</t>
  </si>
  <si>
    <t>INV05071</t>
  </si>
  <si>
    <t>INV05072</t>
  </si>
  <si>
    <t>INV05073</t>
  </si>
  <si>
    <t>INV05074</t>
  </si>
  <si>
    <t>INV05075</t>
  </si>
  <si>
    <t>INV05076</t>
  </si>
  <si>
    <t>INV05077</t>
  </si>
  <si>
    <t>INV05078</t>
  </si>
  <si>
    <t>INV05079</t>
  </si>
  <si>
    <t>INV05080</t>
  </si>
  <si>
    <t>INV05081</t>
  </si>
  <si>
    <t>INV05082</t>
  </si>
  <si>
    <t>INV05083</t>
  </si>
  <si>
    <t>INV05084</t>
  </si>
  <si>
    <t>INV05085</t>
  </si>
  <si>
    <t>INV05086</t>
  </si>
  <si>
    <t>INV05087</t>
  </si>
  <si>
    <t>INV05088</t>
  </si>
  <si>
    <t>INV05089</t>
  </si>
  <si>
    <t>INV05090</t>
  </si>
  <si>
    <t>INV05091</t>
  </si>
  <si>
    <t>INV05092</t>
  </si>
  <si>
    <t>INV05093</t>
  </si>
  <si>
    <t>INV05094</t>
  </si>
  <si>
    <t>INV05095</t>
  </si>
  <si>
    <t>INV05096</t>
  </si>
  <si>
    <t>INV05097</t>
  </si>
  <si>
    <t>INV05098</t>
  </si>
  <si>
    <t>INV05099</t>
  </si>
  <si>
    <t>INV05100</t>
  </si>
  <si>
    <t>INV05101</t>
  </si>
  <si>
    <t>INV05102</t>
  </si>
  <si>
    <t>INV05103</t>
  </si>
  <si>
    <t>INV05104</t>
  </si>
  <si>
    <t>INV05105</t>
  </si>
  <si>
    <t>INV05106</t>
  </si>
  <si>
    <t>INV05107</t>
  </si>
  <si>
    <t>INV05108</t>
  </si>
  <si>
    <t>INV05109</t>
  </si>
  <si>
    <t>INV05110</t>
  </si>
  <si>
    <t>INV05111</t>
  </si>
  <si>
    <t>INV05112</t>
  </si>
  <si>
    <t>INV05113</t>
  </si>
  <si>
    <t>INV05114</t>
  </si>
  <si>
    <t>INV05115</t>
  </si>
  <si>
    <t>INV05116</t>
  </si>
  <si>
    <t>INV05117</t>
  </si>
  <si>
    <t>INV05118</t>
  </si>
  <si>
    <t>INV05119</t>
  </si>
  <si>
    <t>INV05120</t>
  </si>
  <si>
    <t>INV05121</t>
  </si>
  <si>
    <t>INV05122</t>
  </si>
  <si>
    <t>INV05123</t>
  </si>
  <si>
    <t>INV05124</t>
  </si>
  <si>
    <t>INV05125</t>
  </si>
  <si>
    <t>INV05126</t>
  </si>
  <si>
    <t>INV05127</t>
  </si>
  <si>
    <t>INV05128</t>
  </si>
  <si>
    <t>INV05129</t>
  </si>
  <si>
    <t>INV05130</t>
  </si>
  <si>
    <t>INV05131</t>
  </si>
  <si>
    <t>INV05132</t>
  </si>
  <si>
    <t>INV05133</t>
  </si>
  <si>
    <t>INV05134</t>
  </si>
  <si>
    <t>INV05135</t>
  </si>
  <si>
    <t>INV05136</t>
  </si>
  <si>
    <t>INV05137</t>
  </si>
  <si>
    <t>INV05138</t>
  </si>
  <si>
    <t>INV05139</t>
  </si>
  <si>
    <t>INV05140</t>
  </si>
  <si>
    <t>INV05141</t>
  </si>
  <si>
    <t>INV05142</t>
  </si>
  <si>
    <t>INV05143</t>
  </si>
  <si>
    <t>INV05144</t>
  </si>
  <si>
    <t>INV05145</t>
  </si>
  <si>
    <t>INV05146</t>
  </si>
  <si>
    <t>INV05147</t>
  </si>
  <si>
    <t>INV05148</t>
  </si>
  <si>
    <t>INV05149</t>
  </si>
  <si>
    <t>INV05150</t>
  </si>
  <si>
    <t>INV05151</t>
  </si>
  <si>
    <t>INV05152</t>
  </si>
  <si>
    <t>INV05153</t>
  </si>
  <si>
    <t>INV05154</t>
  </si>
  <si>
    <t>INV05155</t>
  </si>
  <si>
    <t>INV05156</t>
  </si>
  <si>
    <t>INV05157</t>
  </si>
  <si>
    <t>INV05158</t>
  </si>
  <si>
    <t>INV05159</t>
  </si>
  <si>
    <t>INV05160</t>
  </si>
  <si>
    <t>INV05161</t>
  </si>
  <si>
    <t>INV05162</t>
  </si>
  <si>
    <t>INV05163</t>
  </si>
  <si>
    <t>INV05164</t>
  </si>
  <si>
    <t>INV05165</t>
  </si>
  <si>
    <t>INV05166</t>
  </si>
  <si>
    <t>INV05167</t>
  </si>
  <si>
    <t>INV05168</t>
  </si>
  <si>
    <t>INV05169</t>
  </si>
  <si>
    <t>INV05170</t>
  </si>
  <si>
    <t>INV05171</t>
  </si>
  <si>
    <t>INV05172</t>
  </si>
  <si>
    <t>INV05173</t>
  </si>
  <si>
    <t>INV05174</t>
  </si>
  <si>
    <t>INV05175</t>
  </si>
  <si>
    <t>INV05176</t>
  </si>
  <si>
    <t>INV05177</t>
  </si>
  <si>
    <t>INV05178</t>
  </si>
  <si>
    <t>INV05179</t>
  </si>
  <si>
    <t>INV05180</t>
  </si>
  <si>
    <t>INV05181</t>
  </si>
  <si>
    <t>INV05182</t>
  </si>
  <si>
    <t>INV05183</t>
  </si>
  <si>
    <t>INV05184</t>
  </si>
  <si>
    <t>INV05185</t>
  </si>
  <si>
    <t>INV05186</t>
  </si>
  <si>
    <t>INV05187</t>
  </si>
  <si>
    <t>INV05188</t>
  </si>
  <si>
    <t>INV05189</t>
  </si>
  <si>
    <t>INV05190</t>
  </si>
  <si>
    <t>INV05191</t>
  </si>
  <si>
    <t>INV05192</t>
  </si>
  <si>
    <t>INV05193</t>
  </si>
  <si>
    <t>INV05194</t>
  </si>
  <si>
    <t>INV05195</t>
  </si>
  <si>
    <t>INV05196</t>
  </si>
  <si>
    <t>INV05197</t>
  </si>
  <si>
    <t>INV05198</t>
  </si>
  <si>
    <t>INV05199</t>
  </si>
  <si>
    <t>INV05200</t>
  </si>
  <si>
    <t>INV05201</t>
  </si>
  <si>
    <t>INV05202</t>
  </si>
  <si>
    <t>INV05203</t>
  </si>
  <si>
    <t>INV05204</t>
  </si>
  <si>
    <t>INV05205</t>
  </si>
  <si>
    <t>INV05206</t>
  </si>
  <si>
    <t>INV05207</t>
  </si>
  <si>
    <t>INV05208</t>
  </si>
  <si>
    <t>INV05209</t>
  </si>
  <si>
    <t>INV05210</t>
  </si>
  <si>
    <t>INV05211</t>
  </si>
  <si>
    <t>INV05212</t>
  </si>
  <si>
    <t>INV05213</t>
  </si>
  <si>
    <t>INV05214</t>
  </si>
  <si>
    <t>INV05215</t>
  </si>
  <si>
    <t>INV05216</t>
  </si>
  <si>
    <t>INV05217</t>
  </si>
  <si>
    <t>INV05218</t>
  </si>
  <si>
    <t>INV05219</t>
  </si>
  <si>
    <t>INV05220</t>
  </si>
  <si>
    <t>INV05221</t>
  </si>
  <si>
    <t>INV05222</t>
  </si>
  <si>
    <t>INV05223</t>
  </si>
  <si>
    <t>INV05224</t>
  </si>
  <si>
    <t>INV05225</t>
  </si>
  <si>
    <t>INV05226</t>
  </si>
  <si>
    <t>INV05227</t>
  </si>
  <si>
    <t>INV05228</t>
  </si>
  <si>
    <t>INV05229</t>
  </si>
  <si>
    <t>INV05230</t>
  </si>
  <si>
    <t>INV05231</t>
  </si>
  <si>
    <t>INV05232</t>
  </si>
  <si>
    <t>INV05233</t>
  </si>
  <si>
    <t>INV05234</t>
  </si>
  <si>
    <t>INV05235</t>
  </si>
  <si>
    <t>INV05236</t>
  </si>
  <si>
    <t>INV05237</t>
  </si>
  <si>
    <t>INV05238</t>
  </si>
  <si>
    <t>INV05239</t>
  </si>
  <si>
    <t>INV05240</t>
  </si>
  <si>
    <t>INV05241</t>
  </si>
  <si>
    <t>INV05242</t>
  </si>
  <si>
    <t>INV05243</t>
  </si>
  <si>
    <t>INV05244</t>
  </si>
  <si>
    <t>INV05245</t>
  </si>
  <si>
    <t>INV05246</t>
  </si>
  <si>
    <t>INV05247</t>
  </si>
  <si>
    <t>INV05248</t>
  </si>
  <si>
    <t>INV05249</t>
  </si>
  <si>
    <t>INV05250</t>
  </si>
  <si>
    <t>INV05251</t>
  </si>
  <si>
    <t>INV05252</t>
  </si>
  <si>
    <t>INV05253</t>
  </si>
  <si>
    <t>INV05254</t>
  </si>
  <si>
    <t>INV05255</t>
  </si>
  <si>
    <t>INV05256</t>
  </si>
  <si>
    <t>INV05257</t>
  </si>
  <si>
    <t>INV05258</t>
  </si>
  <si>
    <t>INV05259</t>
  </si>
  <si>
    <t>INV05260</t>
  </si>
  <si>
    <t>INV05261</t>
  </si>
  <si>
    <t>INV05262</t>
  </si>
  <si>
    <t>INV05263</t>
  </si>
  <si>
    <t>INV05264</t>
  </si>
  <si>
    <t>INV05265</t>
  </si>
  <si>
    <t>INV05266</t>
  </si>
  <si>
    <t>INV05267</t>
  </si>
  <si>
    <t>INV05268</t>
  </si>
  <si>
    <t>INV05269</t>
  </si>
  <si>
    <t>INV05270</t>
  </si>
  <si>
    <t>INV05271</t>
  </si>
  <si>
    <t>INV05272</t>
  </si>
  <si>
    <t>INV05273</t>
  </si>
  <si>
    <t>INV05274</t>
  </si>
  <si>
    <t>INV05275</t>
  </si>
  <si>
    <t>INV05276</t>
  </si>
  <si>
    <t>INV05277</t>
  </si>
  <si>
    <t>INV05278</t>
  </si>
  <si>
    <t>INV05279</t>
  </si>
  <si>
    <t>INV05280</t>
  </si>
  <si>
    <t>INV05281</t>
  </si>
  <si>
    <t>INV05282</t>
  </si>
  <si>
    <t>INV05283</t>
  </si>
  <si>
    <t>INV05284</t>
  </si>
  <si>
    <t>INV05285</t>
  </si>
  <si>
    <t>INV05286</t>
  </si>
  <si>
    <t>INV05287</t>
  </si>
  <si>
    <t>INV05288</t>
  </si>
  <si>
    <t>INV05289</t>
  </si>
  <si>
    <t>INV05290</t>
  </si>
  <si>
    <t>INV05291</t>
  </si>
  <si>
    <t>INV05292</t>
  </si>
  <si>
    <t>INV05293</t>
  </si>
  <si>
    <t>INV05294</t>
  </si>
  <si>
    <t>INV05295</t>
  </si>
  <si>
    <t>INV05296</t>
  </si>
  <si>
    <t>INV05297</t>
  </si>
  <si>
    <t>INV05298</t>
  </si>
  <si>
    <t>INV05299</t>
  </si>
  <si>
    <t>INV05300</t>
  </si>
  <si>
    <t>INV05301</t>
  </si>
  <si>
    <t>INV05302</t>
  </si>
  <si>
    <t>INV05303</t>
  </si>
  <si>
    <t>INV05304</t>
  </si>
  <si>
    <t>INV05305</t>
  </si>
  <si>
    <t>INV05306</t>
  </si>
  <si>
    <t>INV05307</t>
  </si>
  <si>
    <t>INV05308</t>
  </si>
  <si>
    <t>INV05309</t>
  </si>
  <si>
    <t>INV05310</t>
  </si>
  <si>
    <t>INV05311</t>
  </si>
  <si>
    <t>INV05312</t>
  </si>
  <si>
    <t>INV05313</t>
  </si>
  <si>
    <t>INV05314</t>
  </si>
  <si>
    <t>INV05315</t>
  </si>
  <si>
    <t>INV05316</t>
  </si>
  <si>
    <t>INV05317</t>
  </si>
  <si>
    <t>INV05318</t>
  </si>
  <si>
    <t>INV05319</t>
  </si>
  <si>
    <t>INV05320</t>
  </si>
  <si>
    <t>INV05321</t>
  </si>
  <si>
    <t>INV05322</t>
  </si>
  <si>
    <t>INV05323</t>
  </si>
  <si>
    <t>INV05324</t>
  </si>
  <si>
    <t>INV05325</t>
  </si>
  <si>
    <t>INV05326</t>
  </si>
  <si>
    <t>INV05327</t>
  </si>
  <si>
    <t>INV05328</t>
  </si>
  <si>
    <t>INV05329</t>
  </si>
  <si>
    <t>INV05330</t>
  </si>
  <si>
    <t>INV05331</t>
  </si>
  <si>
    <t>INV05332</t>
  </si>
  <si>
    <t>INV05333</t>
  </si>
  <si>
    <t>INV05334</t>
  </si>
  <si>
    <t>INV05335</t>
  </si>
  <si>
    <t>INV05336</t>
  </si>
  <si>
    <t>INV05337</t>
  </si>
  <si>
    <t>INV05338</t>
  </si>
  <si>
    <t>INV05339</t>
  </si>
  <si>
    <t>INV05340</t>
  </si>
  <si>
    <t>INV05341</t>
  </si>
  <si>
    <t>INV05342</t>
  </si>
  <si>
    <t>INV05343</t>
  </si>
  <si>
    <t>INV05344</t>
  </si>
  <si>
    <t>INV05345</t>
  </si>
  <si>
    <t>INV05346</t>
  </si>
  <si>
    <t>INV05347</t>
  </si>
  <si>
    <t>INV05348</t>
  </si>
  <si>
    <t>INV05349</t>
  </si>
  <si>
    <t>INV05350</t>
  </si>
  <si>
    <t>INV05351</t>
  </si>
  <si>
    <t>INV05352</t>
  </si>
  <si>
    <t>INV05353</t>
  </si>
  <si>
    <t>INV05354</t>
  </si>
  <si>
    <t>INV05355</t>
  </si>
  <si>
    <t>INV05356</t>
  </si>
  <si>
    <t>INV05357</t>
  </si>
  <si>
    <t>INV05358</t>
  </si>
  <si>
    <t>INV05359</t>
  </si>
  <si>
    <t>INV05360</t>
  </si>
  <si>
    <t>INV05361</t>
  </si>
  <si>
    <t>INV05362</t>
  </si>
  <si>
    <t>INV05363</t>
  </si>
  <si>
    <t>INV05364</t>
  </si>
  <si>
    <t>INV05365</t>
  </si>
  <si>
    <t>INV05366</t>
  </si>
  <si>
    <t>INV05367</t>
  </si>
  <si>
    <t>INV05368</t>
  </si>
  <si>
    <t>INV05369</t>
  </si>
  <si>
    <t>INV05370</t>
  </si>
  <si>
    <t>INV05371</t>
  </si>
  <si>
    <t>INV05372</t>
  </si>
  <si>
    <t>INV05373</t>
  </si>
  <si>
    <t>INV05374</t>
  </si>
  <si>
    <t>INV05375</t>
  </si>
  <si>
    <t>INV05376</t>
  </si>
  <si>
    <t>INV05377</t>
  </si>
  <si>
    <t>INV05378</t>
  </si>
  <si>
    <t>INV05379</t>
  </si>
  <si>
    <t>INV05380</t>
  </si>
  <si>
    <t>INV05381</t>
  </si>
  <si>
    <t>INV05382</t>
  </si>
  <si>
    <t>INV05383</t>
  </si>
  <si>
    <t>INV05384</t>
  </si>
  <si>
    <t>INV05385</t>
  </si>
  <si>
    <t>INV05386</t>
  </si>
  <si>
    <t>INV05387</t>
  </si>
  <si>
    <t>INV05388</t>
  </si>
  <si>
    <t>INV05389</t>
  </si>
  <si>
    <t>INV05390</t>
  </si>
  <si>
    <t>INV05391</t>
  </si>
  <si>
    <t>INV05392</t>
  </si>
  <si>
    <t>INV05393</t>
  </si>
  <si>
    <t>INV05394</t>
  </si>
  <si>
    <t>INV05395</t>
  </si>
  <si>
    <t>INV05396</t>
  </si>
  <si>
    <t>INV05397</t>
  </si>
  <si>
    <t>INV05398</t>
  </si>
  <si>
    <t>INV05399</t>
  </si>
  <si>
    <t>INV05400</t>
  </si>
  <si>
    <t>INV05401</t>
  </si>
  <si>
    <t>INV05402</t>
  </si>
  <si>
    <t>INV05403</t>
  </si>
  <si>
    <t>INV05404</t>
  </si>
  <si>
    <t>INV05405</t>
  </si>
  <si>
    <t>INV05406</t>
  </si>
  <si>
    <t>INV05407</t>
  </si>
  <si>
    <t>INV05408</t>
  </si>
  <si>
    <t>INV05409</t>
  </si>
  <si>
    <t>INV05410</t>
  </si>
  <si>
    <t>INV05411</t>
  </si>
  <si>
    <t>INV05412</t>
  </si>
  <si>
    <t>INV05413</t>
  </si>
  <si>
    <t>INV05414</t>
  </si>
  <si>
    <t>INV05415</t>
  </si>
  <si>
    <t>INV05416</t>
  </si>
  <si>
    <t>INV05417</t>
  </si>
  <si>
    <t>INV05418</t>
  </si>
  <si>
    <t>INV05419</t>
  </si>
  <si>
    <t>INV05420</t>
  </si>
  <si>
    <t>INV05421</t>
  </si>
  <si>
    <t>INV05422</t>
  </si>
  <si>
    <t>INV05423</t>
  </si>
  <si>
    <t>INV05424</t>
  </si>
  <si>
    <t>INV05425</t>
  </si>
  <si>
    <t>INV05426</t>
  </si>
  <si>
    <t>INV05427</t>
  </si>
  <si>
    <t>INV05428</t>
  </si>
  <si>
    <t>INV05429</t>
  </si>
  <si>
    <t>INV05430</t>
  </si>
  <si>
    <t>INV05431</t>
  </si>
  <si>
    <t>INV05432</t>
  </si>
  <si>
    <t>INV05433</t>
  </si>
  <si>
    <t>INV05434</t>
  </si>
  <si>
    <t>INV05435</t>
  </si>
  <si>
    <t>INV05436</t>
  </si>
  <si>
    <t>INV05437</t>
  </si>
  <si>
    <t>INV05438</t>
  </si>
  <si>
    <t>INV05439</t>
  </si>
  <si>
    <t>INV05440</t>
  </si>
  <si>
    <t>INV05441</t>
  </si>
  <si>
    <t>INV05442</t>
  </si>
  <si>
    <t>INV05443</t>
  </si>
  <si>
    <t>INV05444</t>
  </si>
  <si>
    <t>INV05445</t>
  </si>
  <si>
    <t>INV05446</t>
  </si>
  <si>
    <t>INV05447</t>
  </si>
  <si>
    <t>INV05448</t>
  </si>
  <si>
    <t>INV05449</t>
  </si>
  <si>
    <t>INV05450</t>
  </si>
  <si>
    <t>INV05451</t>
  </si>
  <si>
    <t>INV05452</t>
  </si>
  <si>
    <t>INV05453</t>
  </si>
  <si>
    <t>INV05454</t>
  </si>
  <si>
    <t>INV05455</t>
  </si>
  <si>
    <t>INV05456</t>
  </si>
  <si>
    <t>INV05457</t>
  </si>
  <si>
    <t>INV05458</t>
  </si>
  <si>
    <t>INV05459</t>
  </si>
  <si>
    <t>INV05460</t>
  </si>
  <si>
    <t>INV05461</t>
  </si>
  <si>
    <t>INV05462</t>
  </si>
  <si>
    <t>INV05463</t>
  </si>
  <si>
    <t>INV05464</t>
  </si>
  <si>
    <t>INV05465</t>
  </si>
  <si>
    <t>INV05466</t>
  </si>
  <si>
    <t>INV05467</t>
  </si>
  <si>
    <t>INV05468</t>
  </si>
  <si>
    <t>INV05469</t>
  </si>
  <si>
    <t>INV05470</t>
  </si>
  <si>
    <t>INV05471</t>
  </si>
  <si>
    <t>INV05472</t>
  </si>
  <si>
    <t>INV05473</t>
  </si>
  <si>
    <t>INV05474</t>
  </si>
  <si>
    <t>INV05475</t>
  </si>
  <si>
    <t>INV05476</t>
  </si>
  <si>
    <t>INV05477</t>
  </si>
  <si>
    <t>INV05478</t>
  </si>
  <si>
    <t>INV05479</t>
  </si>
  <si>
    <t>INV05480</t>
  </si>
  <si>
    <t>INV05481</t>
  </si>
  <si>
    <t>INV05482</t>
  </si>
  <si>
    <t>INV05483</t>
  </si>
  <si>
    <t>INV05484</t>
  </si>
  <si>
    <t>INV05485</t>
  </si>
  <si>
    <t>INV05486</t>
  </si>
  <si>
    <t>INV05487</t>
  </si>
  <si>
    <t>INV05488</t>
  </si>
  <si>
    <t>INV05489</t>
  </si>
  <si>
    <t>INV05490</t>
  </si>
  <si>
    <t>INV05491</t>
  </si>
  <si>
    <t>INV05492</t>
  </si>
  <si>
    <t>INV05493</t>
  </si>
  <si>
    <t>INV05494</t>
  </si>
  <si>
    <t>INV05495</t>
  </si>
  <si>
    <t>INV05496</t>
  </si>
  <si>
    <t>INV05497</t>
  </si>
  <si>
    <t>INV05498</t>
  </si>
  <si>
    <t>INV05499</t>
  </si>
  <si>
    <t>INV05500</t>
  </si>
  <si>
    <t>INV05501</t>
  </si>
  <si>
    <t>INV05502</t>
  </si>
  <si>
    <t>INV05503</t>
  </si>
  <si>
    <t>INV05504</t>
  </si>
  <si>
    <t>INV05505</t>
  </si>
  <si>
    <t>INV05506</t>
  </si>
  <si>
    <t>INV05507</t>
  </si>
  <si>
    <t>INV05508</t>
  </si>
  <si>
    <t>INV05509</t>
  </si>
  <si>
    <t>INV05510</t>
  </si>
  <si>
    <t>INV05511</t>
  </si>
  <si>
    <t>INV05512</t>
  </si>
  <si>
    <t>INV05513</t>
  </si>
  <si>
    <t>INV05514</t>
  </si>
  <si>
    <t>INV05515</t>
  </si>
  <si>
    <t>INV05516</t>
  </si>
  <si>
    <t>INV05517</t>
  </si>
  <si>
    <t>INV05518</t>
  </si>
  <si>
    <t>INV05519</t>
  </si>
  <si>
    <t>INV05520</t>
  </si>
  <si>
    <t>INV05521</t>
  </si>
  <si>
    <t>INV05522</t>
  </si>
  <si>
    <t>INV05523</t>
  </si>
  <si>
    <t>INV05524</t>
  </si>
  <si>
    <t>INV05525</t>
  </si>
  <si>
    <t>INV05526</t>
  </si>
  <si>
    <t>INV05527</t>
  </si>
  <si>
    <t>INV05528</t>
  </si>
  <si>
    <t>INV05529</t>
  </si>
  <si>
    <t>INV05530</t>
  </si>
  <si>
    <t>INV05531</t>
  </si>
  <si>
    <t>INV05532</t>
  </si>
  <si>
    <t>INV05533</t>
  </si>
  <si>
    <t>INV05534</t>
  </si>
  <si>
    <t>INV05535</t>
  </si>
  <si>
    <t>INV05536</t>
  </si>
  <si>
    <t>INV05537</t>
  </si>
  <si>
    <t>INV05538</t>
  </si>
  <si>
    <t>INV05539</t>
  </si>
  <si>
    <t>INV05540</t>
  </si>
  <si>
    <t>INV05541</t>
  </si>
  <si>
    <t>INV05542</t>
  </si>
  <si>
    <t>INV05543</t>
  </si>
  <si>
    <t>INV05544</t>
  </si>
  <si>
    <t>INV05545</t>
  </si>
  <si>
    <t>INV05546</t>
  </si>
  <si>
    <t>INV05547</t>
  </si>
  <si>
    <t>INV05548</t>
  </si>
  <si>
    <t>INV05549</t>
  </si>
  <si>
    <t>INV05550</t>
  </si>
  <si>
    <t>INV05551</t>
  </si>
  <si>
    <t>INV05552</t>
  </si>
  <si>
    <t>INV05553</t>
  </si>
  <si>
    <t>INV05554</t>
  </si>
  <si>
    <t>INV05555</t>
  </si>
  <si>
    <t>INV05556</t>
  </si>
  <si>
    <t>INV05557</t>
  </si>
  <si>
    <t>INV05558</t>
  </si>
  <si>
    <t>INV05559</t>
  </si>
  <si>
    <t>INV05560</t>
  </si>
  <si>
    <t>INV05561</t>
  </si>
  <si>
    <t>INV05562</t>
  </si>
  <si>
    <t>INV05563</t>
  </si>
  <si>
    <t>INV05564</t>
  </si>
  <si>
    <t>INV05565</t>
  </si>
  <si>
    <t>INV05566</t>
  </si>
  <si>
    <t>INV05567</t>
  </si>
  <si>
    <t>INV05568</t>
  </si>
  <si>
    <t>INV05569</t>
  </si>
  <si>
    <t>INV05570</t>
  </si>
  <si>
    <t>INV05571</t>
  </si>
  <si>
    <t>INV05572</t>
  </si>
  <si>
    <t>INV05573</t>
  </si>
  <si>
    <t>INV05574</t>
  </si>
  <si>
    <t>INV05575</t>
  </si>
  <si>
    <t>INV05576</t>
  </si>
  <si>
    <t>INV05577</t>
  </si>
  <si>
    <t>INV05578</t>
  </si>
  <si>
    <t>INV05579</t>
  </si>
  <si>
    <t>INV05580</t>
  </si>
  <si>
    <t>INV05581</t>
  </si>
  <si>
    <t>INV05582</t>
  </si>
  <si>
    <t>INV05583</t>
  </si>
  <si>
    <t>INV05584</t>
  </si>
  <si>
    <t>INV05585</t>
  </si>
  <si>
    <t>INV05586</t>
  </si>
  <si>
    <t>INV05587</t>
  </si>
  <si>
    <t>INV05588</t>
  </si>
  <si>
    <t>INV05589</t>
  </si>
  <si>
    <t>INV05590</t>
  </si>
  <si>
    <t>INV05591</t>
  </si>
  <si>
    <t>INV05592</t>
  </si>
  <si>
    <t>INV05593</t>
  </si>
  <si>
    <t>INV05594</t>
  </si>
  <si>
    <t>INV05595</t>
  </si>
  <si>
    <t>INV05596</t>
  </si>
  <si>
    <t>INV05597</t>
  </si>
  <si>
    <t>INV05598</t>
  </si>
  <si>
    <t>INV05599</t>
  </si>
  <si>
    <t>INV05600</t>
  </si>
  <si>
    <t>INV05601</t>
  </si>
  <si>
    <t>INV05602</t>
  </si>
  <si>
    <t>INV05603</t>
  </si>
  <si>
    <t>INV05604</t>
  </si>
  <si>
    <t>INV05605</t>
  </si>
  <si>
    <t>INV05606</t>
  </si>
  <si>
    <t>INV05607</t>
  </si>
  <si>
    <t>INV05608</t>
  </si>
  <si>
    <t>INV05609</t>
  </si>
  <si>
    <t>INV05610</t>
  </si>
  <si>
    <t>INV05611</t>
  </si>
  <si>
    <t>INV05612</t>
  </si>
  <si>
    <t>INV05613</t>
  </si>
  <si>
    <t>INV05614</t>
  </si>
  <si>
    <t>INV05615</t>
  </si>
  <si>
    <t>INV05616</t>
  </si>
  <si>
    <t>INV05617</t>
  </si>
  <si>
    <t>INV05618</t>
  </si>
  <si>
    <t>INV05619</t>
  </si>
  <si>
    <t>INV05620</t>
  </si>
  <si>
    <t>INV05621</t>
  </si>
  <si>
    <t>INV05622</t>
  </si>
  <si>
    <t>INV05623</t>
  </si>
  <si>
    <t>INV05624</t>
  </si>
  <si>
    <t>INV05625</t>
  </si>
  <si>
    <t>INV05626</t>
  </si>
  <si>
    <t>INV05627</t>
  </si>
  <si>
    <t>INV05628</t>
  </si>
  <si>
    <t>INV05629</t>
  </si>
  <si>
    <t>INV05630</t>
  </si>
  <si>
    <t>INV05631</t>
  </si>
  <si>
    <t>INV05632</t>
  </si>
  <si>
    <t>INV05633</t>
  </si>
  <si>
    <t>INV05634</t>
  </si>
  <si>
    <t>INV05635</t>
  </si>
  <si>
    <t>INV05636</t>
  </si>
  <si>
    <t>INV05637</t>
  </si>
  <si>
    <t>INV05638</t>
  </si>
  <si>
    <t>INV05639</t>
  </si>
  <si>
    <t>INV05640</t>
  </si>
  <si>
    <t>INV05641</t>
  </si>
  <si>
    <t>INV05642</t>
  </si>
  <si>
    <t>INV05643</t>
  </si>
  <si>
    <t>INV05644</t>
  </si>
  <si>
    <t>INV05645</t>
  </si>
  <si>
    <t>INV05646</t>
  </si>
  <si>
    <t>INV05647</t>
  </si>
  <si>
    <t>INV05648</t>
  </si>
  <si>
    <t>INV05649</t>
  </si>
  <si>
    <t>INV05650</t>
  </si>
  <si>
    <t>INV05651</t>
  </si>
  <si>
    <t>INV05652</t>
  </si>
  <si>
    <t>INV05653</t>
  </si>
  <si>
    <t>INV05654</t>
  </si>
  <si>
    <t>INV05655</t>
  </si>
  <si>
    <t>INV05656</t>
  </si>
  <si>
    <t>INV05657</t>
  </si>
  <si>
    <t>INV05658</t>
  </si>
  <si>
    <t>INV05659</t>
  </si>
  <si>
    <t>INV05660</t>
  </si>
  <si>
    <t>INV05661</t>
  </si>
  <si>
    <t>INV05662</t>
  </si>
  <si>
    <t>INV05663</t>
  </si>
  <si>
    <t>INV05664</t>
  </si>
  <si>
    <t>INV05665</t>
  </si>
  <si>
    <t>INV05666</t>
  </si>
  <si>
    <t>INV05667</t>
  </si>
  <si>
    <t>INV05668</t>
  </si>
  <si>
    <t>INV05669</t>
  </si>
  <si>
    <t>INV05670</t>
  </si>
  <si>
    <t>INV05671</t>
  </si>
  <si>
    <t>INV05672</t>
  </si>
  <si>
    <t>INV05673</t>
  </si>
  <si>
    <t>INV05674</t>
  </si>
  <si>
    <t>INV05675</t>
  </si>
  <si>
    <t>INV05676</t>
  </si>
  <si>
    <t>INV05677</t>
  </si>
  <si>
    <t>INV05678</t>
  </si>
  <si>
    <t>INV05679</t>
  </si>
  <si>
    <t>INV05680</t>
  </si>
  <si>
    <t>INV05681</t>
  </si>
  <si>
    <t>INV05682</t>
  </si>
  <si>
    <t>INV05683</t>
  </si>
  <si>
    <t>INV05684</t>
  </si>
  <si>
    <t>INV05685</t>
  </si>
  <si>
    <t>INV05686</t>
  </si>
  <si>
    <t>INV05687</t>
  </si>
  <si>
    <t>INV05688</t>
  </si>
  <si>
    <t>INV05689</t>
  </si>
  <si>
    <t>INV05690</t>
  </si>
  <si>
    <t>INV05691</t>
  </si>
  <si>
    <t>INV05692</t>
  </si>
  <si>
    <t>INV05693</t>
  </si>
  <si>
    <t>INV05694</t>
  </si>
  <si>
    <t>INV05695</t>
  </si>
  <si>
    <t>INV05696</t>
  </si>
  <si>
    <t>INV05697</t>
  </si>
  <si>
    <t>INV05698</t>
  </si>
  <si>
    <t>INV05699</t>
  </si>
  <si>
    <t>INV05700</t>
  </si>
  <si>
    <t>INV05701</t>
  </si>
  <si>
    <t>INV05702</t>
  </si>
  <si>
    <t>INV05703</t>
  </si>
  <si>
    <t>INV05704</t>
  </si>
  <si>
    <t>INV05705</t>
  </si>
  <si>
    <t>INV05706</t>
  </si>
  <si>
    <t>INV05707</t>
  </si>
  <si>
    <t>INV05708</t>
  </si>
  <si>
    <t>INV05709</t>
  </si>
  <si>
    <t>INV05710</t>
  </si>
  <si>
    <t>INV05711</t>
  </si>
  <si>
    <t>INV05712</t>
  </si>
  <si>
    <t>INV05713</t>
  </si>
  <si>
    <t>INV05714</t>
  </si>
  <si>
    <t>INV05715</t>
  </si>
  <si>
    <t>INV05716</t>
  </si>
  <si>
    <t>INV05717</t>
  </si>
  <si>
    <t>INV05718</t>
  </si>
  <si>
    <t>INV05719</t>
  </si>
  <si>
    <t>INV05720</t>
  </si>
  <si>
    <t>INV05721</t>
  </si>
  <si>
    <t>INV05722</t>
  </si>
  <si>
    <t>INV05723</t>
  </si>
  <si>
    <t>INV05724</t>
  </si>
  <si>
    <t>INV05725</t>
  </si>
  <si>
    <t>INV05726</t>
  </si>
  <si>
    <t>INV05727</t>
  </si>
  <si>
    <t>INV05728</t>
  </si>
  <si>
    <t>INV05729</t>
  </si>
  <si>
    <t>INV05730</t>
  </si>
  <si>
    <t>INV05731</t>
  </si>
  <si>
    <t>INV05732</t>
  </si>
  <si>
    <t>INV05733</t>
  </si>
  <si>
    <t>INV05734</t>
  </si>
  <si>
    <t>INV05735</t>
  </si>
  <si>
    <t>INV05736</t>
  </si>
  <si>
    <t>INV05737</t>
  </si>
  <si>
    <t>INV05738</t>
  </si>
  <si>
    <t>INV05739</t>
  </si>
  <si>
    <t>INV05740</t>
  </si>
  <si>
    <t>INV05741</t>
  </si>
  <si>
    <t>INV05742</t>
  </si>
  <si>
    <t>INV05743</t>
  </si>
  <si>
    <t>INV05744</t>
  </si>
  <si>
    <t>INV05745</t>
  </si>
  <si>
    <t>INV05746</t>
  </si>
  <si>
    <t>INV05747</t>
  </si>
  <si>
    <t>INV05748</t>
  </si>
  <si>
    <t>INV05749</t>
  </si>
  <si>
    <t>INV05750</t>
  </si>
  <si>
    <t>INV05751</t>
  </si>
  <si>
    <t>INV05752</t>
  </si>
  <si>
    <t>INV05753</t>
  </si>
  <si>
    <t>INV05754</t>
  </si>
  <si>
    <t>INV05755</t>
  </si>
  <si>
    <t>INV05756</t>
  </si>
  <si>
    <t>INV05757</t>
  </si>
  <si>
    <t>INV05758</t>
  </si>
  <si>
    <t>INV05759</t>
  </si>
  <si>
    <t>INV05760</t>
  </si>
  <si>
    <t>INV05761</t>
  </si>
  <si>
    <t>INV05762</t>
  </si>
  <si>
    <t>INV05763</t>
  </si>
  <si>
    <t>INV05764</t>
  </si>
  <si>
    <t>INV05765</t>
  </si>
  <si>
    <t>INV05766</t>
  </si>
  <si>
    <t>INV05767</t>
  </si>
  <si>
    <t>INV05768</t>
  </si>
  <si>
    <t>INV05769</t>
  </si>
  <si>
    <t>INV05770</t>
  </si>
  <si>
    <t>INV05771</t>
  </si>
  <si>
    <t>INV05772</t>
  </si>
  <si>
    <t>INV05773</t>
  </si>
  <si>
    <t>INV05774</t>
  </si>
  <si>
    <t>INV05775</t>
  </si>
  <si>
    <t>INV05776</t>
  </si>
  <si>
    <t>INV05777</t>
  </si>
  <si>
    <t>INV05778</t>
  </si>
  <si>
    <t>INV05779</t>
  </si>
  <si>
    <t>INV05780</t>
  </si>
  <si>
    <t>INV05781</t>
  </si>
  <si>
    <t>INV05782</t>
  </si>
  <si>
    <t>INV05783</t>
  </si>
  <si>
    <t>INV05784</t>
  </si>
  <si>
    <t>INV05785</t>
  </si>
  <si>
    <t>INV05786</t>
  </si>
  <si>
    <t>INV05787</t>
  </si>
  <si>
    <t>INV05788</t>
  </si>
  <si>
    <t>INV05789</t>
  </si>
  <si>
    <t>INV05790</t>
  </si>
  <si>
    <t>INV05791</t>
  </si>
  <si>
    <t>INV05792</t>
  </si>
  <si>
    <t>INV05793</t>
  </si>
  <si>
    <t>INV05794</t>
  </si>
  <si>
    <t>INV05795</t>
  </si>
  <si>
    <t>INV05796</t>
  </si>
  <si>
    <t>INV05797</t>
  </si>
  <si>
    <t>INV05798</t>
  </si>
  <si>
    <t>INV05799</t>
  </si>
  <si>
    <t>INV05800</t>
  </si>
  <si>
    <t>INV05801</t>
  </si>
  <si>
    <t>INV05802</t>
  </si>
  <si>
    <t>INV05803</t>
  </si>
  <si>
    <t>INV05804</t>
  </si>
  <si>
    <t>INV05805</t>
  </si>
  <si>
    <t>INV05806</t>
  </si>
  <si>
    <t>INV05807</t>
  </si>
  <si>
    <t>INV05808</t>
  </si>
  <si>
    <t>INV05809</t>
  </si>
  <si>
    <t>INV05810</t>
  </si>
  <si>
    <t>INV05811</t>
  </si>
  <si>
    <t>INV05812</t>
  </si>
  <si>
    <t>INV05813</t>
  </si>
  <si>
    <t>INV05814</t>
  </si>
  <si>
    <t>INV05815</t>
  </si>
  <si>
    <t>INV05816</t>
  </si>
  <si>
    <t>INV05817</t>
  </si>
  <si>
    <t>INV05818</t>
  </si>
  <si>
    <t>INV05819</t>
  </si>
  <si>
    <t>INV05820</t>
  </si>
  <si>
    <t>INV05821</t>
  </si>
  <si>
    <t>INV05822</t>
  </si>
  <si>
    <t>INV05823</t>
  </si>
  <si>
    <t>INV05824</t>
  </si>
  <si>
    <t>INV05825</t>
  </si>
  <si>
    <t>INV05826</t>
  </si>
  <si>
    <t>INV05827</t>
  </si>
  <si>
    <t>INV05828</t>
  </si>
  <si>
    <t>INV05829</t>
  </si>
  <si>
    <t>INV05830</t>
  </si>
  <si>
    <t>INV05831</t>
  </si>
  <si>
    <t>INV05832</t>
  </si>
  <si>
    <t>INV05833</t>
  </si>
  <si>
    <t>INV05834</t>
  </si>
  <si>
    <t>INV05835</t>
  </si>
  <si>
    <t>INV05836</t>
  </si>
  <si>
    <t>INV05837</t>
  </si>
  <si>
    <t>INV05838</t>
  </si>
  <si>
    <t>INV05839</t>
  </si>
  <si>
    <t>INV05840</t>
  </si>
  <si>
    <t>INV05841</t>
  </si>
  <si>
    <t>INV05842</t>
  </si>
  <si>
    <t>INV05843</t>
  </si>
  <si>
    <t>INV05844</t>
  </si>
  <si>
    <t>INV05845</t>
  </si>
  <si>
    <t>INV05846</t>
  </si>
  <si>
    <t>INV05847</t>
  </si>
  <si>
    <t>INV05848</t>
  </si>
  <si>
    <t>INV05849</t>
  </si>
  <si>
    <t>INV05850</t>
  </si>
  <si>
    <t>INV05851</t>
  </si>
  <si>
    <t>INV05852</t>
  </si>
  <si>
    <t>INV05853</t>
  </si>
  <si>
    <t>INV05854</t>
  </si>
  <si>
    <t>INV05855</t>
  </si>
  <si>
    <t>INV05856</t>
  </si>
  <si>
    <t>INV05857</t>
  </si>
  <si>
    <t>INV05858</t>
  </si>
  <si>
    <t>INV05859</t>
  </si>
  <si>
    <t>INV05860</t>
  </si>
  <si>
    <t>INV05861</t>
  </si>
  <si>
    <t>INV05862</t>
  </si>
  <si>
    <t>INV05863</t>
  </si>
  <si>
    <t>INV05864</t>
  </si>
  <si>
    <t>INV05865</t>
  </si>
  <si>
    <t>INV05866</t>
  </si>
  <si>
    <t>INV05867</t>
  </si>
  <si>
    <t>INV05868</t>
  </si>
  <si>
    <t>INV05869</t>
  </si>
  <si>
    <t>INV05870</t>
  </si>
  <si>
    <t>INV05871</t>
  </si>
  <si>
    <t>INV05872</t>
  </si>
  <si>
    <t>INV05873</t>
  </si>
  <si>
    <t>INV05874</t>
  </si>
  <si>
    <t>INV05875</t>
  </si>
  <si>
    <t>INV05876</t>
  </si>
  <si>
    <t>INV05877</t>
  </si>
  <si>
    <t>INV05878</t>
  </si>
  <si>
    <t>INV05879</t>
  </si>
  <si>
    <t>INV05880</t>
  </si>
  <si>
    <t>INV05881</t>
  </si>
  <si>
    <t>INV05882</t>
  </si>
  <si>
    <t>INV05883</t>
  </si>
  <si>
    <t>INV05884</t>
  </si>
  <si>
    <t>INV05885</t>
  </si>
  <si>
    <t>INV05886</t>
  </si>
  <si>
    <t>INV05887</t>
  </si>
  <si>
    <t>INV05888</t>
  </si>
  <si>
    <t>INV05889</t>
  </si>
  <si>
    <t>INV05890</t>
  </si>
  <si>
    <t>INV05891</t>
  </si>
  <si>
    <t>INV05892</t>
  </si>
  <si>
    <t>INV05893</t>
  </si>
  <si>
    <t>INV05894</t>
  </si>
  <si>
    <t>INV05895</t>
  </si>
  <si>
    <t>INV05896</t>
  </si>
  <si>
    <t>INV05897</t>
  </si>
  <si>
    <t>INV05898</t>
  </si>
  <si>
    <t>INV05899</t>
  </si>
  <si>
    <t>INV05900</t>
  </si>
  <si>
    <t>INV05901</t>
  </si>
  <si>
    <t>INV05902</t>
  </si>
  <si>
    <t>INV05903</t>
  </si>
  <si>
    <t>INV05904</t>
  </si>
  <si>
    <t>INV05905</t>
  </si>
  <si>
    <t>INV05906</t>
  </si>
  <si>
    <t>INV05907</t>
  </si>
  <si>
    <t>INV05908</t>
  </si>
  <si>
    <t>INV05909</t>
  </si>
  <si>
    <t>INV05910</t>
  </si>
  <si>
    <t>INV05911</t>
  </si>
  <si>
    <t>INV05912</t>
  </si>
  <si>
    <t>INV05913</t>
  </si>
  <si>
    <t>INV05914</t>
  </si>
  <si>
    <t>INV05915</t>
  </si>
  <si>
    <t>INV05916</t>
  </si>
  <si>
    <t>INV05917</t>
  </si>
  <si>
    <t>INV05918</t>
  </si>
  <si>
    <t>INV05919</t>
  </si>
  <si>
    <t>INV05920</t>
  </si>
  <si>
    <t>INV05921</t>
  </si>
  <si>
    <t>INV05922</t>
  </si>
  <si>
    <t>INV05923</t>
  </si>
  <si>
    <t>INV05924</t>
  </si>
  <si>
    <t>INV05925</t>
  </si>
  <si>
    <t>INV05926</t>
  </si>
  <si>
    <t>INV05927</t>
  </si>
  <si>
    <t>INV05928</t>
  </si>
  <si>
    <t>INV05929</t>
  </si>
  <si>
    <t>INV05930</t>
  </si>
  <si>
    <t>INV05931</t>
  </si>
  <si>
    <t>INV05932</t>
  </si>
  <si>
    <t>INV05933</t>
  </si>
  <si>
    <t>INV05934</t>
  </si>
  <si>
    <t>INV05935</t>
  </si>
  <si>
    <t>INV05936</t>
  </si>
  <si>
    <t>INV05937</t>
  </si>
  <si>
    <t>INV05938</t>
  </si>
  <si>
    <t>INV05939</t>
  </si>
  <si>
    <t>INV05940</t>
  </si>
  <si>
    <t>INV05941</t>
  </si>
  <si>
    <t>INV05942</t>
  </si>
  <si>
    <t>INV05943</t>
  </si>
  <si>
    <t>INV05944</t>
  </si>
  <si>
    <t>INV05945</t>
  </si>
  <si>
    <t>INV05946</t>
  </si>
  <si>
    <t>INV05947</t>
  </si>
  <si>
    <t>INV05948</t>
  </si>
  <si>
    <t>INV05949</t>
  </si>
  <si>
    <t>INV05950</t>
  </si>
  <si>
    <t>INV05951</t>
  </si>
  <si>
    <t>INV05952</t>
  </si>
  <si>
    <t>INV05953</t>
  </si>
  <si>
    <t>INV05954</t>
  </si>
  <si>
    <t>INV05955</t>
  </si>
  <si>
    <t>INV05956</t>
  </si>
  <si>
    <t>INV05957</t>
  </si>
  <si>
    <t>INV05958</t>
  </si>
  <si>
    <t>INV05959</t>
  </si>
  <si>
    <t>INV05960</t>
  </si>
  <si>
    <t>INV05961</t>
  </si>
  <si>
    <t>INV05962</t>
  </si>
  <si>
    <t>INV05963</t>
  </si>
  <si>
    <t>INV05964</t>
  </si>
  <si>
    <t>INV05965</t>
  </si>
  <si>
    <t>INV05966</t>
  </si>
  <si>
    <t>INV05967</t>
  </si>
  <si>
    <t>INV05968</t>
  </si>
  <si>
    <t>INV05969</t>
  </si>
  <si>
    <t>INV05970</t>
  </si>
  <si>
    <t>INV05971</t>
  </si>
  <si>
    <t>INV05972</t>
  </si>
  <si>
    <t>INV05973</t>
  </si>
  <si>
    <t>INV05974</t>
  </si>
  <si>
    <t>INV05975</t>
  </si>
  <si>
    <t>INV05976</t>
  </si>
  <si>
    <t>INV05977</t>
  </si>
  <si>
    <t>INV05978</t>
  </si>
  <si>
    <t>INV05979</t>
  </si>
  <si>
    <t>INV05980</t>
  </si>
  <si>
    <t>INV05981</t>
  </si>
  <si>
    <t>INV05982</t>
  </si>
  <si>
    <t>INV05983</t>
  </si>
  <si>
    <t>INV05984</t>
  </si>
  <si>
    <t>INV05985</t>
  </si>
  <si>
    <t>INV05986</t>
  </si>
  <si>
    <t>INV05987</t>
  </si>
  <si>
    <t>INV05988</t>
  </si>
  <si>
    <t>INV05989</t>
  </si>
  <si>
    <t>INV05990</t>
  </si>
  <si>
    <t>INV05991</t>
  </si>
  <si>
    <t>INV05992</t>
  </si>
  <si>
    <t>INV05993</t>
  </si>
  <si>
    <t>INV05994</t>
  </si>
  <si>
    <t>INV05995</t>
  </si>
  <si>
    <t>INV05996</t>
  </si>
  <si>
    <t>INV05997</t>
  </si>
  <si>
    <t>INV05998</t>
  </si>
  <si>
    <t>INV05999</t>
  </si>
  <si>
    <t>INV06000</t>
  </si>
  <si>
    <t>INV06001</t>
  </si>
  <si>
    <t>INV06002</t>
  </si>
  <si>
    <t>INV06003</t>
  </si>
  <si>
    <t>INV06004</t>
  </si>
  <si>
    <t>INV06005</t>
  </si>
  <si>
    <t>INV06006</t>
  </si>
  <si>
    <t>INV06007</t>
  </si>
  <si>
    <t>INV06008</t>
  </si>
  <si>
    <t>INV06009</t>
  </si>
  <si>
    <t>INV06010</t>
  </si>
  <si>
    <t>INV06011</t>
  </si>
  <si>
    <t>INV06012</t>
  </si>
  <si>
    <t>INV06013</t>
  </si>
  <si>
    <t>INV06014</t>
  </si>
  <si>
    <t>INV06015</t>
  </si>
  <si>
    <t>INV06016</t>
  </si>
  <si>
    <t>INV06017</t>
  </si>
  <si>
    <t>INV06018</t>
  </si>
  <si>
    <t>INV06019</t>
  </si>
  <si>
    <t>INV06020</t>
  </si>
  <si>
    <t>INV06021</t>
  </si>
  <si>
    <t>INV06022</t>
  </si>
  <si>
    <t>INV06023</t>
  </si>
  <si>
    <t>INV06024</t>
  </si>
  <si>
    <t>INV06025</t>
  </si>
  <si>
    <t>INV06026</t>
  </si>
  <si>
    <t>INV06027</t>
  </si>
  <si>
    <t>INV06028</t>
  </si>
  <si>
    <t>INV06029</t>
  </si>
  <si>
    <t>INV06030</t>
  </si>
  <si>
    <t>INV06031</t>
  </si>
  <si>
    <t>INV06032</t>
  </si>
  <si>
    <t>INV06033</t>
  </si>
  <si>
    <t>INV06034</t>
  </si>
  <si>
    <t>INV06035</t>
  </si>
  <si>
    <t>INV06036</t>
  </si>
  <si>
    <t>INV06037</t>
  </si>
  <si>
    <t>INV06038</t>
  </si>
  <si>
    <t>INV06039</t>
  </si>
  <si>
    <t>INV06040</t>
  </si>
  <si>
    <t>INV06041</t>
  </si>
  <si>
    <t>INV06042</t>
  </si>
  <si>
    <t>INV06043</t>
  </si>
  <si>
    <t>INV06044</t>
  </si>
  <si>
    <t>INV06045</t>
  </si>
  <si>
    <t>INV06046</t>
  </si>
  <si>
    <t>INV06047</t>
  </si>
  <si>
    <t>INV06048</t>
  </si>
  <si>
    <t>INV06049</t>
  </si>
  <si>
    <t>INV06050</t>
  </si>
  <si>
    <t>INV06051</t>
  </si>
  <si>
    <t>INV06052</t>
  </si>
  <si>
    <t>INV06053</t>
  </si>
  <si>
    <t>INV06054</t>
  </si>
  <si>
    <t>INV06055</t>
  </si>
  <si>
    <t>INV06056</t>
  </si>
  <si>
    <t>INV06057</t>
  </si>
  <si>
    <t>INV06058</t>
  </si>
  <si>
    <t>INV06059</t>
  </si>
  <si>
    <t>INV06060</t>
  </si>
  <si>
    <t>INV06061</t>
  </si>
  <si>
    <t>INV06062</t>
  </si>
  <si>
    <t>INV06063</t>
  </si>
  <si>
    <t>INV06064</t>
  </si>
  <si>
    <t>INV06065</t>
  </si>
  <si>
    <t>INV06066</t>
  </si>
  <si>
    <t>INV06067</t>
  </si>
  <si>
    <t>INV06068</t>
  </si>
  <si>
    <t>INV06069</t>
  </si>
  <si>
    <t>INV06070</t>
  </si>
  <si>
    <t>INV06071</t>
  </si>
  <si>
    <t>INV06072</t>
  </si>
  <si>
    <t>INV06073</t>
  </si>
  <si>
    <t>INV06074</t>
  </si>
  <si>
    <t>INV06075</t>
  </si>
  <si>
    <t>INV06076</t>
  </si>
  <si>
    <t>INV06077</t>
  </si>
  <si>
    <t>INV06078</t>
  </si>
  <si>
    <t>INV06079</t>
  </si>
  <si>
    <t>INV06080</t>
  </si>
  <si>
    <t>INV06081</t>
  </si>
  <si>
    <t>INV06082</t>
  </si>
  <si>
    <t>INV06083</t>
  </si>
  <si>
    <t>INV06084</t>
  </si>
  <si>
    <t>INV06085</t>
  </si>
  <si>
    <t>INV06086</t>
  </si>
  <si>
    <t>INV06087</t>
  </si>
  <si>
    <t>INV06088</t>
  </si>
  <si>
    <t>INV06089</t>
  </si>
  <si>
    <t>INV06090</t>
  </si>
  <si>
    <t>INV06091</t>
  </si>
  <si>
    <t>INV06092</t>
  </si>
  <si>
    <t>INV06093</t>
  </si>
  <si>
    <t>INV06094</t>
  </si>
  <si>
    <t>INV06095</t>
  </si>
  <si>
    <t>INV06096</t>
  </si>
  <si>
    <t>INV06097</t>
  </si>
  <si>
    <t>INV06098</t>
  </si>
  <si>
    <t>INV06099</t>
  </si>
  <si>
    <t>INV06100</t>
  </si>
  <si>
    <t>INV06101</t>
  </si>
  <si>
    <t>INV06102</t>
  </si>
  <si>
    <t>INV06103</t>
  </si>
  <si>
    <t>INV06104</t>
  </si>
  <si>
    <t>INV06105</t>
  </si>
  <si>
    <t>INV06106</t>
  </si>
  <si>
    <t>INV06107</t>
  </si>
  <si>
    <t>INV06108</t>
  </si>
  <si>
    <t>INV06109</t>
  </si>
  <si>
    <t>INV06110</t>
  </si>
  <si>
    <t>INV06111</t>
  </si>
  <si>
    <t>INV06112</t>
  </si>
  <si>
    <t>INV06113</t>
  </si>
  <si>
    <t>INV06114</t>
  </si>
  <si>
    <t>INV06115</t>
  </si>
  <si>
    <t>INV06116</t>
  </si>
  <si>
    <t>INV06117</t>
  </si>
  <si>
    <t>INV06118</t>
  </si>
  <si>
    <t>INV06119</t>
  </si>
  <si>
    <t>INV06120</t>
  </si>
  <si>
    <t>INV06121</t>
  </si>
  <si>
    <t>INV06122</t>
  </si>
  <si>
    <t>INV06123</t>
  </si>
  <si>
    <t>INV06124</t>
  </si>
  <si>
    <t>INV06125</t>
  </si>
  <si>
    <t>INV06126</t>
  </si>
  <si>
    <t>INV06127</t>
  </si>
  <si>
    <t>INV06128</t>
  </si>
  <si>
    <t>INV06129</t>
  </si>
  <si>
    <t>INV06130</t>
  </si>
  <si>
    <t>INV06131</t>
  </si>
  <si>
    <t>INV06132</t>
  </si>
  <si>
    <t>INV06133</t>
  </si>
  <si>
    <t>INV06134</t>
  </si>
  <si>
    <t>INV06135</t>
  </si>
  <si>
    <t>INV06136</t>
  </si>
  <si>
    <t>INV06137</t>
  </si>
  <si>
    <t>INV06138</t>
  </si>
  <si>
    <t>INV06139</t>
  </si>
  <si>
    <t>INV06140</t>
  </si>
  <si>
    <t>INV06141</t>
  </si>
  <si>
    <t>INV06142</t>
  </si>
  <si>
    <t>INV06143</t>
  </si>
  <si>
    <t>INV06144</t>
  </si>
  <si>
    <t>INV06145</t>
  </si>
  <si>
    <t>INV06146</t>
  </si>
  <si>
    <t>INV06147</t>
  </si>
  <si>
    <t>INV06148</t>
  </si>
  <si>
    <t>INV06149</t>
  </si>
  <si>
    <t>INV06150</t>
  </si>
  <si>
    <t>INV06151</t>
  </si>
  <si>
    <t>INV06152</t>
  </si>
  <si>
    <t>INV06153</t>
  </si>
  <si>
    <t>INV06154</t>
  </si>
  <si>
    <t>INV06155</t>
  </si>
  <si>
    <t>INV06156</t>
  </si>
  <si>
    <t>INV06157</t>
  </si>
  <si>
    <t>INV06158</t>
  </si>
  <si>
    <t>INV06159</t>
  </si>
  <si>
    <t>INV06160</t>
  </si>
  <si>
    <t>INV06161</t>
  </si>
  <si>
    <t>INV06162</t>
  </si>
  <si>
    <t>INV06163</t>
  </si>
  <si>
    <t>INV06164</t>
  </si>
  <si>
    <t>INV06165</t>
  </si>
  <si>
    <t>INV06166</t>
  </si>
  <si>
    <t>INV06167</t>
  </si>
  <si>
    <t>INV06168</t>
  </si>
  <si>
    <t>INV06169</t>
  </si>
  <si>
    <t>INV06170</t>
  </si>
  <si>
    <t>INV06171</t>
  </si>
  <si>
    <t>INV06172</t>
  </si>
  <si>
    <t>INV06173</t>
  </si>
  <si>
    <t>INV06174</t>
  </si>
  <si>
    <t>INV06175</t>
  </si>
  <si>
    <t>INV06176</t>
  </si>
  <si>
    <t>INV06177</t>
  </si>
  <si>
    <t>INV06178</t>
  </si>
  <si>
    <t>INV06179</t>
  </si>
  <si>
    <t>INV06180</t>
  </si>
  <si>
    <t>INV06181</t>
  </si>
  <si>
    <t>INV06182</t>
  </si>
  <si>
    <t>INV06183</t>
  </si>
  <si>
    <t>INV06184</t>
  </si>
  <si>
    <t>INV06185</t>
  </si>
  <si>
    <t>INV06186</t>
  </si>
  <si>
    <t>INV06187</t>
  </si>
  <si>
    <t>INV06188</t>
  </si>
  <si>
    <t>INV06189</t>
  </si>
  <si>
    <t>INV06190</t>
  </si>
  <si>
    <t>INV06191</t>
  </si>
  <si>
    <t>INV06192</t>
  </si>
  <si>
    <t>INV06193</t>
  </si>
  <si>
    <t>INV06194</t>
  </si>
  <si>
    <t>INV06195</t>
  </si>
  <si>
    <t>INV06196</t>
  </si>
  <si>
    <t>INV06197</t>
  </si>
  <si>
    <t>INV06198</t>
  </si>
  <si>
    <t>INV06199</t>
  </si>
  <si>
    <t>INV06200</t>
  </si>
  <si>
    <t>INV06201</t>
  </si>
  <si>
    <t>INV06202</t>
  </si>
  <si>
    <t>INV06203</t>
  </si>
  <si>
    <t>INV06204</t>
  </si>
  <si>
    <t>INV06205</t>
  </si>
  <si>
    <t>INV06206</t>
  </si>
  <si>
    <t>INV06207</t>
  </si>
  <si>
    <t>INV06208</t>
  </si>
  <si>
    <t>INV06209</t>
  </si>
  <si>
    <t>INV06210</t>
  </si>
  <si>
    <t>INV06211</t>
  </si>
  <si>
    <t>INV06212</t>
  </si>
  <si>
    <t>INV06213</t>
  </si>
  <si>
    <t>INV06214</t>
  </si>
  <si>
    <t>INV06215</t>
  </si>
  <si>
    <t>INV06216</t>
  </si>
  <si>
    <t>INV06217</t>
  </si>
  <si>
    <t>INV06218</t>
  </si>
  <si>
    <t>INV06219</t>
  </si>
  <si>
    <t>INV06220</t>
  </si>
  <si>
    <t>INV06221</t>
  </si>
  <si>
    <t>INV06222</t>
  </si>
  <si>
    <t>INV06223</t>
  </si>
  <si>
    <t>INV06224</t>
  </si>
  <si>
    <t>INV06225</t>
  </si>
  <si>
    <t>INV06226</t>
  </si>
  <si>
    <t>INV06227</t>
  </si>
  <si>
    <t>INV06228</t>
  </si>
  <si>
    <t>INV06229</t>
  </si>
  <si>
    <t>Purchase Analysis</t>
  </si>
  <si>
    <t>Total Purchase Transactions</t>
  </si>
  <si>
    <t>Total Purchase Quantity</t>
  </si>
  <si>
    <t>Total Purchase Value</t>
  </si>
  <si>
    <t>Average Purchase Quantity</t>
  </si>
  <si>
    <t>Average Unit Cost</t>
  </si>
  <si>
    <t>Average Discount %</t>
  </si>
  <si>
    <t>Delivered Transactions</t>
  </si>
  <si>
    <t>Delayed Transactions</t>
  </si>
  <si>
    <t>Partial Transactions</t>
  </si>
  <si>
    <t>Delivery Rate %</t>
  </si>
  <si>
    <t>Delay Rate %</t>
  </si>
  <si>
    <t>Partial Delivery Rate %</t>
  </si>
  <si>
    <t>Delivery Status</t>
  </si>
  <si>
    <t>Transaction Count</t>
  </si>
  <si>
    <t>Row Labels</t>
  </si>
  <si>
    <t>Jan</t>
  </si>
  <si>
    <t>Feb</t>
  </si>
  <si>
    <t>Mar</t>
  </si>
  <si>
    <t>Apr</t>
  </si>
  <si>
    <t>Mei</t>
  </si>
  <si>
    <t>Jun</t>
  </si>
  <si>
    <t>Jul</t>
  </si>
  <si>
    <t>Agu</t>
  </si>
  <si>
    <t>Sep</t>
  </si>
  <si>
    <t>Okt</t>
  </si>
  <si>
    <t>Nov</t>
  </si>
  <si>
    <t>Des</t>
  </si>
  <si>
    <t>Sum of Purchase_Quantity</t>
  </si>
  <si>
    <t>2025</t>
  </si>
  <si>
    <t>Purchase_Value</t>
  </si>
  <si>
    <t>Sum of Purchase_Value</t>
  </si>
  <si>
    <t>Production Analysis Dashboard</t>
  </si>
  <si>
    <t>Total Planned Qty</t>
  </si>
  <si>
    <t>Total Produced Qty</t>
  </si>
  <si>
    <t>Total Rejected Qty</t>
  </si>
  <si>
    <t>Rejection %</t>
  </si>
  <si>
    <t>Total Production Orders</t>
  </si>
  <si>
    <t>Average Produced Qty</t>
  </si>
  <si>
    <t>Grand Total</t>
  </si>
  <si>
    <t>Sum of Produced_Quantity</t>
  </si>
  <si>
    <t>Sum of Rejected_Quantity</t>
  </si>
  <si>
    <t>Sum of Planned_Quantity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</si>
</sst>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 &quot;₹&quot;"/>
  </numFmts>
  <fonts count="7">
    <font>
      <sz val="11"/>
      <color theme="1"/>
      <name val="Aptos Narrow"/>
      <family val="2"/>
      <charset val="1"/>
      <scheme val="minor"/>
    </font>
    <font>
      <sz val="11"/>
      <color theme="1"/>
      <name val="Aptos Narrow"/>
      <family val="2"/>
      <charset val="1"/>
      <scheme val="minor"/>
    </font>
    <font>
      <b/>
      <sz val="11"/>
      <name val="Calibri"/>
    </font>
    <font>
      <b/>
      <sz val="11"/>
      <color theme="1"/>
      <name val="Aptos Narrow"/>
      <family val="2"/>
      <scheme val="minor"/>
    </font>
    <font>
      <sz val="10"/>
      <color theme="1"/>
      <name val="Arial Unicode MS"/>
    </font>
    <font>
      <b/>
      <sz val="18"/>
      <color theme="0"/>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B0F0"/>
        <bgColor indexed="64"/>
      </patternFill>
    </fill>
  </fills>
  <borders count="3">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4" fontId="0" fillId="0" borderId="0" xfId="0" applyNumberFormat="1"/>
    <xf numFmtId="164" fontId="0" fillId="0" borderId="0" xfId="0" applyNumberFormat="1"/>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10" fontId="4" fillId="0" borderId="0" xfId="1" applyNumberFormat="1" applyFont="1"/>
    <xf numFmtId="10" fontId="0" fillId="0" borderId="0" xfId="1" applyNumberFormat="1" applyFon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2" fillId="0" borderId="1" xfId="0" applyNumberFormat="1" applyFont="1" applyBorder="1" applyAlignment="1">
      <alignment horizontal="center" vertical="top"/>
    </xf>
    <xf numFmtId="0" fontId="6" fillId="3" borderId="1" xfId="0" applyFont="1" applyFill="1" applyBorder="1" applyAlignment="1">
      <alignment horizontal="center"/>
    </xf>
    <xf numFmtId="0" fontId="3" fillId="3" borderId="2" xfId="0" applyFont="1" applyFill="1" applyBorder="1" applyAlignment="1">
      <alignment horizontal="center"/>
    </xf>
    <xf numFmtId="0" fontId="5" fillId="2" borderId="0" xfId="0" applyFont="1" applyFill="1" applyAlignment="1">
      <alignment horizontal="center"/>
    </xf>
    <xf numFmtId="0" fontId="0" fillId="0" borderId="0" xfId="0" applyNumberFormat="1"/>
    <xf numFmtId="0" fontId="0" fillId="0" borderId="0" xfId="0" applyAlignment="1">
      <alignment vertical="top"/>
    </xf>
    <xf numFmtId="0" fontId="3" fillId="3" borderId="2" xfId="0" applyFont="1" applyFill="1" applyBorder="1" applyAlignment="1">
      <alignment horizontal="center" vertical="top"/>
    </xf>
    <xf numFmtId="0" fontId="6" fillId="3" borderId="1" xfId="0" applyFont="1" applyFill="1" applyBorder="1" applyAlignment="1">
      <alignment horizontal="center" vertical="top"/>
    </xf>
    <xf numFmtId="10" fontId="6" fillId="3" borderId="1" xfId="1" applyNumberFormat="1" applyFont="1" applyFill="1" applyBorder="1" applyAlignment="1">
      <alignment horizontal="center" vertical="top"/>
    </xf>
    <xf numFmtId="2" fontId="6" fillId="3" borderId="1" xfId="0" applyNumberFormat="1" applyFont="1" applyFill="1" applyBorder="1" applyAlignment="1">
      <alignment horizontal="center" vertical="top"/>
    </xf>
  </cellXfs>
  <cellStyles count="2">
    <cellStyle name="Normal" xfId="0" builtinId="0"/>
    <cellStyle name="Percent" xfId="1" builtinId="5"/>
  </cellStyles>
  <dxfs count="1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Purchase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Purchase_Analysis!$E$3</c:f>
              <c:strCache>
                <c:ptCount val="1"/>
                <c:pt idx="0">
                  <c:v>Transaction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0A-4DE2-A718-E4FA042D96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0A-4DE2-A718-E4FA042D96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0A-4DE2-A718-E4FA042D96D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Purchase_Analysis!$D$4:$D$6</c:f>
              <c:strCache>
                <c:ptCount val="3"/>
                <c:pt idx="0">
                  <c:v>Delivered</c:v>
                </c:pt>
                <c:pt idx="1">
                  <c:v>Delayed</c:v>
                </c:pt>
                <c:pt idx="2">
                  <c:v>Partial</c:v>
                </c:pt>
              </c:strCache>
            </c:strRef>
          </c:cat>
          <c:val>
            <c:numRef>
              <c:f>Purchase_Analysis!$E$4:$E$6</c:f>
              <c:numCache>
                <c:formatCode>General</c:formatCode>
                <c:ptCount val="3"/>
                <c:pt idx="0">
                  <c:v>579</c:v>
                </c:pt>
                <c:pt idx="1">
                  <c:v>86</c:v>
                </c:pt>
                <c:pt idx="2">
                  <c:v>35</c:v>
                </c:pt>
              </c:numCache>
            </c:numRef>
          </c:val>
          <c:extLst>
            <c:ext xmlns:c16="http://schemas.microsoft.com/office/drawing/2014/chart" uri="{C3380CC4-5D6E-409C-BE32-E72D297353CC}">
              <c16:uniqueId val="{00000000-7F49-47BF-820A-DF70E37814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[Manufacturing_Inventory_Analysis.xlsx.xlsx]Purchase_Analysis!PivotTable2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Purchase Quantity Trend</a:t>
            </a:r>
            <a:endParaRPr lang="en-IN"/>
          </a:p>
        </c:rich>
      </c:tx>
      <c:layout>
        <c:manualLayout>
          <c:xMode val="edge"/>
          <c:yMode val="edge"/>
          <c:x val="0.2348193350831146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Purchase_Analysis!$B$18</c:f>
              <c:strCache>
                <c:ptCount val="1"/>
                <c:pt idx="0">
                  <c:v>Total</c:v>
                </c:pt>
              </c:strCache>
            </c:strRef>
          </c:tx>
          <c:spPr>
            <a:ln w="28575" cap="rnd">
              <a:solidFill>
                <a:schemeClr val="accent1"/>
              </a:solidFill>
              <a:round/>
            </a:ln>
            <a:effectLst/>
          </c:spPr>
          <c:marker>
            <c:symbol val="none"/>
          </c:marker>
          <c:cat>
            <c:multiLvlStrRef>
              <c:f>Purchase_Analysis!$A$19:$A$31</c:f>
              <c:multiLvlStrCache>
                <c:ptCount val="12"/>
                <c:lvl>
                  <c:pt idx="0">
                    <c:v>Jan</c:v>
                  </c:pt>
                  <c:pt idx="1">
                    <c:v>Feb</c:v>
                  </c:pt>
                  <c:pt idx="2">
                    <c:v>Mar</c:v>
                  </c:pt>
                  <c:pt idx="3">
                    <c:v>Apr</c:v>
                  </c:pt>
                  <c:pt idx="4">
                    <c:v>Mei</c:v>
                  </c:pt>
                  <c:pt idx="5">
                    <c:v>Jun</c:v>
                  </c:pt>
                  <c:pt idx="6">
                    <c:v>Jul</c:v>
                  </c:pt>
                  <c:pt idx="7">
                    <c:v>Agu</c:v>
                  </c:pt>
                  <c:pt idx="8">
                    <c:v>Sep</c:v>
                  </c:pt>
                  <c:pt idx="9">
                    <c:v>Okt</c:v>
                  </c:pt>
                  <c:pt idx="10">
                    <c:v>Nov</c:v>
                  </c:pt>
                  <c:pt idx="11">
                    <c:v>Des</c:v>
                  </c:pt>
                </c:lvl>
                <c:lvl>
                  <c:pt idx="0">
                    <c:v>2025</c:v>
                  </c:pt>
                </c:lvl>
              </c:multiLvlStrCache>
            </c:multiLvlStrRef>
          </c:cat>
          <c:val>
            <c:numRef>
              <c:f>Purchase_Analysis!$B$19:$B$31</c:f>
              <c:numCache>
                <c:formatCode>General</c:formatCode>
                <c:ptCount val="12"/>
                <c:pt idx="0">
                  <c:v>13174</c:v>
                </c:pt>
                <c:pt idx="1">
                  <c:v>20315</c:v>
                </c:pt>
                <c:pt idx="2">
                  <c:v>16135</c:v>
                </c:pt>
                <c:pt idx="3">
                  <c:v>11482</c:v>
                </c:pt>
                <c:pt idx="4">
                  <c:v>16025</c:v>
                </c:pt>
                <c:pt idx="5">
                  <c:v>17445</c:v>
                </c:pt>
                <c:pt idx="6">
                  <c:v>20457</c:v>
                </c:pt>
                <c:pt idx="7">
                  <c:v>16384</c:v>
                </c:pt>
                <c:pt idx="8">
                  <c:v>17712</c:v>
                </c:pt>
                <c:pt idx="9">
                  <c:v>14406</c:v>
                </c:pt>
                <c:pt idx="10">
                  <c:v>14578</c:v>
                </c:pt>
                <c:pt idx="11">
                  <c:v>18080</c:v>
                </c:pt>
              </c:numCache>
            </c:numRef>
          </c:val>
          <c:smooth val="0"/>
          <c:extLst>
            <c:ext xmlns:c16="http://schemas.microsoft.com/office/drawing/2014/chart" uri="{C3380CC4-5D6E-409C-BE32-E72D297353CC}">
              <c16:uniqueId val="{00000000-060B-4816-8417-B051B48087CF}"/>
            </c:ext>
          </c:extLst>
        </c:ser>
        <c:dLbls>
          <c:showLegendKey val="0"/>
          <c:showVal val="0"/>
          <c:showCatName val="0"/>
          <c:showSerName val="0"/>
          <c:showPercent val="0"/>
          <c:showBubbleSize val="0"/>
        </c:dLbls>
        <c:smooth val="0"/>
        <c:axId val="1886380111"/>
        <c:axId val="1887521519"/>
      </c:lineChart>
      <c:catAx>
        <c:axId val="18863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521519"/>
        <c:crosses val="autoZero"/>
        <c:auto val="1"/>
        <c:lblAlgn val="ctr"/>
        <c:lblOffset val="100"/>
        <c:noMultiLvlLbl val="0"/>
      </c:catAx>
      <c:valAx>
        <c:axId val="188752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38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[Manufacturing_Inventory_Analysis.xlsx.xlsx]Purchase_Analysis!PivotTable3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Supplier-wise Purchase Quantity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Purchase_Analysis!$P$2</c:f>
              <c:strCache>
                <c:ptCount val="1"/>
                <c:pt idx="0">
                  <c:v>Total</c:v>
                </c:pt>
              </c:strCache>
            </c:strRef>
          </c:tx>
          <c:spPr>
            <a:solidFill>
              <a:schemeClr val="accent1"/>
            </a:solidFill>
            <a:ln>
              <a:noFill/>
            </a:ln>
            <a:effectLst/>
          </c:spPr>
          <c:invertIfNegative val="0"/>
          <c:cat>
            <c:strRef>
              <c:f>Purchase_Analysis!$O$3:$O$30</c:f>
              <c:strCache>
                <c:ptCount val="28"/>
                <c:pt idx="0">
                  <c:v>S013</c:v>
                </c:pt>
                <c:pt idx="1">
                  <c:v>S022</c:v>
                </c:pt>
                <c:pt idx="2">
                  <c:v>S015</c:v>
                </c:pt>
                <c:pt idx="3">
                  <c:v>S008</c:v>
                </c:pt>
                <c:pt idx="4">
                  <c:v>S006</c:v>
                </c:pt>
                <c:pt idx="5">
                  <c:v>S002</c:v>
                </c:pt>
                <c:pt idx="6">
                  <c:v>S014</c:v>
                </c:pt>
                <c:pt idx="7">
                  <c:v>S024</c:v>
                </c:pt>
                <c:pt idx="8">
                  <c:v>S018</c:v>
                </c:pt>
                <c:pt idx="9">
                  <c:v>S028</c:v>
                </c:pt>
                <c:pt idx="10">
                  <c:v>S019</c:v>
                </c:pt>
                <c:pt idx="11">
                  <c:v>S007</c:v>
                </c:pt>
                <c:pt idx="12">
                  <c:v>S016</c:v>
                </c:pt>
                <c:pt idx="13">
                  <c:v>S005</c:v>
                </c:pt>
                <c:pt idx="14">
                  <c:v>S004</c:v>
                </c:pt>
                <c:pt idx="15">
                  <c:v>S021</c:v>
                </c:pt>
                <c:pt idx="16">
                  <c:v>S026</c:v>
                </c:pt>
                <c:pt idx="17">
                  <c:v>S027</c:v>
                </c:pt>
                <c:pt idx="18">
                  <c:v>S011</c:v>
                </c:pt>
                <c:pt idx="19">
                  <c:v>S003</c:v>
                </c:pt>
                <c:pt idx="20">
                  <c:v>S025</c:v>
                </c:pt>
                <c:pt idx="21">
                  <c:v>S017</c:v>
                </c:pt>
                <c:pt idx="22">
                  <c:v>S023</c:v>
                </c:pt>
                <c:pt idx="23">
                  <c:v>S020</c:v>
                </c:pt>
                <c:pt idx="24">
                  <c:v>S012</c:v>
                </c:pt>
                <c:pt idx="25">
                  <c:v>S009</c:v>
                </c:pt>
                <c:pt idx="26">
                  <c:v>S001</c:v>
                </c:pt>
                <c:pt idx="27">
                  <c:v>S010</c:v>
                </c:pt>
              </c:strCache>
            </c:strRef>
          </c:cat>
          <c:val>
            <c:numRef>
              <c:f>Purchase_Analysis!$P$3:$P$30</c:f>
              <c:numCache>
                <c:formatCode>General</c:formatCode>
                <c:ptCount val="28"/>
                <c:pt idx="0">
                  <c:v>10186</c:v>
                </c:pt>
                <c:pt idx="1">
                  <c:v>9693</c:v>
                </c:pt>
                <c:pt idx="2">
                  <c:v>9594</c:v>
                </c:pt>
                <c:pt idx="3">
                  <c:v>9198</c:v>
                </c:pt>
                <c:pt idx="4">
                  <c:v>9061</c:v>
                </c:pt>
                <c:pt idx="5">
                  <c:v>8267</c:v>
                </c:pt>
                <c:pt idx="6">
                  <c:v>8239</c:v>
                </c:pt>
                <c:pt idx="7">
                  <c:v>8007</c:v>
                </c:pt>
                <c:pt idx="8">
                  <c:v>7826</c:v>
                </c:pt>
                <c:pt idx="9">
                  <c:v>7754</c:v>
                </c:pt>
                <c:pt idx="10">
                  <c:v>7566</c:v>
                </c:pt>
                <c:pt idx="11">
                  <c:v>7343</c:v>
                </c:pt>
                <c:pt idx="12">
                  <c:v>7340</c:v>
                </c:pt>
                <c:pt idx="13">
                  <c:v>7313</c:v>
                </c:pt>
                <c:pt idx="14">
                  <c:v>7252</c:v>
                </c:pt>
                <c:pt idx="15">
                  <c:v>7196</c:v>
                </c:pt>
                <c:pt idx="16">
                  <c:v>6536</c:v>
                </c:pt>
                <c:pt idx="17">
                  <c:v>6328</c:v>
                </c:pt>
                <c:pt idx="18">
                  <c:v>6322</c:v>
                </c:pt>
                <c:pt idx="19">
                  <c:v>5947</c:v>
                </c:pt>
                <c:pt idx="20">
                  <c:v>5917</c:v>
                </c:pt>
                <c:pt idx="21">
                  <c:v>5614</c:v>
                </c:pt>
                <c:pt idx="22">
                  <c:v>5539</c:v>
                </c:pt>
                <c:pt idx="23">
                  <c:v>4762</c:v>
                </c:pt>
                <c:pt idx="24">
                  <c:v>4672</c:v>
                </c:pt>
                <c:pt idx="25">
                  <c:v>4646</c:v>
                </c:pt>
                <c:pt idx="26">
                  <c:v>4570</c:v>
                </c:pt>
                <c:pt idx="27">
                  <c:v>3505</c:v>
                </c:pt>
              </c:numCache>
            </c:numRef>
          </c:val>
          <c:extLst>
            <c:ext xmlns:c16="http://schemas.microsoft.com/office/drawing/2014/chart" uri="{C3380CC4-5D6E-409C-BE32-E72D297353CC}">
              <c16:uniqueId val="{00000000-6489-46A1-A377-596C42B7901D}"/>
            </c:ext>
          </c:extLst>
        </c:ser>
        <c:dLbls>
          <c:showLegendKey val="0"/>
          <c:showVal val="0"/>
          <c:showCatName val="0"/>
          <c:showSerName val="0"/>
          <c:showPercent val="0"/>
          <c:showBubbleSize val="0"/>
        </c:dLbls>
        <c:gapWidth val="182"/>
        <c:axId val="1987040495"/>
        <c:axId val="1887460079"/>
      </c:barChart>
      <c:catAx>
        <c:axId val="198704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60079"/>
        <c:crosses val="autoZero"/>
        <c:auto val="1"/>
        <c:lblAlgn val="ctr"/>
        <c:lblOffset val="100"/>
        <c:noMultiLvlLbl val="0"/>
      </c:catAx>
      <c:valAx>
        <c:axId val="188746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4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[Manufacturing_Inventory_Analysis.xlsx.xlsx]Purchase_Analysis!PivotTable5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Material-wise Purchase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Purchase_Analysis!$P$35</c:f>
              <c:strCache>
                <c:ptCount val="1"/>
                <c:pt idx="0">
                  <c:v>Total</c:v>
                </c:pt>
              </c:strCache>
            </c:strRef>
          </c:tx>
          <c:spPr>
            <a:solidFill>
              <a:schemeClr val="accent1"/>
            </a:solidFill>
            <a:ln>
              <a:noFill/>
            </a:ln>
            <a:effectLst/>
          </c:spPr>
          <c:invertIfNegative val="0"/>
          <c:cat>
            <c:strRef>
              <c:f>Purchase_Analysis!$O$36:$O$60</c:f>
              <c:strCache>
                <c:ptCount val="25"/>
                <c:pt idx="0">
                  <c:v>RM019</c:v>
                </c:pt>
                <c:pt idx="1">
                  <c:v>RM023</c:v>
                </c:pt>
                <c:pt idx="2">
                  <c:v>RM011</c:v>
                </c:pt>
                <c:pt idx="3">
                  <c:v>RM014</c:v>
                </c:pt>
                <c:pt idx="4">
                  <c:v>RM013</c:v>
                </c:pt>
                <c:pt idx="5">
                  <c:v>RM012</c:v>
                </c:pt>
                <c:pt idx="6">
                  <c:v>RM015</c:v>
                </c:pt>
                <c:pt idx="7">
                  <c:v>RM024</c:v>
                </c:pt>
                <c:pt idx="8">
                  <c:v>RM021</c:v>
                </c:pt>
                <c:pt idx="9">
                  <c:v>RM010</c:v>
                </c:pt>
                <c:pt idx="10">
                  <c:v>RM004</c:v>
                </c:pt>
                <c:pt idx="11">
                  <c:v>RM020</c:v>
                </c:pt>
                <c:pt idx="12">
                  <c:v>RM018</c:v>
                </c:pt>
                <c:pt idx="13">
                  <c:v>RM022</c:v>
                </c:pt>
                <c:pt idx="14">
                  <c:v>RM003</c:v>
                </c:pt>
                <c:pt idx="15">
                  <c:v>RM017</c:v>
                </c:pt>
                <c:pt idx="16">
                  <c:v>RM025</c:v>
                </c:pt>
                <c:pt idx="17">
                  <c:v>RM005</c:v>
                </c:pt>
                <c:pt idx="18">
                  <c:v>RM007</c:v>
                </c:pt>
                <c:pt idx="19">
                  <c:v>RM002</c:v>
                </c:pt>
                <c:pt idx="20">
                  <c:v>RM008</c:v>
                </c:pt>
                <c:pt idx="21">
                  <c:v>RM006</c:v>
                </c:pt>
                <c:pt idx="22">
                  <c:v>RM009</c:v>
                </c:pt>
                <c:pt idx="23">
                  <c:v>RM001</c:v>
                </c:pt>
                <c:pt idx="24">
                  <c:v>RM016</c:v>
                </c:pt>
              </c:strCache>
            </c:strRef>
          </c:cat>
          <c:val>
            <c:numRef>
              <c:f>Purchase_Analysis!$P$36:$P$60</c:f>
              <c:numCache>
                <c:formatCode>General</c:formatCode>
                <c:ptCount val="25"/>
                <c:pt idx="0">
                  <c:v>15322</c:v>
                </c:pt>
                <c:pt idx="1">
                  <c:v>11998</c:v>
                </c:pt>
                <c:pt idx="2">
                  <c:v>11631</c:v>
                </c:pt>
                <c:pt idx="3">
                  <c:v>10636</c:v>
                </c:pt>
                <c:pt idx="4">
                  <c:v>10501</c:v>
                </c:pt>
                <c:pt idx="5">
                  <c:v>10465</c:v>
                </c:pt>
                <c:pt idx="6">
                  <c:v>9921</c:v>
                </c:pt>
                <c:pt idx="7">
                  <c:v>9697</c:v>
                </c:pt>
                <c:pt idx="8">
                  <c:v>9171</c:v>
                </c:pt>
                <c:pt idx="9">
                  <c:v>9139</c:v>
                </c:pt>
                <c:pt idx="10">
                  <c:v>8756</c:v>
                </c:pt>
                <c:pt idx="11">
                  <c:v>8336</c:v>
                </c:pt>
                <c:pt idx="12">
                  <c:v>8267</c:v>
                </c:pt>
                <c:pt idx="13">
                  <c:v>8007</c:v>
                </c:pt>
                <c:pt idx="14">
                  <c:v>7678</c:v>
                </c:pt>
                <c:pt idx="15">
                  <c:v>7196</c:v>
                </c:pt>
                <c:pt idx="16">
                  <c:v>6779</c:v>
                </c:pt>
                <c:pt idx="17">
                  <c:v>6038</c:v>
                </c:pt>
                <c:pt idx="18">
                  <c:v>5832</c:v>
                </c:pt>
                <c:pt idx="19">
                  <c:v>5719</c:v>
                </c:pt>
                <c:pt idx="20">
                  <c:v>4217</c:v>
                </c:pt>
                <c:pt idx="21">
                  <c:v>3780</c:v>
                </c:pt>
                <c:pt idx="22">
                  <c:v>3386</c:v>
                </c:pt>
                <c:pt idx="23">
                  <c:v>2435</c:v>
                </c:pt>
                <c:pt idx="24">
                  <c:v>1286</c:v>
                </c:pt>
              </c:numCache>
            </c:numRef>
          </c:val>
          <c:extLst>
            <c:ext xmlns:c16="http://schemas.microsoft.com/office/drawing/2014/chart" uri="{C3380CC4-5D6E-409C-BE32-E72D297353CC}">
              <c16:uniqueId val="{00000000-1903-417F-8980-F4066D5D9EC7}"/>
            </c:ext>
          </c:extLst>
        </c:ser>
        <c:dLbls>
          <c:showLegendKey val="0"/>
          <c:showVal val="0"/>
          <c:showCatName val="0"/>
          <c:showSerName val="0"/>
          <c:showPercent val="0"/>
          <c:showBubbleSize val="0"/>
        </c:dLbls>
        <c:gapWidth val="182"/>
        <c:axId val="1984932207"/>
        <c:axId val="1887473519"/>
      </c:barChart>
      <c:catAx>
        <c:axId val="198493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73519"/>
        <c:crosses val="autoZero"/>
        <c:auto val="1"/>
        <c:lblAlgn val="ctr"/>
        <c:lblOffset val="100"/>
        <c:noMultiLvlLbl val="0"/>
      </c:catAx>
      <c:valAx>
        <c:axId val="1887473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3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[Manufacturing_Inventory_Analysis.xlsx.xlsx]Purchase_Analysis!PivotTable6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Purchase Value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Purchase_Analysis!$P$68</c:f>
              <c:strCache>
                <c:ptCount val="1"/>
                <c:pt idx="0">
                  <c:v>Total</c:v>
                </c:pt>
              </c:strCache>
            </c:strRef>
          </c:tx>
          <c:spPr>
            <a:ln w="28575" cap="rnd">
              <a:solidFill>
                <a:schemeClr val="accent1"/>
              </a:solidFill>
              <a:round/>
            </a:ln>
            <a:effectLst/>
          </c:spPr>
          <c:marker>
            <c:symbol val="none"/>
          </c:marker>
          <c:cat>
            <c:multiLvlStrRef>
              <c:f>Purchase_Analysis!$O$69:$O$81</c:f>
              <c:multiLvlStrCache>
                <c:ptCount val="12"/>
                <c:lvl>
                  <c:pt idx="0">
                    <c:v>Jan</c:v>
                  </c:pt>
                  <c:pt idx="1">
                    <c:v>Feb</c:v>
                  </c:pt>
                  <c:pt idx="2">
                    <c:v>Mar</c:v>
                  </c:pt>
                  <c:pt idx="3">
                    <c:v>Apr</c:v>
                  </c:pt>
                  <c:pt idx="4">
                    <c:v>Mei</c:v>
                  </c:pt>
                  <c:pt idx="5">
                    <c:v>Jun</c:v>
                  </c:pt>
                  <c:pt idx="6">
                    <c:v>Jul</c:v>
                  </c:pt>
                  <c:pt idx="7">
                    <c:v>Agu</c:v>
                  </c:pt>
                  <c:pt idx="8">
                    <c:v>Sep</c:v>
                  </c:pt>
                  <c:pt idx="9">
                    <c:v>Okt</c:v>
                  </c:pt>
                  <c:pt idx="10">
                    <c:v>Nov</c:v>
                  </c:pt>
                  <c:pt idx="11">
                    <c:v>Des</c:v>
                  </c:pt>
                </c:lvl>
                <c:lvl>
                  <c:pt idx="0">
                    <c:v>2025</c:v>
                  </c:pt>
                </c:lvl>
              </c:multiLvlStrCache>
            </c:multiLvlStrRef>
          </c:cat>
          <c:val>
            <c:numRef>
              <c:f>Purchase_Analysis!$P$69:$P$81</c:f>
              <c:numCache>
                <c:formatCode>General</c:formatCode>
                <c:ptCount val="12"/>
                <c:pt idx="0">
                  <c:v>5893030.2145579988</c:v>
                </c:pt>
                <c:pt idx="1">
                  <c:v>8224079.2811399987</c:v>
                </c:pt>
                <c:pt idx="2">
                  <c:v>6571160.5684419991</c:v>
                </c:pt>
                <c:pt idx="3">
                  <c:v>2109384.1652479996</c:v>
                </c:pt>
                <c:pt idx="4">
                  <c:v>5273440.981362001</c:v>
                </c:pt>
                <c:pt idx="5">
                  <c:v>5693182.4306659987</c:v>
                </c:pt>
                <c:pt idx="6">
                  <c:v>6860179.2647579983</c:v>
                </c:pt>
                <c:pt idx="7">
                  <c:v>5281923.0738979997</c:v>
                </c:pt>
                <c:pt idx="8">
                  <c:v>5893215.5105460007</c:v>
                </c:pt>
                <c:pt idx="9">
                  <c:v>4435147.1438479973</c:v>
                </c:pt>
                <c:pt idx="10">
                  <c:v>3484222.8206919995</c:v>
                </c:pt>
                <c:pt idx="11">
                  <c:v>7522562.9143320005</c:v>
                </c:pt>
              </c:numCache>
            </c:numRef>
          </c:val>
          <c:smooth val="0"/>
          <c:extLst>
            <c:ext xmlns:c16="http://schemas.microsoft.com/office/drawing/2014/chart" uri="{C3380CC4-5D6E-409C-BE32-E72D297353CC}">
              <c16:uniqueId val="{00000000-2913-49F2-A347-18E6BFD48537}"/>
            </c:ext>
          </c:extLst>
        </c:ser>
        <c:dLbls>
          <c:showLegendKey val="0"/>
          <c:showVal val="0"/>
          <c:showCatName val="0"/>
          <c:showSerName val="0"/>
          <c:showPercent val="0"/>
          <c:showBubbleSize val="0"/>
        </c:dLbls>
        <c:smooth val="0"/>
        <c:axId val="1893166351"/>
        <c:axId val="1887510479"/>
      </c:lineChart>
      <c:catAx>
        <c:axId val="189316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510479"/>
        <c:crosses val="autoZero"/>
        <c:auto val="1"/>
        <c:lblAlgn val="ctr"/>
        <c:lblOffset val="100"/>
        <c:noMultiLvlLbl val="0"/>
      </c:catAx>
      <c:valAx>
        <c:axId val="188751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1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[Manufacturing_Inventory_Analysis.xlsx.xlsx]Purchase_Analysis!PivotTable7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Supplier-wise Purchase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Purchase_Analysis!$P$90</c:f>
              <c:strCache>
                <c:ptCount val="1"/>
                <c:pt idx="0">
                  <c:v>Total</c:v>
                </c:pt>
              </c:strCache>
            </c:strRef>
          </c:tx>
          <c:spPr>
            <a:solidFill>
              <a:schemeClr val="accent1"/>
            </a:solidFill>
            <a:ln>
              <a:noFill/>
            </a:ln>
            <a:effectLst/>
          </c:spPr>
          <c:invertIfNegative val="0"/>
          <c:cat>
            <c:strRef>
              <c:f>Purchase_Analysis!$O$91:$O$118</c:f>
              <c:strCache>
                <c:ptCount val="28"/>
                <c:pt idx="0">
                  <c:v>S008</c:v>
                </c:pt>
                <c:pt idx="1">
                  <c:v>S006</c:v>
                </c:pt>
                <c:pt idx="2">
                  <c:v>S005</c:v>
                </c:pt>
                <c:pt idx="3">
                  <c:v>S019</c:v>
                </c:pt>
                <c:pt idx="4">
                  <c:v>S018</c:v>
                </c:pt>
                <c:pt idx="5">
                  <c:v>S016</c:v>
                </c:pt>
                <c:pt idx="6">
                  <c:v>S028</c:v>
                </c:pt>
                <c:pt idx="7">
                  <c:v>S007</c:v>
                </c:pt>
                <c:pt idx="8">
                  <c:v>S020</c:v>
                </c:pt>
                <c:pt idx="9">
                  <c:v>S013</c:v>
                </c:pt>
                <c:pt idx="10">
                  <c:v>S014</c:v>
                </c:pt>
                <c:pt idx="11">
                  <c:v>S017</c:v>
                </c:pt>
                <c:pt idx="12">
                  <c:v>S023</c:v>
                </c:pt>
                <c:pt idx="13">
                  <c:v>S011</c:v>
                </c:pt>
                <c:pt idx="14">
                  <c:v>S015</c:v>
                </c:pt>
                <c:pt idx="15">
                  <c:v>S001</c:v>
                </c:pt>
                <c:pt idx="16">
                  <c:v>S021</c:v>
                </c:pt>
                <c:pt idx="17">
                  <c:v>S002</c:v>
                </c:pt>
                <c:pt idx="18">
                  <c:v>S009</c:v>
                </c:pt>
                <c:pt idx="19">
                  <c:v>S004</c:v>
                </c:pt>
                <c:pt idx="20">
                  <c:v>S010</c:v>
                </c:pt>
                <c:pt idx="21">
                  <c:v>S003</c:v>
                </c:pt>
                <c:pt idx="22">
                  <c:v>S012</c:v>
                </c:pt>
                <c:pt idx="23">
                  <c:v>S024</c:v>
                </c:pt>
                <c:pt idx="24">
                  <c:v>S022</c:v>
                </c:pt>
                <c:pt idx="25">
                  <c:v>S027</c:v>
                </c:pt>
                <c:pt idx="26">
                  <c:v>S025</c:v>
                </c:pt>
                <c:pt idx="27">
                  <c:v>S026</c:v>
                </c:pt>
              </c:strCache>
            </c:strRef>
          </c:cat>
          <c:val>
            <c:numRef>
              <c:f>Purchase_Analysis!$P$91:$P$118</c:f>
              <c:numCache>
                <c:formatCode>General</c:formatCode>
                <c:ptCount val="28"/>
                <c:pt idx="0">
                  <c:v>6412950.846731999</c:v>
                </c:pt>
                <c:pt idx="1">
                  <c:v>4740788.6980259996</c:v>
                </c:pt>
                <c:pt idx="2">
                  <c:v>4736339.8869239995</c:v>
                </c:pt>
                <c:pt idx="3">
                  <c:v>4684998.5009860005</c:v>
                </c:pt>
                <c:pt idx="4">
                  <c:v>4190815.9804700003</c:v>
                </c:pt>
                <c:pt idx="5">
                  <c:v>4182495.9574099998</c:v>
                </c:pt>
                <c:pt idx="6">
                  <c:v>3992968.037122</c:v>
                </c:pt>
                <c:pt idx="7">
                  <c:v>3652782.3511660001</c:v>
                </c:pt>
                <c:pt idx="8">
                  <c:v>3330119.1342100007</c:v>
                </c:pt>
                <c:pt idx="9">
                  <c:v>3195534.2528539998</c:v>
                </c:pt>
                <c:pt idx="10">
                  <c:v>2937040.9509000001</c:v>
                </c:pt>
                <c:pt idx="11">
                  <c:v>2618229.3623859994</c:v>
                </c:pt>
                <c:pt idx="12">
                  <c:v>2462253.1113379993</c:v>
                </c:pt>
                <c:pt idx="13">
                  <c:v>2165830.0831400002</c:v>
                </c:pt>
                <c:pt idx="14">
                  <c:v>1840352.9416599995</c:v>
                </c:pt>
                <c:pt idx="15">
                  <c:v>1827398.2126579999</c:v>
                </c:pt>
                <c:pt idx="16">
                  <c:v>1770280.1792000001</c:v>
                </c:pt>
                <c:pt idx="17">
                  <c:v>1559926.8376340002</c:v>
                </c:pt>
                <c:pt idx="18">
                  <c:v>1352067.5784059998</c:v>
                </c:pt>
                <c:pt idx="19">
                  <c:v>1334595.5650260001</c:v>
                </c:pt>
                <c:pt idx="20">
                  <c:v>1051985.2227079999</c:v>
                </c:pt>
                <c:pt idx="21">
                  <c:v>864022.09652599995</c:v>
                </c:pt>
                <c:pt idx="22">
                  <c:v>540316.92352199997</c:v>
                </c:pt>
                <c:pt idx="23">
                  <c:v>512876.27910999994</c:v>
                </c:pt>
                <c:pt idx="24">
                  <c:v>493537.43577600009</c:v>
                </c:pt>
                <c:pt idx="25">
                  <c:v>279891.62196800002</c:v>
                </c:pt>
                <c:pt idx="26">
                  <c:v>271358.76756800001</c:v>
                </c:pt>
                <c:pt idx="27">
                  <c:v>239771.554064</c:v>
                </c:pt>
              </c:numCache>
            </c:numRef>
          </c:val>
          <c:extLst>
            <c:ext xmlns:c16="http://schemas.microsoft.com/office/drawing/2014/chart" uri="{C3380CC4-5D6E-409C-BE32-E72D297353CC}">
              <c16:uniqueId val="{00000000-0100-4D0F-B23E-EBDC54D2C1C4}"/>
            </c:ext>
          </c:extLst>
        </c:ser>
        <c:dLbls>
          <c:showLegendKey val="0"/>
          <c:showVal val="0"/>
          <c:showCatName val="0"/>
          <c:showSerName val="0"/>
          <c:showPercent val="0"/>
          <c:showBubbleSize val="0"/>
        </c:dLbls>
        <c:gapWidth val="182"/>
        <c:axId val="1996333023"/>
        <c:axId val="1887468719"/>
      </c:barChart>
      <c:catAx>
        <c:axId val="199633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68719"/>
        <c:crosses val="autoZero"/>
        <c:auto val="1"/>
        <c:lblAlgn val="ctr"/>
        <c:lblOffset val="100"/>
        <c:noMultiLvlLbl val="0"/>
      </c:catAx>
      <c:valAx>
        <c:axId val="1887468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3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[Manufacturing_Inventory_Analysis.xlsx.xlsx]Purchase_Analysis!PivotTable8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Material-wise Purchase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Purchase_Analysis!$T$90</c:f>
              <c:strCache>
                <c:ptCount val="1"/>
                <c:pt idx="0">
                  <c:v>Total</c:v>
                </c:pt>
              </c:strCache>
            </c:strRef>
          </c:tx>
          <c:spPr>
            <a:solidFill>
              <a:schemeClr val="accent1"/>
            </a:solidFill>
            <a:ln>
              <a:noFill/>
            </a:ln>
            <a:effectLst/>
          </c:spPr>
          <c:invertIfNegative val="0"/>
          <c:cat>
            <c:strRef>
              <c:f>Purchase_Analysis!$S$91:$S$115</c:f>
              <c:strCache>
                <c:ptCount val="25"/>
                <c:pt idx="0">
                  <c:v>RM014</c:v>
                </c:pt>
                <c:pt idx="1">
                  <c:v>RM010</c:v>
                </c:pt>
                <c:pt idx="2">
                  <c:v>RM018</c:v>
                </c:pt>
                <c:pt idx="3">
                  <c:v>RM013</c:v>
                </c:pt>
                <c:pt idx="4">
                  <c:v>RM020</c:v>
                </c:pt>
                <c:pt idx="5">
                  <c:v>RM019</c:v>
                </c:pt>
                <c:pt idx="6">
                  <c:v>RM015</c:v>
                </c:pt>
                <c:pt idx="7">
                  <c:v>RM005</c:v>
                </c:pt>
                <c:pt idx="8">
                  <c:v>RM003</c:v>
                </c:pt>
                <c:pt idx="9">
                  <c:v>RM004</c:v>
                </c:pt>
                <c:pt idx="10">
                  <c:v>RM001</c:v>
                </c:pt>
                <c:pt idx="11">
                  <c:v>RM017</c:v>
                </c:pt>
                <c:pt idx="12">
                  <c:v>RM011</c:v>
                </c:pt>
                <c:pt idx="13">
                  <c:v>RM002</c:v>
                </c:pt>
                <c:pt idx="14">
                  <c:v>RM012</c:v>
                </c:pt>
                <c:pt idx="15">
                  <c:v>RM023</c:v>
                </c:pt>
                <c:pt idx="16">
                  <c:v>RM007</c:v>
                </c:pt>
                <c:pt idx="17">
                  <c:v>RM022</c:v>
                </c:pt>
                <c:pt idx="18">
                  <c:v>RM006</c:v>
                </c:pt>
                <c:pt idx="19">
                  <c:v>RM021</c:v>
                </c:pt>
                <c:pt idx="20">
                  <c:v>RM009</c:v>
                </c:pt>
                <c:pt idx="21">
                  <c:v>RM016</c:v>
                </c:pt>
                <c:pt idx="22">
                  <c:v>RM025</c:v>
                </c:pt>
                <c:pt idx="23">
                  <c:v>RM008</c:v>
                </c:pt>
                <c:pt idx="24">
                  <c:v>RM024</c:v>
                </c:pt>
              </c:strCache>
            </c:strRef>
          </c:cat>
          <c:val>
            <c:numRef>
              <c:f>Purchase_Analysis!$T$91:$T$115</c:f>
              <c:numCache>
                <c:formatCode>General</c:formatCode>
                <c:ptCount val="25"/>
                <c:pt idx="0">
                  <c:v>17844738.467829995</c:v>
                </c:pt>
                <c:pt idx="1">
                  <c:v>8193024.1713760002</c:v>
                </c:pt>
                <c:pt idx="2">
                  <c:v>5935094.4690899998</c:v>
                </c:pt>
                <c:pt idx="3">
                  <c:v>5799410.6509019984</c:v>
                </c:pt>
                <c:pt idx="4">
                  <c:v>3349156.7655719998</c:v>
                </c:pt>
                <c:pt idx="5">
                  <c:v>3313938.8838219997</c:v>
                </c:pt>
                <c:pt idx="6">
                  <c:v>3002915.6955639999</c:v>
                </c:pt>
                <c:pt idx="7">
                  <c:v>2925982.7580179996</c:v>
                </c:pt>
                <c:pt idx="8">
                  <c:v>2863044.816352</c:v>
                </c:pt>
                <c:pt idx="9">
                  <c:v>2439473.2190079996</c:v>
                </c:pt>
                <c:pt idx="10">
                  <c:v>1798800.4078539999</c:v>
                </c:pt>
                <c:pt idx="11">
                  <c:v>1770280.1792000001</c:v>
                </c:pt>
                <c:pt idx="12">
                  <c:v>1660176.083356</c:v>
                </c:pt>
                <c:pt idx="13">
                  <c:v>1193980.5618839995</c:v>
                </c:pt>
                <c:pt idx="14">
                  <c:v>1135610.0341820002</c:v>
                </c:pt>
                <c:pt idx="15">
                  <c:v>855573.1843679999</c:v>
                </c:pt>
                <c:pt idx="16">
                  <c:v>723968.64086999989</c:v>
                </c:pt>
                <c:pt idx="17">
                  <c:v>512876.27910999994</c:v>
                </c:pt>
                <c:pt idx="18">
                  <c:v>372906.02289400005</c:v>
                </c:pt>
                <c:pt idx="19">
                  <c:v>365277.23392200004</c:v>
                </c:pt>
                <c:pt idx="20">
                  <c:v>270412.12441400002</c:v>
                </c:pt>
                <c:pt idx="21">
                  <c:v>269904.79910799995</c:v>
                </c:pt>
                <c:pt idx="22">
                  <c:v>236311.44409599996</c:v>
                </c:pt>
                <c:pt idx="23">
                  <c:v>215996.72578599997</c:v>
                </c:pt>
                <c:pt idx="24">
                  <c:v>192674.75091200008</c:v>
                </c:pt>
              </c:numCache>
            </c:numRef>
          </c:val>
          <c:extLst>
            <c:ext xmlns:c16="http://schemas.microsoft.com/office/drawing/2014/chart" uri="{C3380CC4-5D6E-409C-BE32-E72D297353CC}">
              <c16:uniqueId val="{00000000-E743-408C-BF2D-C3BB58499760}"/>
            </c:ext>
          </c:extLst>
        </c:ser>
        <c:dLbls>
          <c:showLegendKey val="0"/>
          <c:showVal val="0"/>
          <c:showCatName val="0"/>
          <c:showSerName val="0"/>
          <c:showPercent val="0"/>
          <c:showBubbleSize val="0"/>
        </c:dLbls>
        <c:gapWidth val="182"/>
        <c:axId val="958894080"/>
        <c:axId val="582538416"/>
      </c:barChart>
      <c:catAx>
        <c:axId val="95889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538416"/>
        <c:crosses val="autoZero"/>
        <c:auto val="1"/>
        <c:lblAlgn val="ctr"/>
        <c:lblOffset val="100"/>
        <c:noMultiLvlLbl val="0"/>
      </c:catAx>
      <c:valAx>
        <c:axId val="58253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89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[Manufacturing_Inventory_Analysis.xlsx.xlsx]Production_Analysis!PivotTable3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 Production Quantity</a:t>
            </a:r>
          </a:p>
        </c:rich>
      </c:tx>
      <c:layout>
        <c:manualLayout>
          <c:xMode val="edge"/>
          <c:yMode val="edge"/>
          <c:x val="0.10307425636012579"/>
          <c:y val="2.45098039215686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Production_Analysis!$I$9</c:f>
              <c:strCache>
                <c:ptCount val="1"/>
                <c:pt idx="0">
                  <c:v>Total</c:v>
                </c:pt>
              </c:strCache>
            </c:strRef>
          </c:tx>
          <c:spPr>
            <a:solidFill>
              <a:schemeClr val="accent1"/>
            </a:solidFill>
            <a:ln>
              <a:noFill/>
            </a:ln>
            <a:effectLst/>
          </c:spPr>
          <c:invertIfNegative val="0"/>
          <c:cat>
            <c:strRef>
              <c:f>Production_Analysis!$H$10:$H$13</c:f>
              <c:strCache>
                <c:ptCount val="3"/>
                <c:pt idx="0">
                  <c:v>P001</c:v>
                </c:pt>
                <c:pt idx="1">
                  <c:v>P002</c:v>
                </c:pt>
                <c:pt idx="2">
                  <c:v>P003</c:v>
                </c:pt>
              </c:strCache>
            </c:strRef>
          </c:cat>
          <c:val>
            <c:numRef>
              <c:f>Production_Analysis!$I$10:$I$13</c:f>
              <c:numCache>
                <c:formatCode>General</c:formatCode>
                <c:ptCount val="3"/>
                <c:pt idx="0">
                  <c:v>9461</c:v>
                </c:pt>
                <c:pt idx="1">
                  <c:v>13715</c:v>
                </c:pt>
                <c:pt idx="2">
                  <c:v>14629</c:v>
                </c:pt>
              </c:numCache>
            </c:numRef>
          </c:val>
          <c:extLst>
            <c:ext xmlns:c16="http://schemas.microsoft.com/office/drawing/2014/chart" uri="{C3380CC4-5D6E-409C-BE32-E72D297353CC}">
              <c16:uniqueId val="{00000000-8769-420D-9206-F7BFA04FE2DA}"/>
            </c:ext>
          </c:extLst>
        </c:ser>
        <c:dLbls>
          <c:showLegendKey val="0"/>
          <c:showVal val="0"/>
          <c:showCatName val="0"/>
          <c:showSerName val="0"/>
          <c:showPercent val="0"/>
          <c:showBubbleSize val="0"/>
        </c:dLbls>
        <c:gapWidth val="182"/>
        <c:axId val="24437840"/>
        <c:axId val="24643344"/>
      </c:barChart>
      <c:catAx>
        <c:axId val="2443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3344"/>
        <c:crosses val="autoZero"/>
        <c:auto val="1"/>
        <c:lblAlgn val="ctr"/>
        <c:lblOffset val="100"/>
        <c:noMultiLvlLbl val="0"/>
      </c:catAx>
      <c:valAx>
        <c:axId val="2464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[Manufacturing_Inventory_Analysis.xlsx.xlsx]Production_Analysis!PivotTable4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Shift-wise Production Quantity</a:t>
            </a:r>
          </a:p>
        </c:rich>
      </c:tx>
      <c:layout>
        <c:manualLayout>
          <c:xMode val="edge"/>
          <c:yMode val="edge"/>
          <c:x val="0.2326041119860017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Production_Analysis!$B$25</c:f>
              <c:strCache>
                <c:ptCount val="1"/>
                <c:pt idx="0">
                  <c:v>Total</c:v>
                </c:pt>
              </c:strCache>
            </c:strRef>
          </c:tx>
          <c:spPr>
            <a:solidFill>
              <a:schemeClr val="accent1"/>
            </a:solidFill>
            <a:ln>
              <a:noFill/>
            </a:ln>
            <a:effectLst/>
          </c:spPr>
          <c:invertIfNegative val="0"/>
          <c:cat>
            <c:strRef>
              <c:f>Production_Analysis!$A$26:$A$29</c:f>
              <c:strCache>
                <c:ptCount val="3"/>
                <c:pt idx="0">
                  <c:v>Evening</c:v>
                </c:pt>
                <c:pt idx="1">
                  <c:v>Morning</c:v>
                </c:pt>
                <c:pt idx="2">
                  <c:v>Night</c:v>
                </c:pt>
              </c:strCache>
            </c:strRef>
          </c:cat>
          <c:val>
            <c:numRef>
              <c:f>Production_Analysis!$B$26:$B$29</c:f>
              <c:numCache>
                <c:formatCode>General</c:formatCode>
                <c:ptCount val="3"/>
                <c:pt idx="0">
                  <c:v>14123</c:v>
                </c:pt>
                <c:pt idx="1">
                  <c:v>16303</c:v>
                </c:pt>
                <c:pt idx="2">
                  <c:v>7379</c:v>
                </c:pt>
              </c:numCache>
            </c:numRef>
          </c:val>
          <c:extLst>
            <c:ext xmlns:c16="http://schemas.microsoft.com/office/drawing/2014/chart" uri="{C3380CC4-5D6E-409C-BE32-E72D297353CC}">
              <c16:uniqueId val="{00000000-9816-4F73-BCFA-35AF002991BD}"/>
            </c:ext>
          </c:extLst>
        </c:ser>
        <c:dLbls>
          <c:showLegendKey val="0"/>
          <c:showVal val="0"/>
          <c:showCatName val="0"/>
          <c:showSerName val="0"/>
          <c:showPercent val="0"/>
          <c:showBubbleSize val="0"/>
        </c:dLbls>
        <c:gapWidth val="219"/>
        <c:overlap val="-27"/>
        <c:axId val="2077177072"/>
        <c:axId val="24645264"/>
      </c:barChart>
      <c:catAx>
        <c:axId val="207717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5264"/>
        <c:crosses val="autoZero"/>
        <c:auto val="1"/>
        <c:lblAlgn val="ctr"/>
        <c:lblOffset val="100"/>
        <c:noMultiLvlLbl val="0"/>
      </c:catAx>
      <c:valAx>
        <c:axId val="2464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7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[Manufacturing_Inventory_Analysis.xlsx.xlsx]Production_Analysis!PivotTable6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Production Line-wise Output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Production_Analysis!$I$25</c:f>
              <c:strCache>
                <c:ptCount val="1"/>
                <c:pt idx="0">
                  <c:v>Total</c:v>
                </c:pt>
              </c:strCache>
            </c:strRef>
          </c:tx>
          <c:spPr>
            <a:solidFill>
              <a:schemeClr val="accent1"/>
            </a:solidFill>
            <a:ln>
              <a:noFill/>
            </a:ln>
            <a:effectLst/>
          </c:spPr>
          <c:invertIfNegative val="0"/>
          <c:cat>
            <c:strRef>
              <c:f>Production_Analysis!$H$26:$H$28</c:f>
              <c:strCache>
                <c:ptCount val="2"/>
                <c:pt idx="0">
                  <c:v>Line 1</c:v>
                </c:pt>
                <c:pt idx="1">
                  <c:v>Line 2</c:v>
                </c:pt>
              </c:strCache>
            </c:strRef>
          </c:cat>
          <c:val>
            <c:numRef>
              <c:f>Production_Analysis!$I$26:$I$28</c:f>
              <c:numCache>
                <c:formatCode>General</c:formatCode>
                <c:ptCount val="2"/>
                <c:pt idx="0">
                  <c:v>23176</c:v>
                </c:pt>
                <c:pt idx="1">
                  <c:v>14629</c:v>
                </c:pt>
              </c:numCache>
            </c:numRef>
          </c:val>
          <c:extLst>
            <c:ext xmlns:c16="http://schemas.microsoft.com/office/drawing/2014/chart" uri="{C3380CC4-5D6E-409C-BE32-E72D297353CC}">
              <c16:uniqueId val="{00000000-834A-4076-B105-D82D6F05161F}"/>
            </c:ext>
          </c:extLst>
        </c:ser>
        <c:dLbls>
          <c:showLegendKey val="0"/>
          <c:showVal val="0"/>
          <c:showCatName val="0"/>
          <c:showSerName val="0"/>
          <c:showPercent val="0"/>
          <c:showBubbleSize val="0"/>
        </c:dLbls>
        <c:gapWidth val="219"/>
        <c:overlap val="-27"/>
        <c:axId val="18851056"/>
        <c:axId val="24640464"/>
      </c:barChart>
      <c:catAx>
        <c:axId val="1885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40464"/>
        <c:crosses val="autoZero"/>
        <c:auto val="1"/>
        <c:lblAlgn val="ctr"/>
        <c:lblOffset val="100"/>
        <c:noMultiLvlLbl val="0"/>
      </c:catAx>
      <c:valAx>
        <c:axId val="2464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[Manufacturing_Inventory_Analysis.xlsx.xlsx]Production_Analysis!PivotTable7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Product-wise Rejected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Production_Analysis!$B$41</c:f>
              <c:strCache>
                <c:ptCount val="1"/>
                <c:pt idx="0">
                  <c:v>Total</c:v>
                </c:pt>
              </c:strCache>
            </c:strRef>
          </c:tx>
          <c:spPr>
            <a:solidFill>
              <a:schemeClr val="accent1"/>
            </a:solidFill>
            <a:ln>
              <a:noFill/>
            </a:ln>
            <a:effectLst/>
          </c:spPr>
          <c:invertIfNegative val="0"/>
          <c:cat>
            <c:strRef>
              <c:f>Production_Analysis!$A$42:$A$45</c:f>
              <c:strCache>
                <c:ptCount val="3"/>
                <c:pt idx="0">
                  <c:v>P001</c:v>
                </c:pt>
                <c:pt idx="1">
                  <c:v>P002</c:v>
                </c:pt>
                <c:pt idx="2">
                  <c:v>P003</c:v>
                </c:pt>
              </c:strCache>
            </c:strRef>
          </c:cat>
          <c:val>
            <c:numRef>
              <c:f>Production_Analysis!$B$42:$B$45</c:f>
              <c:numCache>
                <c:formatCode>General</c:formatCode>
                <c:ptCount val="3"/>
                <c:pt idx="0">
                  <c:v>198</c:v>
                </c:pt>
                <c:pt idx="1">
                  <c:v>258</c:v>
                </c:pt>
                <c:pt idx="2">
                  <c:v>297</c:v>
                </c:pt>
              </c:numCache>
            </c:numRef>
          </c:val>
          <c:extLst>
            <c:ext xmlns:c16="http://schemas.microsoft.com/office/drawing/2014/chart" uri="{C3380CC4-5D6E-409C-BE32-E72D297353CC}">
              <c16:uniqueId val="{00000000-D348-40B4-BEF8-66CB388FFA54}"/>
            </c:ext>
          </c:extLst>
        </c:ser>
        <c:dLbls>
          <c:showLegendKey val="0"/>
          <c:showVal val="0"/>
          <c:showCatName val="0"/>
          <c:showSerName val="0"/>
          <c:showPercent val="0"/>
          <c:showBubbleSize val="0"/>
        </c:dLbls>
        <c:gapWidth val="182"/>
        <c:axId val="18850592"/>
        <c:axId val="24674064"/>
      </c:barChart>
      <c:catAx>
        <c:axId val="1885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74064"/>
        <c:crosses val="autoZero"/>
        <c:auto val="1"/>
        <c:lblAlgn val="ctr"/>
        <c:lblOffset val="100"/>
        <c:noMultiLvlLbl val="0"/>
      </c:catAx>
      <c:valAx>
        <c:axId val="24674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[Manufacturing_Inventory_Analysis.xlsx.xlsx]Production_Analysis!PivotTable8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Planned vs Produced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Production_Analysis!$H$41</c:f>
              <c:strCache>
                <c:ptCount val="1"/>
                <c:pt idx="0">
                  <c:v>Sum of Planned_Quantity</c:v>
                </c:pt>
              </c:strCache>
            </c:strRef>
          </c:tx>
          <c:spPr>
            <a:solidFill>
              <a:schemeClr val="accent1"/>
            </a:solidFill>
            <a:ln>
              <a:noFill/>
            </a:ln>
            <a:effectLst/>
          </c:spPr>
          <c:invertIfNegative val="0"/>
          <c:cat>
            <c:strRef>
              <c:f>Production_Analysis!$G$42:$G$45</c:f>
              <c:strCache>
                <c:ptCount val="3"/>
                <c:pt idx="0">
                  <c:v>P001</c:v>
                </c:pt>
                <c:pt idx="1">
                  <c:v>P002</c:v>
                </c:pt>
                <c:pt idx="2">
                  <c:v>P003</c:v>
                </c:pt>
              </c:strCache>
            </c:strRef>
          </c:cat>
          <c:val>
            <c:numRef>
              <c:f>Production_Analysis!$H$42:$H$45</c:f>
              <c:numCache>
                <c:formatCode>General</c:formatCode>
                <c:ptCount val="3"/>
                <c:pt idx="0">
                  <c:v>9966</c:v>
                </c:pt>
                <c:pt idx="1">
                  <c:v>14425</c:v>
                </c:pt>
                <c:pt idx="2">
                  <c:v>15347</c:v>
                </c:pt>
              </c:numCache>
            </c:numRef>
          </c:val>
          <c:extLst>
            <c:ext xmlns:c16="http://schemas.microsoft.com/office/drawing/2014/chart" uri="{C3380CC4-5D6E-409C-BE32-E72D297353CC}">
              <c16:uniqueId val="{00000000-1BE7-4C2B-9681-6D61E116850B}"/>
            </c:ext>
          </c:extLst>
        </c:ser>
        <c:ser>
          <c:idx val="1"/>
          <c:order val="1"/>
          <c:tx>
            <c:strRef>
              <c:f>Production_Analysis!$I$41</c:f>
              <c:strCache>
                <c:ptCount val="1"/>
                <c:pt idx="0">
                  <c:v>Sum of Produced_Quantity</c:v>
                </c:pt>
              </c:strCache>
            </c:strRef>
          </c:tx>
          <c:spPr>
            <a:solidFill>
              <a:schemeClr val="accent2"/>
            </a:solidFill>
            <a:ln>
              <a:noFill/>
            </a:ln>
            <a:effectLst/>
          </c:spPr>
          <c:invertIfNegative val="0"/>
          <c:cat>
            <c:strRef>
              <c:f>Production_Analysis!$G$42:$G$45</c:f>
              <c:strCache>
                <c:ptCount val="3"/>
                <c:pt idx="0">
                  <c:v>P001</c:v>
                </c:pt>
                <c:pt idx="1">
                  <c:v>P002</c:v>
                </c:pt>
                <c:pt idx="2">
                  <c:v>P003</c:v>
                </c:pt>
              </c:strCache>
            </c:strRef>
          </c:cat>
          <c:val>
            <c:numRef>
              <c:f>Production_Analysis!$I$42:$I$45</c:f>
              <c:numCache>
                <c:formatCode>General</c:formatCode>
                <c:ptCount val="3"/>
                <c:pt idx="0">
                  <c:v>9461</c:v>
                </c:pt>
                <c:pt idx="1">
                  <c:v>13715</c:v>
                </c:pt>
                <c:pt idx="2">
                  <c:v>14629</c:v>
                </c:pt>
              </c:numCache>
            </c:numRef>
          </c:val>
          <c:extLst>
            <c:ext xmlns:c16="http://schemas.microsoft.com/office/drawing/2014/chart" uri="{C3380CC4-5D6E-409C-BE32-E72D297353CC}">
              <c16:uniqueId val="{00000001-1BE7-4C2B-9681-6D61E116850B}"/>
            </c:ext>
          </c:extLst>
        </c:ser>
        <c:dLbls>
          <c:showLegendKey val="0"/>
          <c:showVal val="0"/>
          <c:showCatName val="0"/>
          <c:showSerName val="0"/>
          <c:showPercent val="0"/>
          <c:showBubbleSize val="0"/>
        </c:dLbls>
        <c:gapWidth val="219"/>
        <c:overlap val="-27"/>
        <c:axId val="719866768"/>
        <c:axId val="24676464"/>
      </c:barChart>
      <c:catAx>
        <c:axId val="71986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76464"/>
        <c:crosses val="autoZero"/>
        <c:auto val="1"/>
        <c:lblAlgn val="ctr"/>
        <c:lblOffset val="100"/>
        <c:noMultiLvlLbl val="0"/>
      </c:catAx>
      <c:valAx>
        <c:axId val="2467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[Manufacturing_Inventory_Analysis.xlsx.xlsx]Production_Analysis!PivotTable9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Production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Production_Analysis!$C$9</c:f>
              <c:strCache>
                <c:ptCount val="1"/>
                <c:pt idx="0">
                  <c:v>Total</c:v>
                </c:pt>
              </c:strCache>
            </c:strRef>
          </c:tx>
          <c:spPr>
            <a:ln w="28575" cap="rnd">
              <a:solidFill>
                <a:schemeClr val="accent1"/>
              </a:solidFill>
              <a:round/>
            </a:ln>
            <a:effectLst/>
          </c:spPr>
          <c:marker>
            <c:symbol val="none"/>
          </c:marker>
          <c:cat>
            <c:strRef>
              <c:f>Production_Analysis!$B$10:$B$22</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Production_Analysis!$C$10:$C$22</c:f>
              <c:numCache>
                <c:formatCode>General</c:formatCode>
                <c:ptCount val="12"/>
                <c:pt idx="0">
                  <c:v>3353</c:v>
                </c:pt>
                <c:pt idx="1">
                  <c:v>1671</c:v>
                </c:pt>
                <c:pt idx="2">
                  <c:v>2295</c:v>
                </c:pt>
                <c:pt idx="3">
                  <c:v>4767</c:v>
                </c:pt>
                <c:pt idx="4">
                  <c:v>2151</c:v>
                </c:pt>
                <c:pt idx="5">
                  <c:v>5476</c:v>
                </c:pt>
                <c:pt idx="6">
                  <c:v>3463</c:v>
                </c:pt>
                <c:pt idx="7">
                  <c:v>3174</c:v>
                </c:pt>
                <c:pt idx="8">
                  <c:v>2191</c:v>
                </c:pt>
                <c:pt idx="9">
                  <c:v>2914</c:v>
                </c:pt>
                <c:pt idx="10">
                  <c:v>2829</c:v>
                </c:pt>
                <c:pt idx="11">
                  <c:v>3521</c:v>
                </c:pt>
              </c:numCache>
            </c:numRef>
          </c:val>
          <c:smooth val="0"/>
          <c:extLst>
            <c:ext xmlns:c16="http://schemas.microsoft.com/office/drawing/2014/chart" uri="{C3380CC4-5D6E-409C-BE32-E72D297353CC}">
              <c16:uniqueId val="{00000000-F973-4629-9DFE-4289D0FC526D}"/>
            </c:ext>
          </c:extLst>
        </c:ser>
        <c:dLbls>
          <c:showLegendKey val="0"/>
          <c:showVal val="0"/>
          <c:showCatName val="0"/>
          <c:showSerName val="0"/>
          <c:showPercent val="0"/>
          <c:showBubbleSize val="0"/>
        </c:dLbls>
        <c:smooth val="0"/>
        <c:axId val="110687696"/>
        <c:axId val="206947760"/>
      </c:lineChart>
      <c:catAx>
        <c:axId val="11068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47760"/>
        <c:crosses val="autoZero"/>
        <c:auto val="1"/>
        <c:lblAlgn val="ctr"/>
        <c:lblOffset val="100"/>
        <c:noMultiLvlLbl val="0"/>
      </c:catAx>
      <c:valAx>
        <c:axId val="20694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175260</xdr:colOff>
      <xdr:row>0</xdr:row>
      <xdr:rowOff>133350</xdr:rowOff>
    </xdr:from>
    <xdr:to>
      <xdr:col>12</xdr:col>
      <xdr:colOff>480060</xdr:colOff>
      <xdr:row>15</xdr:row>
      <xdr:rowOff>133350</xdr:rowOff>
    </xdr:to>
    <xdr:graphicFrame macro="">
      <xdr:nvGraphicFramePr>
        <xdr:cNvPr id="2" name="Chart 1">
          <a:extLst>
            <a:ext uri="{FF2B5EF4-FFF2-40B4-BE49-F238E27FC236}">
              <a16:creationId xmlns:a16="http://schemas.microsoft.com/office/drawing/2014/main" id="{97264E5D-F202-FA5F-7640-5813A5303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xdr:colOff>
      <xdr:row>17</xdr:row>
      <xdr:rowOff>0</xdr:rowOff>
    </xdr:from>
    <xdr:to>
      <xdr:col>5</xdr:col>
      <xdr:colOff>586740</xdr:colOff>
      <xdr:row>35</xdr:row>
      <xdr:rowOff>0</xdr:rowOff>
    </xdr:to>
    <xdr:graphicFrame macro="">
      <xdr:nvGraphicFramePr>
        <xdr:cNvPr id="3" name="Chart 2">
          <a:extLst>
            <a:ext uri="{FF2B5EF4-FFF2-40B4-BE49-F238E27FC236}">
              <a16:creationId xmlns:a16="http://schemas.microsoft.com/office/drawing/2014/main" id="{313C7EC8-DDED-07E9-982F-E2F093C98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17</xdr:row>
      <xdr:rowOff>7620</xdr:rowOff>
    </xdr:from>
    <xdr:to>
      <xdr:col>13</xdr:col>
      <xdr:colOff>7620</xdr:colOff>
      <xdr:row>34</xdr:row>
      <xdr:rowOff>175260</xdr:rowOff>
    </xdr:to>
    <xdr:graphicFrame macro="">
      <xdr:nvGraphicFramePr>
        <xdr:cNvPr id="4" name="Chart 3">
          <a:extLst>
            <a:ext uri="{FF2B5EF4-FFF2-40B4-BE49-F238E27FC236}">
              <a16:creationId xmlns:a16="http://schemas.microsoft.com/office/drawing/2014/main" id="{08BE1B94-ADC2-67B5-DB2B-1F43933C9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35</xdr:row>
      <xdr:rowOff>3810</xdr:rowOff>
    </xdr:from>
    <xdr:to>
      <xdr:col>13</xdr:col>
      <xdr:colOff>15240</xdr:colOff>
      <xdr:row>59</xdr:row>
      <xdr:rowOff>174172</xdr:rowOff>
    </xdr:to>
    <xdr:graphicFrame macro="">
      <xdr:nvGraphicFramePr>
        <xdr:cNvPr id="5" name="Chart 4">
          <a:extLst>
            <a:ext uri="{FF2B5EF4-FFF2-40B4-BE49-F238E27FC236}">
              <a16:creationId xmlns:a16="http://schemas.microsoft.com/office/drawing/2014/main" id="{19FBB0A9-38DC-08B5-015C-2FBF19474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274320</xdr:colOff>
      <xdr:row>67</xdr:row>
      <xdr:rowOff>11430</xdr:rowOff>
    </xdr:from>
    <xdr:to>
      <xdr:col>12</xdr:col>
      <xdr:colOff>579120</xdr:colOff>
      <xdr:row>82</xdr:row>
      <xdr:rowOff>11430</xdr:rowOff>
    </xdr:to>
    <xdr:graphicFrame macro="">
      <xdr:nvGraphicFramePr>
        <xdr:cNvPr id="6" name="Chart 5">
          <a:extLst>
            <a:ext uri="{FF2B5EF4-FFF2-40B4-BE49-F238E27FC236}">
              <a16:creationId xmlns:a16="http://schemas.microsoft.com/office/drawing/2014/main" id="{BD57D134-006B-E2D7-97A4-E71791C9A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1001485</xdr:colOff>
      <xdr:row>89</xdr:row>
      <xdr:rowOff>16326</xdr:rowOff>
    </xdr:from>
    <xdr:to>
      <xdr:col>13</xdr:col>
      <xdr:colOff>348342</xdr:colOff>
      <xdr:row>117</xdr:row>
      <xdr:rowOff>174171</xdr:rowOff>
    </xdr:to>
    <xdr:graphicFrame macro="">
      <xdr:nvGraphicFramePr>
        <xdr:cNvPr id="7" name="Chart 6">
          <a:extLst>
            <a:ext uri="{FF2B5EF4-FFF2-40B4-BE49-F238E27FC236}">
              <a16:creationId xmlns:a16="http://schemas.microsoft.com/office/drawing/2014/main" id="{382E137D-6570-AD9F-FA4C-5A0698D96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228600</xdr:colOff>
      <xdr:row>88</xdr:row>
      <xdr:rowOff>174172</xdr:rowOff>
    </xdr:from>
    <xdr:to>
      <xdr:col>27</xdr:col>
      <xdr:colOff>533400</xdr:colOff>
      <xdr:row>115</xdr:row>
      <xdr:rowOff>10886</xdr:rowOff>
    </xdr:to>
    <xdr:graphicFrame macro="">
      <xdr:nvGraphicFramePr>
        <xdr:cNvPr id="8" name="Chart 7">
          <a:extLst>
            <a:ext uri="{FF2B5EF4-FFF2-40B4-BE49-F238E27FC236}">
              <a16:creationId xmlns:a16="http://schemas.microsoft.com/office/drawing/2014/main" id="{DB5DFC08-DF3A-2B72-E043-BC4883505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65314</xdr:colOff>
      <xdr:row>7</xdr:row>
      <xdr:rowOff>169182</xdr:rowOff>
    </xdr:from>
    <xdr:to>
      <xdr:col>11</xdr:col>
      <xdr:colOff>1393371</xdr:colOff>
      <xdr:row>21</xdr:row>
      <xdr:rowOff>169182</xdr:rowOff>
    </xdr:to>
    <xdr:graphicFrame macro="">
      <xdr:nvGraphicFramePr>
        <xdr:cNvPr id="3" name="Chart 2">
          <a:extLst>
            <a:ext uri="{FF2B5EF4-FFF2-40B4-BE49-F238E27FC236}">
              <a16:creationId xmlns:a16="http://schemas.microsoft.com/office/drawing/2014/main" id="{B8A671B3-6B0B-FBB5-C6FC-5A86F48E3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xdr:colOff>
      <xdr:row>23</xdr:row>
      <xdr:rowOff>182033</xdr:rowOff>
    </xdr:from>
    <xdr:to>
      <xdr:col>5</xdr:col>
      <xdr:colOff>1132115</xdr:colOff>
      <xdr:row>38</xdr:row>
      <xdr:rowOff>131233</xdr:rowOff>
    </xdr:to>
    <xdr:graphicFrame macro="">
      <xdr:nvGraphicFramePr>
        <xdr:cNvPr id="4" name="Chart 3">
          <a:extLst>
            <a:ext uri="{FF2B5EF4-FFF2-40B4-BE49-F238E27FC236}">
              <a16:creationId xmlns:a16="http://schemas.microsoft.com/office/drawing/2014/main" id="{83F8C4F1-35C7-FBBF-001B-DC8F76C2D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55638</xdr:colOff>
      <xdr:row>24</xdr:row>
      <xdr:rowOff>36891</xdr:rowOff>
    </xdr:from>
    <xdr:to>
      <xdr:col>12</xdr:col>
      <xdr:colOff>10886</xdr:colOff>
      <xdr:row>38</xdr:row>
      <xdr:rowOff>172357</xdr:rowOff>
    </xdr:to>
    <xdr:graphicFrame macro="">
      <xdr:nvGraphicFramePr>
        <xdr:cNvPr id="5" name="Chart 4">
          <a:extLst>
            <a:ext uri="{FF2B5EF4-FFF2-40B4-BE49-F238E27FC236}">
              <a16:creationId xmlns:a16="http://schemas.microsoft.com/office/drawing/2014/main" id="{0FF12388-AF3D-45F3-68A1-9A6E2AF0E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33867</xdr:colOff>
      <xdr:row>40</xdr:row>
      <xdr:rowOff>12700</xdr:rowOff>
    </xdr:from>
    <xdr:to>
      <xdr:col>6</xdr:col>
      <xdr:colOff>3266</xdr:colOff>
      <xdr:row>54</xdr:row>
      <xdr:rowOff>148167</xdr:rowOff>
    </xdr:to>
    <xdr:graphicFrame macro="">
      <xdr:nvGraphicFramePr>
        <xdr:cNvPr id="6" name="Chart 5">
          <a:extLst>
            <a:ext uri="{FF2B5EF4-FFF2-40B4-BE49-F238E27FC236}">
              <a16:creationId xmlns:a16="http://schemas.microsoft.com/office/drawing/2014/main" id="{1237FD5C-36B2-5D9A-192B-15C797E73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130629</xdr:colOff>
      <xdr:row>40</xdr:row>
      <xdr:rowOff>15239</xdr:rowOff>
    </xdr:from>
    <xdr:to>
      <xdr:col>12</xdr:col>
      <xdr:colOff>10886</xdr:colOff>
      <xdr:row>55</xdr:row>
      <xdr:rowOff>15240</xdr:rowOff>
    </xdr:to>
    <xdr:graphicFrame macro="">
      <xdr:nvGraphicFramePr>
        <xdr:cNvPr id="7" name="Chart 6">
          <a:extLst>
            <a:ext uri="{FF2B5EF4-FFF2-40B4-BE49-F238E27FC236}">
              <a16:creationId xmlns:a16="http://schemas.microsoft.com/office/drawing/2014/main" id="{D70685BB-DA64-BED4-D0C2-6682BA6D3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8</xdr:row>
      <xdr:rowOff>952</xdr:rowOff>
    </xdr:from>
    <xdr:to>
      <xdr:col>0</xdr:col>
      <xdr:colOff>1355725</xdr:colOff>
      <xdr:row>22</xdr:row>
      <xdr:rowOff>26352</xdr:rowOff>
    </xdr:to>
    <mc:AlternateContent xmlns:mc="http://schemas.openxmlformats.org/markup-compatibility/2006">
      <mc:Choice xmlns:a14="http://schemas.microsoft.com/office/drawing/2010/main" Requires="a14">
        <xdr:graphicFrame macro="">
          <xdr:nvGraphicFramePr>
            <xdr:cNvPr id="8" name="Product_ID">
              <a:extLst>
                <a:ext uri="{FF2B5EF4-FFF2-40B4-BE49-F238E27FC236}">
                  <a16:creationId xmlns:a16="http://schemas.microsoft.com/office/drawing/2014/main" id="{8AA4D02B-B8C9-1093-FEC8-3C3AF5E8D21B}"/>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0" y="1662112"/>
              <a:ext cx="1355725" cy="2585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7</xdr:row>
      <xdr:rowOff>170983</xdr:rowOff>
    </xdr:from>
    <xdr:to>
      <xdr:col>6</xdr:col>
      <xdr:colOff>632460</xdr:colOff>
      <xdr:row>22</xdr:row>
      <xdr:rowOff>0</xdr:rowOff>
    </xdr:to>
    <xdr:graphicFrame macro="">
      <xdr:nvGraphicFramePr>
        <xdr:cNvPr id="11" name="Chart 10">
          <a:extLst>
            <a:ext uri="{FF2B5EF4-FFF2-40B4-BE49-F238E27FC236}">
              <a16:creationId xmlns:a16="http://schemas.microsoft.com/office/drawing/2014/main" id="{F9AA72E1-4620-9AB2-31A2-AC9404B89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TAB ALAM" refreshedDate="46210.60431909722" createdVersion="8" refreshedVersion="8" minRefreshableVersion="3" recordCount="700" xr:uid="{750B70CA-C04A-476C-A2BF-9FBB68F9EA43}">
  <cacheSource type="worksheet">
    <worksheetSource name="tblPurchases"/>
  </cacheSource>
  <cacheFields count="12">
    <cacheField name="Purchase_ID" numFmtId="0">
      <sharedItems/>
    </cacheField>
    <cacheField name="Purchase_Date" numFmtId="164">
      <sharedItems containsSemiMixedTypes="0" containsNonDate="0" containsDate="1" containsString="0" minDate="2025-01-01T00:00:00" maxDate="2026-01-01T00:00:00" count="307">
        <d v="2025-01-01T00:00:00"/>
        <d v="2025-01-02T00:00:00"/>
        <d v="2025-01-04T00:00:00"/>
        <d v="2025-01-06T00:00:00"/>
        <d v="2025-01-08T00:00:00"/>
        <d v="2025-01-09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8T00:00:00"/>
        <d v="2025-01-29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6T00:00:00"/>
        <d v="2025-03-08T00:00:00"/>
        <d v="2025-03-09T00:00:00"/>
        <d v="2025-03-10T00:00:00"/>
        <d v="2025-03-11T00:00:00"/>
        <d v="2025-03-12T00:00:00"/>
        <d v="2025-03-13T00:00:00"/>
        <d v="2025-03-15T00:00:00"/>
        <d v="2025-03-16T00:00:00"/>
        <d v="2025-03-17T00:00:00"/>
        <d v="2025-03-18T00:00:00"/>
        <d v="2025-03-20T00:00:00"/>
        <d v="2025-03-23T00:00:00"/>
        <d v="2025-03-24T00:00:00"/>
        <d v="2025-03-25T00:00:00"/>
        <d v="2025-03-27T00:00:00"/>
        <d v="2025-03-28T00:00:00"/>
        <d v="2025-03-29T00:00:00"/>
        <d v="2025-03-30T00:00:00"/>
        <d v="2025-03-31T00:00:00"/>
        <d v="2025-04-01T00:00:00"/>
        <d v="2025-04-02T00:00:00"/>
        <d v="2025-04-03T00:00:00"/>
        <d v="2025-04-04T00:00:00"/>
        <d v="2025-04-05T00:00:00"/>
        <d v="2025-04-07T00:00:00"/>
        <d v="2025-04-08T00:00:00"/>
        <d v="2025-04-09T00:00:00"/>
        <d v="2025-04-10T00:00:00"/>
        <d v="2025-04-11T00:00:00"/>
        <d v="2025-04-12T00:00:00"/>
        <d v="2025-04-13T00:00:00"/>
        <d v="2025-04-15T00:00:00"/>
        <d v="2025-04-17T00:00:00"/>
        <d v="2025-04-18T00:00:00"/>
        <d v="2025-04-19T00:00:00"/>
        <d v="2025-04-20T00:00:00"/>
        <d v="2025-04-21T00:00:00"/>
        <d v="2025-04-23T00:00:00"/>
        <d v="2025-04-24T00:00:00"/>
        <d v="2025-04-25T00:00:00"/>
        <d v="2025-04-26T00:00:00"/>
        <d v="2025-04-27T00:00:00"/>
        <d v="2025-04-28T00:00:00"/>
        <d v="2025-04-30T00:00:00"/>
        <d v="2025-05-01T00:00:00"/>
        <d v="2025-05-02T00:00:00"/>
        <d v="2025-05-03T00:00:00"/>
        <d v="2025-05-04T00:00:00"/>
        <d v="2025-05-05T00:00:00"/>
        <d v="2025-05-06T00:00:00"/>
        <d v="2025-05-07T00:00:00"/>
        <d v="2025-05-08T00:00:00"/>
        <d v="2025-05-09T00:00:00"/>
        <d v="2025-05-11T00:00:00"/>
        <d v="2025-05-13T00:00:00"/>
        <d v="2025-05-14T00:00:00"/>
        <d v="2025-05-15T00:00:00"/>
        <d v="2025-05-16T00:00:00"/>
        <d v="2025-05-19T00:00:00"/>
        <d v="2025-05-20T00:00:00"/>
        <d v="2025-05-21T00:00:00"/>
        <d v="2025-05-22T00:00:00"/>
        <d v="2025-05-23T00:00:00"/>
        <d v="2025-05-24T00:00:00"/>
        <d v="2025-05-26T00:00:00"/>
        <d v="2025-05-27T00:00:00"/>
        <d v="2025-05-28T00:00:00"/>
        <d v="2025-05-29T00:00:00"/>
        <d v="2025-05-30T00:00:00"/>
        <d v="2025-05-31T00:00:00"/>
        <d v="2025-06-02T00:00:00"/>
        <d v="2025-06-04T00:00:00"/>
        <d v="2025-06-05T00:00:00"/>
        <d v="2025-06-06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6T00:00:00"/>
        <d v="2025-07-17T00:00:00"/>
        <d v="2025-07-19T00:00:00"/>
        <d v="2025-07-20T00:00:00"/>
        <d v="2025-07-21T00:00:00"/>
        <d v="2025-07-22T00:00:00"/>
        <d v="2025-07-23T00:00:00"/>
        <d v="2025-07-25T00:00:00"/>
        <d v="2025-07-26T00:00:00"/>
        <d v="2025-07-27T00:00:00"/>
        <d v="2025-07-28T00:00:00"/>
        <d v="2025-07-29T00:00:00"/>
        <d v="2025-07-31T00:00:00"/>
        <d v="2025-08-01T00:00:00"/>
        <d v="2025-08-03T00:00:00"/>
        <d v="2025-08-04T00:00:00"/>
        <d v="2025-08-05T00:00:00"/>
        <d v="2025-08-06T00:00:00"/>
        <d v="2025-08-07T00:00:00"/>
        <d v="2025-08-08T00:00:00"/>
        <d v="2025-08-09T00:00:00"/>
        <d v="2025-08-10T00:00:00"/>
        <d v="2025-08-11T00:00:00"/>
        <d v="2025-08-12T00:00:00"/>
        <d v="2025-08-14T00:00:00"/>
        <d v="2025-08-15T00:00:00"/>
        <d v="2025-08-18T00:00:00"/>
        <d v="2025-08-19T00:00:00"/>
        <d v="2025-08-20T00:00:00"/>
        <d v="2025-08-22T00:00:00"/>
        <d v="2025-08-23T00:00:00"/>
        <d v="2025-08-24T00:00:00"/>
        <d v="2025-08-25T00:00:00"/>
        <d v="2025-08-26T00:00:00"/>
        <d v="2025-08-27T00:00:00"/>
        <d v="2025-08-29T00:00:00"/>
        <d v="2025-08-30T00:00:00"/>
        <d v="2025-09-01T00:00:00"/>
        <d v="2025-09-02T00:00:00"/>
        <d v="2025-09-03T00:00:00"/>
        <d v="2025-09-04T00:00:00"/>
        <d v="2025-09-06T00:00:00"/>
        <d v="2025-09-07T00:00:00"/>
        <d v="2025-09-08T00:00:00"/>
        <d v="2025-09-09T00:00:00"/>
        <d v="2025-09-10T00:00:00"/>
        <d v="2025-09-11T00:00:00"/>
        <d v="2025-09-12T00:00:00"/>
        <d v="2025-09-13T00:00:00"/>
        <d v="2025-09-15T00:00:00"/>
        <d v="2025-09-16T00:00:00"/>
        <d v="2025-09-17T00:00:00"/>
        <d v="2025-09-18T00:00:00"/>
        <d v="2025-09-19T00:00:00"/>
        <d v="2025-09-20T00:00:00"/>
        <d v="2025-09-21T00:00:00"/>
        <d v="2025-09-23T00:00:00"/>
        <d v="2025-09-25T00:00:00"/>
        <d v="2025-09-26T00:00:00"/>
        <d v="2025-09-27T00:00:00"/>
        <d v="2025-09-28T00:00:00"/>
        <d v="2025-09-29T00:00:00"/>
        <d v="2025-09-30T00:00:00"/>
        <d v="2025-10-01T00:00:00"/>
        <d v="2025-10-02T00:00:00"/>
        <d v="2025-10-04T00:00:00"/>
        <d v="2025-10-05T00:00:00"/>
        <d v="2025-10-06T00:00:00"/>
        <d v="2025-10-07T00:00:00"/>
        <d v="2025-10-08T00:00:00"/>
        <d v="2025-10-09T00:00:00"/>
        <d v="2025-10-10T00:00:00"/>
        <d v="2025-10-11T00:00:00"/>
        <d v="2025-10-12T00:00:00"/>
        <d v="2025-10-13T00:00:00"/>
        <d v="2025-10-14T00:00:00"/>
        <d v="2025-10-15T00:00:00"/>
        <d v="2025-10-16T00:00:00"/>
        <d v="2025-10-18T00:00:00"/>
        <d v="2025-10-19T00:00:00"/>
        <d v="2025-10-20T00:00:00"/>
        <d v="2025-10-21T00:00:00"/>
        <d v="2025-10-22T00:00:00"/>
        <d v="2025-10-24T00:00:00"/>
        <d v="2025-10-25T00:00:00"/>
        <d v="2025-10-27T00:00:00"/>
        <d v="2025-10-29T00:00:00"/>
        <d v="2025-10-30T00:00:00"/>
        <d v="2025-10-31T00:00:00"/>
        <d v="2025-11-01T00:00:00"/>
        <d v="2025-11-02T00:00:00"/>
        <d v="2025-11-03T00:00:00"/>
        <d v="2025-11-04T00:00:00"/>
        <d v="2025-11-05T00:00:00"/>
        <d v="2025-11-07T00:00:00"/>
        <d v="2025-11-09T00:00:00"/>
        <d v="2025-11-10T00:00:00"/>
        <d v="2025-11-12T00:00:00"/>
        <d v="2025-11-13T00:00:00"/>
        <d v="2025-11-14T00:00:00"/>
        <d v="2025-11-15T00:00:00"/>
        <d v="2025-11-16T00:00:00"/>
        <d v="2025-11-17T00:00:00"/>
        <d v="2025-11-18T00:00:00"/>
        <d v="2025-11-19T00:00:00"/>
        <d v="2025-11-20T00:00:00"/>
        <d v="2025-11-21T00:00:00"/>
        <d v="2025-11-22T00:00:00"/>
        <d v="2025-11-23T00:00:00"/>
        <d v="2025-11-24T00:00:00"/>
        <d v="2025-11-27T00:00:00"/>
        <d v="2025-11-28T00:00:00"/>
        <d v="2025-11-29T00:00:00"/>
        <d v="2025-11-30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7T00:00:00"/>
        <d v="2025-12-18T00:00:00"/>
        <d v="2025-12-19T00:00:00"/>
        <d v="2025-12-21T00:00:00"/>
        <d v="2025-12-22T00:00:00"/>
        <d v="2025-12-24T00:00:00"/>
        <d v="2025-12-25T00:00:00"/>
        <d v="2025-12-26T00:00:00"/>
        <d v="2025-12-27T00:00:00"/>
        <d v="2025-12-28T00:00:00"/>
        <d v="2025-12-29T00:00:00"/>
        <d v="2025-12-30T00:00:00"/>
        <d v="2025-12-31T00:00:00"/>
      </sharedItems>
      <fieldGroup par="11"/>
    </cacheField>
    <cacheField name="Supplier_ID" numFmtId="0">
      <sharedItems count="28">
        <s v="S006"/>
        <s v="S005"/>
        <s v="S017"/>
        <s v="S016"/>
        <s v="S027"/>
        <s v="S004"/>
        <s v="S025"/>
        <s v="S011"/>
        <s v="S008"/>
        <s v="S003"/>
        <s v="S019"/>
        <s v="S028"/>
        <s v="S026"/>
        <s v="S007"/>
        <s v="S015"/>
        <s v="S013"/>
        <s v="S020"/>
        <s v="S009"/>
        <s v="S001"/>
        <s v="S021"/>
        <s v="S002"/>
        <s v="S010"/>
        <s v="S014"/>
        <s v="S023"/>
        <s v="S024"/>
        <s v="S018"/>
        <s v="S022"/>
        <s v="S012"/>
      </sharedItems>
    </cacheField>
    <cacheField name="Material_ID" numFmtId="0">
      <sharedItems count="25">
        <s v="RM005"/>
        <s v="RM014"/>
        <s v="RM020"/>
        <s v="RM025"/>
        <s v="RM021"/>
        <s v="RM024"/>
        <s v="RM011"/>
        <s v="RM012"/>
        <s v="RM010"/>
        <s v="RM003"/>
        <s v="RM018"/>
        <s v="RM006"/>
        <s v="RM015"/>
        <s v="RM004"/>
        <s v="RM017"/>
        <s v="RM008"/>
        <s v="RM019"/>
        <s v="RM013"/>
        <s v="RM023"/>
        <s v="RM022"/>
        <s v="RM002"/>
        <s v="RM007"/>
        <s v="RM009"/>
        <s v="RM001"/>
        <s v="RM016"/>
      </sharedItems>
    </cacheField>
    <cacheField name="Purchase_Quantity" numFmtId="0">
      <sharedItems containsSemiMixedTypes="0" containsString="0" containsNumber="1" containsInteger="1" minValue="33" maxValue="1338"/>
    </cacheField>
    <cacheField name="Unit_Cost" numFmtId="0">
      <sharedItems containsSemiMixedTypes="0" containsString="0" containsNumber="1" minValue="16.93" maxValue="1564.69"/>
    </cacheField>
    <cacheField name="Discount_Percent" numFmtId="0">
      <sharedItems containsSemiMixedTypes="0" containsString="0" containsNumber="1" containsInteger="1" minValue="0" maxValue="10"/>
    </cacheField>
    <cacheField name="GST_Percent" numFmtId="0">
      <sharedItems containsSemiMixedTypes="0" containsString="0" containsNumber="1" containsInteger="1" minValue="12" maxValue="18"/>
    </cacheField>
    <cacheField name="Delivery_Status" numFmtId="0">
      <sharedItems/>
    </cacheField>
    <cacheField name="Purchase_Value" numFmtId="0">
      <sharedItems containsSemiMixedTypes="0" containsString="0" containsNumber="1" minValue="1531.3233600000003" maxValue="1174886.9419999998"/>
    </cacheField>
    <cacheField name="Months (Purchase_Date)" numFmtId="0" databaseField="0">
      <fieldGroup base="1">
        <rangePr groupBy="months" startDate="2025-01-01T00:00:00" endDate="2026-01-01T00:00:00"/>
        <groupItems count="14">
          <s v="&lt;01/01/2025"/>
          <s v="Jan"/>
          <s v="Feb"/>
          <s v="Mar"/>
          <s v="Apr"/>
          <s v="Mei"/>
          <s v="Jun"/>
          <s v="Jul"/>
          <s v="Agu"/>
          <s v="Sep"/>
          <s v="Okt"/>
          <s v="Nov"/>
          <s v="Des"/>
          <s v="&gt;01/01/2026"/>
        </groupItems>
      </fieldGroup>
    </cacheField>
    <cacheField name="Years (Purchase_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TAB ALAM" refreshedDate="46212.565135416669" createdVersion="8" refreshedVersion="8" minRefreshableVersion="3" recordCount="500" xr:uid="{B90E1E08-5165-47ED-B5D8-FFC7F974750D}">
  <cacheSource type="worksheet">
    <worksheetSource name="tblProduction"/>
  </cacheSource>
  <cacheFields count="10">
    <cacheField name="Production_ID" numFmtId="0">
      <sharedItems/>
    </cacheField>
    <cacheField name="Production_Date" numFmtId="164">
      <sharedItems containsSemiMixedTypes="0" containsNonDate="0" containsDate="1" containsString="0" minDate="2025-01-01T00:00:00" maxDate="2026-01-01T00:00:00" count="279">
        <d v="2025-01-01T00:00:00"/>
        <d v="2025-01-02T00:00:00"/>
        <d v="2025-01-03T00:00:00"/>
        <d v="2025-01-04T00:00:00"/>
        <d v="2025-01-06T00:00:00"/>
        <d v="2025-01-07T00:00:00"/>
        <d v="2025-01-08T00:00:00"/>
        <d v="2025-01-10T00:00:00"/>
        <d v="2025-01-11T00:00:00"/>
        <d v="2025-01-12T00:00:00"/>
        <d v="2025-01-13T00:00:00"/>
        <d v="2025-01-14T00:00:00"/>
        <d v="2025-01-15T00:00:00"/>
        <d v="2025-01-16T00:00:00"/>
        <d v="2025-01-17T00:00:00"/>
        <d v="2025-01-19T00:00:00"/>
        <d v="2025-01-20T00:00:00"/>
        <d v="2025-01-22T00:00:00"/>
        <d v="2025-01-23T00:00:00"/>
        <d v="2025-01-24T00:00:00"/>
        <d v="2025-01-27T00:00:00"/>
        <d v="2025-01-28T00:00:00"/>
        <d v="2025-01-29T00:00:00"/>
        <d v="2025-01-30T00:00:00"/>
        <d v="2025-01-31T00:00:00"/>
        <d v="2025-02-02T00:00:00"/>
        <d v="2025-02-05T00:00:00"/>
        <d v="2025-02-07T00:00:00"/>
        <d v="2025-02-08T00:00:00"/>
        <d v="2025-02-09T00:00:00"/>
        <d v="2025-02-12T00:00:00"/>
        <d v="2025-02-13T00:00:00"/>
        <d v="2025-02-15T00:00:00"/>
        <d v="2025-02-16T00:00:00"/>
        <d v="2025-02-17T00:00:00"/>
        <d v="2025-02-18T00:00:00"/>
        <d v="2025-02-19T00:00:00"/>
        <d v="2025-02-20T00:00:00"/>
        <d v="2025-02-22T00:00:00"/>
        <d v="2025-02-24T00:00:00"/>
        <d v="2025-02-25T00:00:00"/>
        <d v="2025-02-26T00:00:00"/>
        <d v="2025-02-27T00:00:00"/>
        <d v="2025-02-28T00:00:00"/>
        <d v="2025-03-01T00:00:00"/>
        <d v="2025-03-02T00:00:00"/>
        <d v="2025-03-04T00:00:00"/>
        <d v="2025-03-05T00:00:00"/>
        <d v="2025-03-06T00:00:00"/>
        <d v="2025-03-07T00:00:00"/>
        <d v="2025-03-08T00:00:00"/>
        <d v="2025-03-10T00:00:00"/>
        <d v="2025-03-11T00:00:00"/>
        <d v="2025-03-12T00:00:00"/>
        <d v="2025-03-13T00:00:00"/>
        <d v="2025-03-15T00:00:00"/>
        <d v="2025-03-17T00:00:00"/>
        <d v="2025-03-19T00:00:00"/>
        <d v="2025-03-20T00:00:00"/>
        <d v="2025-03-23T00:00:00"/>
        <d v="2025-03-25T00:00:00"/>
        <d v="2025-03-26T00:00:00"/>
        <d v="2025-03-27T00:00:00"/>
        <d v="2025-03-29T00:00:00"/>
        <d v="2025-03-30T00:00:00"/>
        <d v="2025-04-01T00:00:00"/>
        <d v="2025-04-02T00:00:00"/>
        <d v="2025-04-03T00:00:00"/>
        <d v="2025-04-04T00:00:00"/>
        <d v="2025-04-05T00:00:00"/>
        <d v="2025-04-08T00:00:00"/>
        <d v="2025-04-10T00:00:00"/>
        <d v="2025-04-11T00:00:00"/>
        <d v="2025-04-12T00:00:00"/>
        <d v="2025-04-13T00:00:00"/>
        <d v="2025-04-14T00:00:00"/>
        <d v="2025-04-15T00:00:00"/>
        <d v="2025-04-16T00:00:00"/>
        <d v="2025-04-18T00:00:00"/>
        <d v="2025-04-20T00:00:00"/>
        <d v="2025-04-21T00:00:00"/>
        <d v="2025-04-22T00:00:00"/>
        <d v="2025-04-25T00:00:00"/>
        <d v="2025-04-27T00:00:00"/>
        <d v="2025-04-30T00:00:00"/>
        <d v="2025-05-01T00:00:00"/>
        <d v="2025-05-02T00:00:00"/>
        <d v="2025-05-04T00:00:00"/>
        <d v="2025-05-05T00:00:00"/>
        <d v="2025-05-06T00:00:00"/>
        <d v="2025-05-07T00:00:00"/>
        <d v="2025-05-08T00:00:00"/>
        <d v="2025-05-09T00:00:00"/>
        <d v="2025-05-11T00:00:00"/>
        <d v="2025-05-13T00:00:00"/>
        <d v="2025-05-14T00:00:00"/>
        <d v="2025-05-16T00:00:00"/>
        <d v="2025-05-17T00:00:00"/>
        <d v="2025-05-18T00:00:00"/>
        <d v="2025-05-20T00:00:00"/>
        <d v="2025-05-21T00:00:00"/>
        <d v="2025-05-23T00:00:00"/>
        <d v="2025-05-25T00:00:00"/>
        <d v="2025-05-26T00:00:00"/>
        <d v="2025-05-28T00:00:00"/>
        <d v="2025-05-29T00:00:00"/>
        <d v="2025-05-30T00:00:00"/>
        <d v="2025-05-31T00:00:00"/>
        <d v="2025-06-01T00:00:00"/>
        <d v="2025-06-03T00:00:00"/>
        <d v="2025-06-04T00:00:00"/>
        <d v="2025-06-05T00:00:00"/>
        <d v="2025-06-06T00:00:00"/>
        <d v="2025-06-07T00:00:00"/>
        <d v="2025-06-08T00:00:00"/>
        <d v="2025-06-09T00:00:00"/>
        <d v="2025-06-10T00:00:00"/>
        <d v="2025-06-12T00:00:00"/>
        <d v="2025-06-13T00:00:00"/>
        <d v="2025-06-14T00:00:00"/>
        <d v="2025-06-15T00:00:00"/>
        <d v="2025-06-16T00:00:00"/>
        <d v="2025-06-17T00:00:00"/>
        <d v="2025-06-18T00:00:00"/>
        <d v="2025-06-19T00:00:00"/>
        <d v="2025-06-21T00:00:00"/>
        <d v="2025-06-22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6T00:00:00"/>
        <d v="2025-07-27T00:00:00"/>
        <d v="2025-07-28T00:00:00"/>
        <d v="2025-07-29T00:00:00"/>
        <d v="2025-07-30T00:00:00"/>
        <d v="2025-07-31T00:00:00"/>
        <d v="2025-08-01T00:00:00"/>
        <d v="2025-08-02T00:00:00"/>
        <d v="2025-08-03T00:00:00"/>
        <d v="2025-08-05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4T00:00:00"/>
        <d v="2025-08-26T00:00:00"/>
        <d v="2025-08-27T00:00:00"/>
        <d v="2025-08-28T00:00:00"/>
        <d v="2025-08-29T00:00:00"/>
        <d v="2025-08-30T00:00:00"/>
        <d v="2025-09-01T00:00:00"/>
        <d v="2025-09-03T00:00:00"/>
        <d v="2025-09-04T00:00:00"/>
        <d v="2025-09-06T00:00:00"/>
        <d v="2025-09-07T00:00:00"/>
        <d v="2025-09-11T00:00:00"/>
        <d v="2025-09-12T00:00:00"/>
        <d v="2025-09-14T00:00:00"/>
        <d v="2025-09-15T00:00:00"/>
        <d v="2025-09-16T00:00:00"/>
        <d v="2025-09-18T00:00:00"/>
        <d v="2025-09-19T00:00:00"/>
        <d v="2025-09-20T00:00:00"/>
        <d v="2025-09-21T00:00:00"/>
        <d v="2025-09-22T00:00:00"/>
        <d v="2025-09-24T00:00:00"/>
        <d v="2025-09-26T00:00:00"/>
        <d v="2025-09-27T00:00:00"/>
        <d v="2025-09-29T00:00:00"/>
        <d v="2025-09-30T00:00:00"/>
        <d v="2025-10-01T00:00:00"/>
        <d v="2025-10-03T00:00:00"/>
        <d v="2025-10-04T00:00:00"/>
        <d v="2025-10-05T00:00:00"/>
        <d v="2025-10-06T00:00:00"/>
        <d v="2025-10-07T00:00:00"/>
        <d v="2025-10-09T00:00:00"/>
        <d v="2025-10-11T00:00:00"/>
        <d v="2025-10-12T00:00:00"/>
        <d v="2025-10-13T00:00:00"/>
        <d v="2025-10-17T00:00:00"/>
        <d v="2025-10-18T00:00:00"/>
        <d v="2025-10-20T00:00:00"/>
        <d v="2025-10-21T00:00:00"/>
        <d v="2025-10-22T00:00:00"/>
        <d v="2025-10-23T00:00:00"/>
        <d v="2025-10-25T00:00:00"/>
        <d v="2025-10-27T00:00:00"/>
        <d v="2025-10-28T00:00:00"/>
        <d v="2025-10-29T00:00:00"/>
        <d v="2025-10-30T00:00:00"/>
        <d v="2025-11-01T00:00:00"/>
        <d v="2025-11-02T00:00:00"/>
        <d v="2025-11-03T00:00:00"/>
        <d v="2025-11-04T00:00:00"/>
        <d v="2025-11-05T00:00:00"/>
        <d v="2025-11-06T00:00:00"/>
        <d v="2025-11-07T00:00:00"/>
        <d v="2025-11-11T00:00:00"/>
        <d v="2025-11-12T00:00:00"/>
        <d v="2025-11-15T00:00:00"/>
        <d v="2025-11-16T00:00:00"/>
        <d v="2025-11-17T00:00:00"/>
        <d v="2025-11-18T00:00:00"/>
        <d v="2025-11-19T00:00:00"/>
        <d v="2025-11-21T00:00:00"/>
        <d v="2025-11-22T00:00:00"/>
        <d v="2025-11-24T00:00:00"/>
        <d v="2025-11-25T00:00:00"/>
        <d v="2025-11-26T00:00:00"/>
        <d v="2025-11-27T00:00:00"/>
        <d v="2025-11-28T00:00:00"/>
        <d v="2025-11-29T00:00:00"/>
        <d v="2025-11-30T00:00:00"/>
        <d v="2025-12-01T00:00:00"/>
        <d v="2025-12-02T00:00:00"/>
        <d v="2025-12-04T00:00:00"/>
        <d v="2025-12-05T00:00:00"/>
        <d v="2025-12-06T00:00:00"/>
        <d v="2025-12-07T00:00:00"/>
        <d v="2025-12-08T00:00:00"/>
        <d v="2025-12-09T00:00:00"/>
        <d v="2025-12-11T00:00:00"/>
        <d v="2025-12-13T00:00:00"/>
        <d v="2025-12-14T00:00:00"/>
        <d v="2025-12-15T00:00:00"/>
        <d v="2025-12-16T00:00:00"/>
        <d v="2025-12-17T00:00:00"/>
        <d v="2025-12-18T00:00:00"/>
        <d v="2025-12-19T00:00:00"/>
        <d v="2025-12-20T00:00:00"/>
        <d v="2025-12-21T00:00:00"/>
        <d v="2025-12-22T00:00:00"/>
        <d v="2025-12-23T00:00:00"/>
        <d v="2025-12-26T00:00:00"/>
        <d v="2025-12-27T00:00:00"/>
        <d v="2025-12-28T00:00:00"/>
        <d v="2025-12-29T00:00:00"/>
        <d v="2025-12-30T00:00:00"/>
        <d v="2025-12-31T00:00:00"/>
      </sharedItems>
      <fieldGroup par="9"/>
    </cacheField>
    <cacheField name="Product_ID" numFmtId="0">
      <sharedItems count="12">
        <s v="P005"/>
        <s v="P003"/>
        <s v="P004"/>
        <s v="P011"/>
        <s v="P002"/>
        <s v="P007"/>
        <s v="P001"/>
        <s v="P010"/>
        <s v="P012"/>
        <s v="P009"/>
        <s v="P006"/>
        <s v="P008"/>
      </sharedItems>
    </cacheField>
    <cacheField name="Planned_Quantity" numFmtId="0">
      <sharedItems containsSemiMixedTypes="0" containsString="0" containsNumber="1" containsInteger="1" minValue="84" maxValue="500"/>
    </cacheField>
    <cacheField name="Produced_Quantity" numFmtId="0">
      <sharedItems containsSemiMixedTypes="0" containsString="0" containsNumber="1" containsInteger="1" minValue="79" maxValue="491"/>
    </cacheField>
    <cacheField name="Rejected_Quantity" numFmtId="0">
      <sharedItems containsSemiMixedTypes="0" containsString="0" containsNumber="1" containsInteger="1" minValue="0" maxValue="16"/>
    </cacheField>
    <cacheField name="Shift" numFmtId="0">
      <sharedItems count="3">
        <s v="Evening"/>
        <s v="Night"/>
        <s v="Morning"/>
      </sharedItems>
    </cacheField>
    <cacheField name="Production_Line" numFmtId="0">
      <sharedItems count="4">
        <s v="Line 2"/>
        <s v="Line 1"/>
        <s v="Line 5"/>
        <s v="Line 4"/>
      </sharedItems>
    </cacheField>
    <cacheField name="Days (Production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ei"/>
          <s v="02-Mei"/>
          <s v="03-Mei"/>
          <s v="04-Mei"/>
          <s v="05-Mei"/>
          <s v="06-Mei"/>
          <s v="07-Mei"/>
          <s v="08-Mei"/>
          <s v="09-Mei"/>
          <s v="10-Mei"/>
          <s v="11-Mei"/>
          <s v="12-Mei"/>
          <s v="13-Mei"/>
          <s v="14-Mei"/>
          <s v="15-Mei"/>
          <s v="16-Mei"/>
          <s v="17-Mei"/>
          <s v="18-Mei"/>
          <s v="19-Mei"/>
          <s v="20-Mei"/>
          <s v="21-Mei"/>
          <s v="22-Mei"/>
          <s v="23-Mei"/>
          <s v="24-Mei"/>
          <s v="25-Mei"/>
          <s v="26-Mei"/>
          <s v="27-Mei"/>
          <s v="28-Mei"/>
          <s v="29-Mei"/>
          <s v="30-Mei"/>
          <s v="31-Me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u"/>
          <s v="02-Agu"/>
          <s v="03-Agu"/>
          <s v="04-Agu"/>
          <s v="05-Agu"/>
          <s v="06-Agu"/>
          <s v="07-Agu"/>
          <s v="08-Agu"/>
          <s v="09-Agu"/>
          <s v="10-Agu"/>
          <s v="11-Agu"/>
          <s v="12-Agu"/>
          <s v="13-Agu"/>
          <s v="14-Agu"/>
          <s v="15-Agu"/>
          <s v="16-Agu"/>
          <s v="17-Agu"/>
          <s v="18-Agu"/>
          <s v="19-Agu"/>
          <s v="20-Agu"/>
          <s v="21-Agu"/>
          <s v="22-Agu"/>
          <s v="23-Agu"/>
          <s v="24-Agu"/>
          <s v="25-Agu"/>
          <s v="26-Agu"/>
          <s v="27-Agu"/>
          <s v="28-Agu"/>
          <s v="29-Agu"/>
          <s v="30-Agu"/>
          <s v="31-Agu"/>
          <s v="01-Sep"/>
          <s v="02-Sep"/>
          <s v="03-Sep"/>
          <s v="04-Sep"/>
          <s v="05-Sep"/>
          <s v="06-Sep"/>
          <s v="07-Sep"/>
          <s v="08-Sep"/>
          <s v="09-Sep"/>
          <s v="10-Sep"/>
          <s v="11-Sep"/>
          <s v="12-Sep"/>
          <s v="13-Sep"/>
          <s v="14-Sep"/>
          <s v="15-Sep"/>
          <s v="16-Sep"/>
          <s v="17-Sep"/>
          <s v="18-Sep"/>
          <s v="19-Sep"/>
          <s v="20-Sep"/>
          <s v="21-Sep"/>
          <s v="22-Sep"/>
          <s v="23-Sep"/>
          <s v="24-Sep"/>
          <s v="25-Sep"/>
          <s v="26-Sep"/>
          <s v="27-Sep"/>
          <s v="28-Sep"/>
          <s v="29-Sep"/>
          <s v="30-Sep"/>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s"/>
          <s v="02-Des"/>
          <s v="03-Des"/>
          <s v="04-Des"/>
          <s v="05-Des"/>
          <s v="06-Des"/>
          <s v="07-Des"/>
          <s v="08-Des"/>
          <s v="09-Des"/>
          <s v="10-Des"/>
          <s v="11-Des"/>
          <s v="12-Des"/>
          <s v="13-Des"/>
          <s v="14-Des"/>
          <s v="15-Des"/>
          <s v="16-Des"/>
          <s v="17-Des"/>
          <s v="18-Des"/>
          <s v="19-Des"/>
          <s v="20-Des"/>
          <s v="21-Des"/>
          <s v="22-Des"/>
          <s v="23-Des"/>
          <s v="24-Des"/>
          <s v="25-Des"/>
          <s v="26-Des"/>
          <s v="27-Des"/>
          <s v="28-Des"/>
          <s v="29-Des"/>
          <s v="30-Des"/>
          <s v="31-Des"/>
          <s v="&gt;01/01/2026"/>
        </groupItems>
      </fieldGroup>
    </cacheField>
    <cacheField name="Months (Production_Date)" numFmtId="0" databaseField="0">
      <fieldGroup base="1">
        <rangePr groupBy="months" startDate="2025-01-01T00:00:00" endDate="2026-01-01T00:00:00"/>
        <groupItems count="14">
          <s v="&lt;01/01/2025"/>
          <s v="Jan"/>
          <s v="Feb"/>
          <s v="Mar"/>
          <s v="Apr"/>
          <s v="Mei"/>
          <s v="Jun"/>
          <s v="Jul"/>
          <s v="Agu"/>
          <s v="Sep"/>
          <s v="Okt"/>
          <s v="Nov"/>
          <s v="Des"/>
          <s v="&gt;01/01/2026"/>
        </groupItems>
      </fieldGroup>
    </cacheField>
  </cacheFields>
  <extLst>
    <ext xmlns:x14="http://schemas.microsoft.com/office/spreadsheetml/2009/9/main" uri="{725AE2AE-9491-48be-B2B4-4EB974FC3084}">
      <x14:pivotCacheDefinition pivotCacheId="1035513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PUR0575"/>
    <x v="0"/>
    <x v="0"/>
    <x v="0"/>
    <n v="122"/>
    <n v="429.99"/>
    <n v="0"/>
    <n v="18"/>
    <s v="Delivered"/>
    <n v="61901.360399999998"/>
  </r>
  <r>
    <s v="PUR0463"/>
    <x v="0"/>
    <x v="1"/>
    <x v="1"/>
    <n v="232"/>
    <n v="1439.59"/>
    <n v="3"/>
    <n v="18"/>
    <s v="Delivered"/>
    <n v="382279.09364799998"/>
  </r>
  <r>
    <s v="PUR0637"/>
    <x v="0"/>
    <x v="2"/>
    <x v="2"/>
    <n v="80"/>
    <n v="370.94"/>
    <n v="0"/>
    <n v="18"/>
    <s v="Delivered"/>
    <n v="35016.735999999997"/>
  </r>
  <r>
    <s v="PUR0639"/>
    <x v="0"/>
    <x v="3"/>
    <x v="0"/>
    <n v="439"/>
    <n v="432.72"/>
    <n v="3"/>
    <n v="18"/>
    <s v="Delivered"/>
    <n v="217432.88596799999"/>
  </r>
  <r>
    <s v="PUR0070"/>
    <x v="1"/>
    <x v="4"/>
    <x v="3"/>
    <n v="389"/>
    <n v="33.58"/>
    <n v="2"/>
    <n v="12"/>
    <s v="Partial"/>
    <n v="14337.531712000002"/>
  </r>
  <r>
    <s v="PUR0112"/>
    <x v="1"/>
    <x v="5"/>
    <x v="4"/>
    <n v="666"/>
    <n v="34.31"/>
    <n v="5"/>
    <n v="18"/>
    <s v="Delivered"/>
    <n v="25615.365659999999"/>
  </r>
  <r>
    <s v="PUR0118"/>
    <x v="1"/>
    <x v="6"/>
    <x v="5"/>
    <n v="174"/>
    <n v="18.22"/>
    <n v="0"/>
    <n v="12"/>
    <s v="Delivered"/>
    <n v="3550.7136"/>
  </r>
  <r>
    <s v="PUR0437"/>
    <x v="2"/>
    <x v="7"/>
    <x v="6"/>
    <n v="144"/>
    <n v="127.92"/>
    <n v="0"/>
    <n v="18"/>
    <s v="Delivered"/>
    <n v="21736.166399999998"/>
  </r>
  <r>
    <s v="PUR0595"/>
    <x v="3"/>
    <x v="8"/>
    <x v="7"/>
    <n v="115"/>
    <n v="89.87"/>
    <n v="5"/>
    <n v="18"/>
    <s v="Delivered"/>
    <n v="11585.591050000001"/>
  </r>
  <r>
    <s v="PUR0650"/>
    <x v="3"/>
    <x v="9"/>
    <x v="4"/>
    <n v="418"/>
    <n v="33.799999999999997"/>
    <n v="5"/>
    <n v="18"/>
    <s v="Delayed"/>
    <n v="15837.936399999999"/>
  </r>
  <r>
    <s v="PUR0191"/>
    <x v="4"/>
    <x v="10"/>
    <x v="1"/>
    <n v="541"/>
    <n v="1429.29"/>
    <n v="5"/>
    <n v="18"/>
    <s v="Delayed"/>
    <n v="866808.64268999989"/>
  </r>
  <r>
    <s v="PUR0694"/>
    <x v="4"/>
    <x v="1"/>
    <x v="0"/>
    <n v="286"/>
    <n v="404.06"/>
    <n v="5"/>
    <n v="18"/>
    <s v="Delayed"/>
    <n v="129544.06035999999"/>
  </r>
  <r>
    <s v="PUR0537"/>
    <x v="4"/>
    <x v="11"/>
    <x v="8"/>
    <n v="289"/>
    <n v="764.17"/>
    <n v="0"/>
    <n v="18"/>
    <s v="Delivered"/>
    <n v="260597.25339999996"/>
  </r>
  <r>
    <s v="PUR0429"/>
    <x v="5"/>
    <x v="9"/>
    <x v="9"/>
    <n v="150"/>
    <n v="303.32"/>
    <n v="0"/>
    <n v="18"/>
    <s v="Delivered"/>
    <n v="53687.64"/>
  </r>
  <r>
    <s v="PUR0076"/>
    <x v="6"/>
    <x v="12"/>
    <x v="3"/>
    <n v="222"/>
    <n v="31.16"/>
    <n v="5"/>
    <n v="12"/>
    <s v="Delivered"/>
    <n v="7360.2412800000011"/>
  </r>
  <r>
    <s v="PUR0206"/>
    <x v="7"/>
    <x v="13"/>
    <x v="7"/>
    <n v="270"/>
    <n v="98.43"/>
    <n v="10"/>
    <n v="18"/>
    <s v="Partial"/>
    <n v="28223.818200000002"/>
  </r>
  <r>
    <s v="PUR0170"/>
    <x v="7"/>
    <x v="14"/>
    <x v="6"/>
    <n v="105"/>
    <n v="122.68"/>
    <n v="2"/>
    <n v="18"/>
    <s v="Delivered"/>
    <n v="14896.05096"/>
  </r>
  <r>
    <s v="PUR0365"/>
    <x v="8"/>
    <x v="5"/>
    <x v="9"/>
    <n v="171"/>
    <n v="315.81"/>
    <n v="3"/>
    <n v="18"/>
    <s v="Delayed"/>
    <n v="61812.417545999997"/>
  </r>
  <r>
    <s v="PUR0060"/>
    <x v="8"/>
    <x v="0"/>
    <x v="10"/>
    <n v="254"/>
    <n v="629.04"/>
    <n v="0"/>
    <n v="18"/>
    <s v="Delivered"/>
    <n v="188535.8688"/>
  </r>
  <r>
    <s v="PUR0153"/>
    <x v="8"/>
    <x v="8"/>
    <x v="1"/>
    <n v="205"/>
    <n v="1562.63"/>
    <n v="3"/>
    <n v="18"/>
    <s v="Delivered"/>
    <n v="366660.19108999998"/>
  </r>
  <r>
    <s v="PUR0132"/>
    <x v="9"/>
    <x v="15"/>
    <x v="11"/>
    <n v="155"/>
    <n v="91.32"/>
    <n v="0"/>
    <n v="18"/>
    <s v="Delivered"/>
    <n v="16702.427999999996"/>
  </r>
  <r>
    <s v="PUR0113"/>
    <x v="10"/>
    <x v="5"/>
    <x v="9"/>
    <n v="184"/>
    <n v="335.62"/>
    <n v="10"/>
    <n v="18"/>
    <s v="Delivered"/>
    <n v="65582.83296"/>
  </r>
  <r>
    <s v="PUR0700"/>
    <x v="10"/>
    <x v="16"/>
    <x v="2"/>
    <n v="222"/>
    <n v="367.96"/>
    <n v="5"/>
    <n v="18"/>
    <s v="Delivered"/>
    <n v="91571.261519999985"/>
  </r>
  <r>
    <s v="PUR0296"/>
    <x v="10"/>
    <x v="11"/>
    <x v="2"/>
    <n v="225"/>
    <n v="339.19"/>
    <n v="5"/>
    <n v="18"/>
    <s v="Delivered"/>
    <n v="85552.197749999992"/>
  </r>
  <r>
    <s v="PUR0419"/>
    <x v="10"/>
    <x v="17"/>
    <x v="12"/>
    <n v="162"/>
    <n v="270.92"/>
    <n v="0"/>
    <n v="18"/>
    <s v="Delivered"/>
    <n v="51789.067199999998"/>
  </r>
  <r>
    <s v="PUR0213"/>
    <x v="11"/>
    <x v="18"/>
    <x v="11"/>
    <n v="150"/>
    <n v="90.14"/>
    <n v="3"/>
    <n v="18"/>
    <s v="Delivered"/>
    <n v="15476.136599999998"/>
  </r>
  <r>
    <s v="PUR0165"/>
    <x v="12"/>
    <x v="8"/>
    <x v="13"/>
    <n v="364"/>
    <n v="241.78"/>
    <n v="5"/>
    <n v="18"/>
    <s v="Delivered"/>
    <n v="98656.878319999989"/>
  </r>
  <r>
    <s v="PUR0352"/>
    <x v="12"/>
    <x v="19"/>
    <x v="14"/>
    <n v="190"/>
    <n v="207.76"/>
    <n v="0"/>
    <n v="18"/>
    <s v="Delivered"/>
    <n v="46579.792000000001"/>
  </r>
  <r>
    <s v="PUR0353"/>
    <x v="12"/>
    <x v="3"/>
    <x v="1"/>
    <n v="273"/>
    <n v="1486.91"/>
    <n v="5"/>
    <n v="18"/>
    <s v="Delivered"/>
    <n v="455043.52802999999"/>
  </r>
  <r>
    <s v="PUR0036"/>
    <x v="12"/>
    <x v="20"/>
    <x v="4"/>
    <n v="198"/>
    <n v="33.65"/>
    <n v="3"/>
    <n v="18"/>
    <s v="Delayed"/>
    <n v="7626.1264199999987"/>
  </r>
  <r>
    <s v="PUR0518"/>
    <x v="12"/>
    <x v="7"/>
    <x v="6"/>
    <n v="316"/>
    <n v="131.27000000000001"/>
    <n v="2"/>
    <n v="18"/>
    <s v="Delivered"/>
    <n v="47968.998447999998"/>
  </r>
  <r>
    <s v="PUR0254"/>
    <x v="12"/>
    <x v="12"/>
    <x v="5"/>
    <n v="120"/>
    <n v="19.28"/>
    <n v="0"/>
    <n v="12"/>
    <s v="Delivered"/>
    <n v="2591.2320000000009"/>
  </r>
  <r>
    <s v="PUR0162"/>
    <x v="13"/>
    <x v="21"/>
    <x v="15"/>
    <n v="247"/>
    <n v="44.78"/>
    <n v="0"/>
    <n v="18"/>
    <s v="Delivered"/>
    <n v="13051.578799999999"/>
  </r>
  <r>
    <s v="PUR0150"/>
    <x v="14"/>
    <x v="19"/>
    <x v="14"/>
    <n v="324"/>
    <n v="214.88"/>
    <n v="5"/>
    <n v="18"/>
    <s v="Delivered"/>
    <n v="78045.275519999996"/>
  </r>
  <r>
    <s v="PUR0050"/>
    <x v="15"/>
    <x v="1"/>
    <x v="10"/>
    <n v="427"/>
    <n v="634.11"/>
    <n v="2"/>
    <n v="18"/>
    <s v="Delivered"/>
    <n v="313112.61130799999"/>
  </r>
  <r>
    <s v="PUR0457"/>
    <x v="16"/>
    <x v="22"/>
    <x v="16"/>
    <n v="196"/>
    <n v="185.97"/>
    <n v="10"/>
    <n v="18"/>
    <s v="Delayed"/>
    <n v="38710.027439999998"/>
  </r>
  <r>
    <s v="PUR0446"/>
    <x v="17"/>
    <x v="22"/>
    <x v="11"/>
    <n v="290"/>
    <n v="82.31"/>
    <n v="2"/>
    <n v="18"/>
    <s v="Delivered"/>
    <n v="27603.15236"/>
  </r>
  <r>
    <s v="PUR0242"/>
    <x v="17"/>
    <x v="3"/>
    <x v="1"/>
    <n v="242"/>
    <n v="1430.14"/>
    <n v="2"/>
    <n v="18"/>
    <s v="Delivered"/>
    <n v="400222.96283199999"/>
  </r>
  <r>
    <s v="PUR0443"/>
    <x v="17"/>
    <x v="19"/>
    <x v="14"/>
    <n v="167"/>
    <n v="199.42"/>
    <n v="5"/>
    <n v="18"/>
    <s v="Delivered"/>
    <n v="37332.819939999994"/>
  </r>
  <r>
    <s v="PUR0230"/>
    <x v="18"/>
    <x v="9"/>
    <x v="4"/>
    <n v="376"/>
    <n v="35.479999999999997"/>
    <n v="0"/>
    <n v="18"/>
    <s v="Delivered"/>
    <n v="15741.766399999999"/>
  </r>
  <r>
    <s v="PUR0553"/>
    <x v="19"/>
    <x v="23"/>
    <x v="17"/>
    <n v="101"/>
    <n v="468.26"/>
    <n v="10"/>
    <n v="18"/>
    <s v="Delivered"/>
    <n v="50226.504119999998"/>
  </r>
  <r>
    <s v="PUR0347"/>
    <x v="19"/>
    <x v="8"/>
    <x v="1"/>
    <n v="167"/>
    <n v="1374.15"/>
    <n v="0"/>
    <n v="18"/>
    <s v="Delayed"/>
    <n v="270789.99900000001"/>
  </r>
  <r>
    <s v="PUR0004"/>
    <x v="19"/>
    <x v="3"/>
    <x v="10"/>
    <n v="238"/>
    <n v="654.64"/>
    <n v="5"/>
    <n v="18"/>
    <s v="Delivered"/>
    <n v="174656.64271999997"/>
  </r>
  <r>
    <s v="PUR0247"/>
    <x v="20"/>
    <x v="6"/>
    <x v="3"/>
    <n v="306"/>
    <n v="33.83"/>
    <n v="0"/>
    <n v="12"/>
    <s v="Delayed"/>
    <n v="11594.2176"/>
  </r>
  <r>
    <s v="PUR0223"/>
    <x v="20"/>
    <x v="10"/>
    <x v="2"/>
    <n v="115"/>
    <n v="329.05"/>
    <n v="7"/>
    <n v="18"/>
    <s v="Delivered"/>
    <n v="41526.439049999994"/>
  </r>
  <r>
    <s v="PUR0236"/>
    <x v="21"/>
    <x v="7"/>
    <x v="8"/>
    <n v="164"/>
    <n v="805.14"/>
    <n v="0"/>
    <n v="18"/>
    <s v="Delivered"/>
    <n v="155810.69279999999"/>
  </r>
  <r>
    <s v="PUR0632"/>
    <x v="21"/>
    <x v="22"/>
    <x v="16"/>
    <n v="309"/>
    <n v="178.78"/>
    <n v="5"/>
    <n v="18"/>
    <s v="Delivered"/>
    <n v="61927.425419999985"/>
  </r>
  <r>
    <s v="PUR0110"/>
    <x v="22"/>
    <x v="10"/>
    <x v="2"/>
    <n v="130"/>
    <n v="364.31"/>
    <n v="5"/>
    <n v="18"/>
    <s v="Delayed"/>
    <n v="53090.8963"/>
  </r>
  <r>
    <s v="PUR0627"/>
    <x v="22"/>
    <x v="13"/>
    <x v="1"/>
    <n v="140"/>
    <n v="1477.07"/>
    <n v="0"/>
    <n v="18"/>
    <s v="Delivered"/>
    <n v="244011.96399999998"/>
  </r>
  <r>
    <s v="PUR0428"/>
    <x v="22"/>
    <x v="4"/>
    <x v="18"/>
    <n v="408"/>
    <n v="67.69"/>
    <n v="7"/>
    <n v="12"/>
    <s v="Delivered"/>
    <n v="28766.408832000001"/>
  </r>
  <r>
    <s v="PUR0145"/>
    <x v="23"/>
    <x v="24"/>
    <x v="19"/>
    <n v="92"/>
    <n v="51.93"/>
    <n v="0"/>
    <n v="18"/>
    <s v="Delivered"/>
    <n v="5637.5208000000002"/>
  </r>
  <r>
    <s v="PUR0422"/>
    <x v="23"/>
    <x v="24"/>
    <x v="19"/>
    <n v="220"/>
    <n v="54.66"/>
    <n v="2"/>
    <n v="18"/>
    <s v="Delivered"/>
    <n v="13905.941279999997"/>
  </r>
  <r>
    <s v="PUR0261"/>
    <x v="23"/>
    <x v="9"/>
    <x v="6"/>
    <n v="148"/>
    <n v="131.15"/>
    <n v="7"/>
    <n v="18"/>
    <s v="Delivered"/>
    <n v="21300.753479999999"/>
  </r>
  <r>
    <s v="PUR0689"/>
    <x v="23"/>
    <x v="16"/>
    <x v="16"/>
    <n v="84"/>
    <n v="198.76"/>
    <n v="0"/>
    <n v="18"/>
    <s v="Delivered"/>
    <n v="19701.091199999999"/>
  </r>
  <r>
    <s v="PUR0023"/>
    <x v="24"/>
    <x v="10"/>
    <x v="16"/>
    <n v="276"/>
    <n v="189.66"/>
    <n v="2"/>
    <n v="18"/>
    <s v="Delivered"/>
    <n v="60533.099423999993"/>
  </r>
  <r>
    <s v="PUR0240"/>
    <x v="24"/>
    <x v="12"/>
    <x v="5"/>
    <n v="176"/>
    <n v="16.93"/>
    <n v="5"/>
    <n v="12"/>
    <s v="Delivered"/>
    <n v="3170.3795200000004"/>
  </r>
  <r>
    <s v="PUR0323"/>
    <x v="25"/>
    <x v="20"/>
    <x v="4"/>
    <n v="258"/>
    <n v="33.26"/>
    <n v="5"/>
    <n v="18"/>
    <s v="Delivered"/>
    <n v="9619.3906799999986"/>
  </r>
  <r>
    <s v="PUR0561"/>
    <x v="25"/>
    <x v="19"/>
    <x v="14"/>
    <n v="211"/>
    <n v="222.95"/>
    <n v="0"/>
    <n v="18"/>
    <s v="Delivered"/>
    <n v="55510.090999999993"/>
  </r>
  <r>
    <s v="PUR0299"/>
    <x v="25"/>
    <x v="1"/>
    <x v="7"/>
    <n v="279"/>
    <n v="94.66"/>
    <n v="0"/>
    <n v="18"/>
    <s v="Delivered"/>
    <n v="31163.965199999999"/>
  </r>
  <r>
    <s v="PUR0211"/>
    <x v="25"/>
    <x v="21"/>
    <x v="11"/>
    <n v="142"/>
    <n v="86.25"/>
    <n v="0"/>
    <n v="18"/>
    <s v="Delivered"/>
    <n v="14452.05"/>
  </r>
  <r>
    <s v="PUR0504"/>
    <x v="26"/>
    <x v="25"/>
    <x v="17"/>
    <n v="387"/>
    <n v="472.42"/>
    <n v="10"/>
    <n v="18"/>
    <s v="Delivered"/>
    <n v="194161.78547999999"/>
  </r>
  <r>
    <s v="PUR0139"/>
    <x v="26"/>
    <x v="6"/>
    <x v="3"/>
    <n v="331"/>
    <n v="30.75"/>
    <n v="0"/>
    <n v="12"/>
    <s v="Delayed"/>
    <n v="11399.640000000001"/>
  </r>
  <r>
    <s v="PUR0683"/>
    <x v="26"/>
    <x v="14"/>
    <x v="20"/>
    <n v="245"/>
    <n v="187.27"/>
    <n v="7"/>
    <n v="18"/>
    <s v="Delivered"/>
    <n v="50349.974009999998"/>
  </r>
  <r>
    <s v="PUR0003"/>
    <x v="27"/>
    <x v="0"/>
    <x v="10"/>
    <n v="455"/>
    <n v="638.69000000000005"/>
    <n v="2"/>
    <n v="18"/>
    <s v="Delivered"/>
    <n v="336054.40777999995"/>
  </r>
  <r>
    <s v="PUR0420"/>
    <x v="27"/>
    <x v="11"/>
    <x v="2"/>
    <n v="355"/>
    <n v="366.07"/>
    <n v="2"/>
    <n v="18"/>
    <s v="Delivered"/>
    <n v="150279.78853999998"/>
  </r>
  <r>
    <s v="PUR0207"/>
    <x v="28"/>
    <x v="14"/>
    <x v="20"/>
    <n v="418"/>
    <n v="187.54"/>
    <n v="0"/>
    <n v="18"/>
    <s v="Delivered"/>
    <n v="92502.229599999991"/>
  </r>
  <r>
    <s v="PUR0022"/>
    <x v="28"/>
    <x v="18"/>
    <x v="12"/>
    <n v="278"/>
    <n v="270.58999999999997"/>
    <n v="5"/>
    <n v="18"/>
    <s v="Delivered"/>
    <n v="84326.126419999986"/>
  </r>
  <r>
    <s v="PUR0237"/>
    <x v="28"/>
    <x v="7"/>
    <x v="8"/>
    <n v="424"/>
    <n v="751.33"/>
    <n v="2"/>
    <n v="18"/>
    <s v="Delivered"/>
    <n v="368387.31708800001"/>
  </r>
  <r>
    <s v="PUR0361"/>
    <x v="29"/>
    <x v="11"/>
    <x v="8"/>
    <n v="196"/>
    <n v="757.18"/>
    <n v="10"/>
    <n v="18"/>
    <s v="Delivered"/>
    <n v="157608.53135999999"/>
  </r>
  <r>
    <s v="PUR0300"/>
    <x v="29"/>
    <x v="26"/>
    <x v="3"/>
    <n v="112"/>
    <n v="32.18"/>
    <n v="0"/>
    <n v="12"/>
    <s v="Delivered"/>
    <n v="4036.6592000000001"/>
  </r>
  <r>
    <s v="PUR0605"/>
    <x v="29"/>
    <x v="23"/>
    <x v="16"/>
    <n v="403"/>
    <n v="186.36"/>
    <n v="5"/>
    <n v="18"/>
    <s v="Delivered"/>
    <n v="84190.552679999993"/>
  </r>
  <r>
    <s v="PUR0434"/>
    <x v="29"/>
    <x v="23"/>
    <x v="2"/>
    <n v="269"/>
    <n v="358.5"/>
    <n v="5"/>
    <n v="18"/>
    <s v="Delayed"/>
    <n v="108105.3165"/>
  </r>
  <r>
    <s v="PUR0381"/>
    <x v="30"/>
    <x v="14"/>
    <x v="9"/>
    <n v="702"/>
    <n v="316.43"/>
    <n v="2"/>
    <n v="18"/>
    <s v="Delivered"/>
    <n v="256875.59570400001"/>
  </r>
  <r>
    <s v="PUR0245"/>
    <x v="30"/>
    <x v="7"/>
    <x v="20"/>
    <n v="370"/>
    <n v="189.64"/>
    <n v="3"/>
    <n v="18"/>
    <s v="Partial"/>
    <n v="80312.919279999987"/>
  </r>
  <r>
    <s v="PUR0544"/>
    <x v="30"/>
    <x v="8"/>
    <x v="1"/>
    <n v="670"/>
    <n v="1486.07"/>
    <n v="0"/>
    <n v="18"/>
    <s v="Delivered"/>
    <n v="1174886.9419999998"/>
  </r>
  <r>
    <s v="PUR0506"/>
    <x v="31"/>
    <x v="1"/>
    <x v="13"/>
    <n v="131"/>
    <n v="250.94"/>
    <n v="5"/>
    <n v="18"/>
    <s v="Delivered"/>
    <n v="36850.789939999995"/>
  </r>
  <r>
    <s v="PUR0628"/>
    <x v="31"/>
    <x v="2"/>
    <x v="12"/>
    <n v="147"/>
    <n v="254.01"/>
    <n v="0"/>
    <n v="18"/>
    <s v="Delivered"/>
    <n v="44060.5746"/>
  </r>
  <r>
    <s v="PUR0453"/>
    <x v="32"/>
    <x v="13"/>
    <x v="10"/>
    <n v="140"/>
    <n v="612.16"/>
    <n v="2"/>
    <n v="18"/>
    <s v="Delivered"/>
    <n v="99106.255359999996"/>
  </r>
  <r>
    <s v="PUR0158"/>
    <x v="32"/>
    <x v="3"/>
    <x v="7"/>
    <n v="162"/>
    <n v="101.32"/>
    <n v="5"/>
    <n v="18"/>
    <s v="Delivered"/>
    <n v="18399.914639999999"/>
  </r>
  <r>
    <s v="PUR0441"/>
    <x v="33"/>
    <x v="22"/>
    <x v="15"/>
    <n v="198"/>
    <n v="43.79"/>
    <n v="0"/>
    <n v="18"/>
    <s v="Delayed"/>
    <n v="10231.095599999999"/>
  </r>
  <r>
    <s v="PUR0465"/>
    <x v="33"/>
    <x v="15"/>
    <x v="11"/>
    <n v="161"/>
    <n v="83.7"/>
    <n v="3"/>
    <n v="18"/>
    <s v="Delivered"/>
    <n v="15424.28622"/>
  </r>
  <r>
    <s v="PUR0205"/>
    <x v="34"/>
    <x v="10"/>
    <x v="12"/>
    <n v="350"/>
    <n v="274.7"/>
    <n v="2"/>
    <n v="18"/>
    <s v="Delivered"/>
    <n v="111182.07799999998"/>
  </r>
  <r>
    <s v="PUR0590"/>
    <x v="34"/>
    <x v="15"/>
    <x v="21"/>
    <n v="110"/>
    <n v="111.38"/>
    <n v="0"/>
    <n v="18"/>
    <s v="Delivered"/>
    <n v="14457.123999999998"/>
  </r>
  <r>
    <s v="PUR0074"/>
    <x v="34"/>
    <x v="26"/>
    <x v="5"/>
    <n v="252"/>
    <n v="19.43"/>
    <n v="0"/>
    <n v="12"/>
    <s v="Delivered"/>
    <n v="5483.9232000000002"/>
  </r>
  <r>
    <s v="PUR0260"/>
    <x v="35"/>
    <x v="26"/>
    <x v="5"/>
    <n v="224"/>
    <n v="18.07"/>
    <n v="2"/>
    <n v="12"/>
    <s v="Delivered"/>
    <n v="4442.7335680000006"/>
  </r>
  <r>
    <s v="PUR0229"/>
    <x v="36"/>
    <x v="5"/>
    <x v="20"/>
    <n v="127"/>
    <n v="184.81"/>
    <n v="7"/>
    <n v="18"/>
    <s v="Delivered"/>
    <n v="25756.932737999996"/>
  </r>
  <r>
    <s v="PUR0096"/>
    <x v="37"/>
    <x v="2"/>
    <x v="16"/>
    <n v="181"/>
    <n v="188.31"/>
    <n v="10"/>
    <n v="18"/>
    <s v="Delivered"/>
    <n v="36197.324820000002"/>
  </r>
  <r>
    <s v="PUR0216"/>
    <x v="37"/>
    <x v="26"/>
    <x v="3"/>
    <n v="198"/>
    <n v="30.47"/>
    <n v="0"/>
    <n v="12"/>
    <s v="Delivered"/>
    <n v="6757.0272000000004"/>
  </r>
  <r>
    <s v="PUR0288"/>
    <x v="37"/>
    <x v="16"/>
    <x v="1"/>
    <n v="97"/>
    <n v="1523.98"/>
    <n v="10"/>
    <n v="18"/>
    <s v="Delayed"/>
    <n v="156991.27571999998"/>
  </r>
  <r>
    <s v="PUR0071"/>
    <x v="38"/>
    <x v="19"/>
    <x v="14"/>
    <n v="332"/>
    <n v="225.37"/>
    <n v="7"/>
    <n v="18"/>
    <s v="Delivered"/>
    <n v="82110.584615999978"/>
  </r>
  <r>
    <s v="PUR0640"/>
    <x v="39"/>
    <x v="15"/>
    <x v="16"/>
    <n v="327"/>
    <n v="196.72"/>
    <n v="10"/>
    <n v="18"/>
    <s v="Delivered"/>
    <n v="68315.741280000002"/>
  </r>
  <r>
    <s v="PUR0147"/>
    <x v="39"/>
    <x v="2"/>
    <x v="17"/>
    <n v="134"/>
    <n v="460.86"/>
    <n v="0"/>
    <n v="18"/>
    <s v="Delivered"/>
    <n v="72871.183199999999"/>
  </r>
  <r>
    <s v="PUR0080"/>
    <x v="39"/>
    <x v="0"/>
    <x v="13"/>
    <n v="515"/>
    <n v="242.55"/>
    <n v="5"/>
    <n v="18"/>
    <s v="Delayed"/>
    <n v="140027.75324999998"/>
  </r>
  <r>
    <s v="PUR0020"/>
    <x v="40"/>
    <x v="8"/>
    <x v="1"/>
    <n v="219"/>
    <n v="1454.22"/>
    <n v="0"/>
    <n v="18"/>
    <s v="Delayed"/>
    <n v="375799.53239999997"/>
  </r>
  <r>
    <s v="PUR0527"/>
    <x v="40"/>
    <x v="5"/>
    <x v="6"/>
    <n v="674"/>
    <n v="120.06"/>
    <n v="3"/>
    <n v="18"/>
    <s v="Delivered"/>
    <n v="92621.535623999996"/>
  </r>
  <r>
    <s v="PUR0233"/>
    <x v="40"/>
    <x v="2"/>
    <x v="12"/>
    <n v="344"/>
    <n v="256.08999999999997"/>
    <n v="0"/>
    <n v="18"/>
    <s v="Delayed"/>
    <n v="103952.05279999999"/>
  </r>
  <r>
    <s v="PUR0615"/>
    <x v="41"/>
    <x v="10"/>
    <x v="1"/>
    <n v="332"/>
    <n v="1452.53"/>
    <n v="0"/>
    <n v="18"/>
    <s v="Delayed"/>
    <n v="569043.15279999992"/>
  </r>
  <r>
    <s v="PUR0507"/>
    <x v="41"/>
    <x v="8"/>
    <x v="7"/>
    <n v="135"/>
    <n v="90.86"/>
    <n v="5"/>
    <n v="18"/>
    <s v="Delivered"/>
    <n v="13750.2981"/>
  </r>
  <r>
    <s v="PUR0250"/>
    <x v="42"/>
    <x v="13"/>
    <x v="7"/>
    <n v="87"/>
    <n v="91.81"/>
    <n v="0"/>
    <n v="18"/>
    <s v="Delayed"/>
    <n v="9425.2145999999993"/>
  </r>
  <r>
    <s v="PUR0619"/>
    <x v="42"/>
    <x v="8"/>
    <x v="10"/>
    <n v="393"/>
    <n v="643.44000000000005"/>
    <n v="0"/>
    <n v="18"/>
    <s v="Delivered"/>
    <n v="298388.86560000002"/>
  </r>
  <r>
    <s v="PUR0558"/>
    <x v="42"/>
    <x v="0"/>
    <x v="13"/>
    <n v="276"/>
    <n v="232.84"/>
    <n v="3"/>
    <n v="18"/>
    <s v="Delivered"/>
    <n v="73556.391263999991"/>
  </r>
  <r>
    <s v="PUR0495"/>
    <x v="42"/>
    <x v="13"/>
    <x v="10"/>
    <n v="155"/>
    <n v="657.5"/>
    <n v="3"/>
    <n v="18"/>
    <s v="Partial"/>
    <n v="116649.0475"/>
  </r>
  <r>
    <s v="PUR0545"/>
    <x v="43"/>
    <x v="4"/>
    <x v="5"/>
    <n v="121"/>
    <n v="17.32"/>
    <n v="5"/>
    <n v="12"/>
    <s v="Delivered"/>
    <n v="2229.8460800000003"/>
  </r>
  <r>
    <s v="PUR0321"/>
    <x v="43"/>
    <x v="2"/>
    <x v="8"/>
    <n v="262"/>
    <n v="839.38"/>
    <n v="7"/>
    <n v="18"/>
    <s v="Delivered"/>
    <n v="241337.53034399997"/>
  </r>
  <r>
    <s v="PUR0618"/>
    <x v="44"/>
    <x v="14"/>
    <x v="20"/>
    <n v="192"/>
    <n v="186.47"/>
    <n v="10"/>
    <n v="18"/>
    <s v="Delivered"/>
    <n v="38021.978879999995"/>
  </r>
  <r>
    <s v="PUR0582"/>
    <x v="44"/>
    <x v="6"/>
    <x v="18"/>
    <n v="170"/>
    <n v="63.72"/>
    <n v="0"/>
    <n v="12"/>
    <s v="Delivered"/>
    <n v="12132.288"/>
  </r>
  <r>
    <s v="PUR0524"/>
    <x v="44"/>
    <x v="6"/>
    <x v="5"/>
    <n v="115"/>
    <n v="16.97"/>
    <n v="0"/>
    <n v="12"/>
    <s v="Delivered"/>
    <n v="2185.7360000000003"/>
  </r>
  <r>
    <s v="PUR0581"/>
    <x v="45"/>
    <x v="23"/>
    <x v="12"/>
    <n v="278"/>
    <n v="250.73"/>
    <n v="0"/>
    <n v="18"/>
    <s v="Delivered"/>
    <n v="82249.469199999992"/>
  </r>
  <r>
    <s v="PUR0146"/>
    <x v="45"/>
    <x v="10"/>
    <x v="16"/>
    <n v="633"/>
    <n v="197.44"/>
    <n v="0"/>
    <n v="18"/>
    <s v="Delayed"/>
    <n v="147475.83359999998"/>
  </r>
  <r>
    <s v="PUR0143"/>
    <x v="46"/>
    <x v="3"/>
    <x v="7"/>
    <n v="653"/>
    <n v="97.33"/>
    <n v="2"/>
    <n v="18"/>
    <s v="Delivered"/>
    <n v="73496.725035999989"/>
  </r>
  <r>
    <s v="PUR0435"/>
    <x v="46"/>
    <x v="13"/>
    <x v="7"/>
    <n v="187"/>
    <n v="89.41"/>
    <n v="5"/>
    <n v="18"/>
    <s v="Partial"/>
    <n v="18742.750069999998"/>
  </r>
  <r>
    <s v="PUR0531"/>
    <x v="46"/>
    <x v="16"/>
    <x v="2"/>
    <n v="377"/>
    <n v="355.14"/>
    <n v="2"/>
    <n v="18"/>
    <s v="Delivered"/>
    <n v="154827.82879199999"/>
  </r>
  <r>
    <s v="PUR0183"/>
    <x v="47"/>
    <x v="27"/>
    <x v="22"/>
    <n v="209"/>
    <n v="67.06"/>
    <n v="5"/>
    <n v="18"/>
    <s v="Delivered"/>
    <n v="15711.420340000001"/>
  </r>
  <r>
    <s v="PUR0375"/>
    <x v="47"/>
    <x v="0"/>
    <x v="13"/>
    <n v="471"/>
    <n v="240.8"/>
    <n v="0"/>
    <n v="18"/>
    <s v="Delivered"/>
    <n v="133831.82399999999"/>
  </r>
  <r>
    <s v="PUR0692"/>
    <x v="48"/>
    <x v="24"/>
    <x v="19"/>
    <n v="226"/>
    <n v="56.03"/>
    <n v="5"/>
    <n v="18"/>
    <s v="Delivered"/>
    <n v="14194.976379999998"/>
  </r>
  <r>
    <s v="PUR0006"/>
    <x v="48"/>
    <x v="20"/>
    <x v="6"/>
    <n v="795"/>
    <n v="129.44999999999999"/>
    <n v="10"/>
    <n v="18"/>
    <s v="Delivered"/>
    <n v="109293.34049999999"/>
  </r>
  <r>
    <s v="PUR0326"/>
    <x v="48"/>
    <x v="8"/>
    <x v="7"/>
    <n v="323"/>
    <n v="92.58"/>
    <n v="0"/>
    <n v="18"/>
    <s v="Delivered"/>
    <n v="35285.941200000001"/>
  </r>
  <r>
    <s v="PUR0203"/>
    <x v="48"/>
    <x v="0"/>
    <x v="10"/>
    <n v="1147"/>
    <n v="619.5"/>
    <n v="7"/>
    <n v="18"/>
    <s v="Partial"/>
    <n v="779775.67709999997"/>
  </r>
  <r>
    <s v="PUR0085"/>
    <x v="49"/>
    <x v="3"/>
    <x v="0"/>
    <n v="440"/>
    <n v="428.79"/>
    <n v="5"/>
    <n v="18"/>
    <s v="Delayed"/>
    <n v="211496.37959999999"/>
  </r>
  <r>
    <s v="PUR0243"/>
    <x v="50"/>
    <x v="8"/>
    <x v="1"/>
    <n v="76"/>
    <n v="1520.31"/>
    <n v="3"/>
    <n v="18"/>
    <s v="Partial"/>
    <n v="132251.158776"/>
  </r>
  <r>
    <s v="PUR0026"/>
    <x v="50"/>
    <x v="22"/>
    <x v="16"/>
    <n v="734"/>
    <n v="180.8"/>
    <n v="2"/>
    <n v="18"/>
    <s v="Delayed"/>
    <n v="153462.60608"/>
  </r>
  <r>
    <s v="PUR0142"/>
    <x v="51"/>
    <x v="25"/>
    <x v="12"/>
    <n v="150"/>
    <n v="272.52999999999997"/>
    <n v="0"/>
    <n v="18"/>
    <s v="Delayed"/>
    <n v="48237.80999999999"/>
  </r>
  <r>
    <s v="PUR0460"/>
    <x v="51"/>
    <x v="13"/>
    <x v="0"/>
    <n v="352"/>
    <n v="427.92"/>
    <n v="5"/>
    <n v="18"/>
    <s v="Delayed"/>
    <n v="168853.80864"/>
  </r>
  <r>
    <s v="PUR0135"/>
    <x v="51"/>
    <x v="22"/>
    <x v="15"/>
    <n v="243"/>
    <n v="44.92"/>
    <n v="0"/>
    <n v="18"/>
    <s v="Delayed"/>
    <n v="12880.3608"/>
  </r>
  <r>
    <s v="PUR0042"/>
    <x v="52"/>
    <x v="1"/>
    <x v="1"/>
    <n v="257"/>
    <n v="1384.5"/>
    <n v="2"/>
    <n v="18"/>
    <s v="Partial"/>
    <n v="411466.20059999998"/>
  </r>
  <r>
    <s v="PUR0490"/>
    <x v="52"/>
    <x v="19"/>
    <x v="14"/>
    <n v="156"/>
    <n v="204.42"/>
    <n v="0"/>
    <n v="18"/>
    <s v="Delivered"/>
    <n v="37629.633599999994"/>
  </r>
  <r>
    <s v="PUR0169"/>
    <x v="52"/>
    <x v="3"/>
    <x v="7"/>
    <n v="206"/>
    <n v="92.67"/>
    <n v="7"/>
    <n v="18"/>
    <s v="Delivered"/>
    <n v="20949.387948"/>
  </r>
  <r>
    <s v="PUR0322"/>
    <x v="53"/>
    <x v="24"/>
    <x v="19"/>
    <n v="435"/>
    <n v="53.33"/>
    <n v="0"/>
    <n v="18"/>
    <s v="Delivered"/>
    <n v="27374.288999999997"/>
  </r>
  <r>
    <s v="PUR0589"/>
    <x v="53"/>
    <x v="23"/>
    <x v="2"/>
    <n v="308"/>
    <n v="362.18"/>
    <n v="5"/>
    <n v="18"/>
    <s v="Delivered"/>
    <n v="125049.16424"/>
  </r>
  <r>
    <s v="PUR0497"/>
    <x v="53"/>
    <x v="27"/>
    <x v="22"/>
    <n v="194"/>
    <n v="73.06"/>
    <n v="0"/>
    <n v="18"/>
    <s v="Delivered"/>
    <n v="16724.895199999999"/>
  </r>
  <r>
    <s v="PUR0201"/>
    <x v="53"/>
    <x v="6"/>
    <x v="5"/>
    <n v="136"/>
    <n v="16.940000000000001"/>
    <n v="5"/>
    <n v="12"/>
    <s v="Delivered"/>
    <n v="2451.2857600000002"/>
  </r>
  <r>
    <s v="PUR0062"/>
    <x v="53"/>
    <x v="25"/>
    <x v="16"/>
    <n v="103"/>
    <n v="180.85"/>
    <n v="0"/>
    <n v="18"/>
    <s v="Partial"/>
    <n v="21980.508999999998"/>
  </r>
  <r>
    <s v="PUR0390"/>
    <x v="53"/>
    <x v="4"/>
    <x v="18"/>
    <n v="272"/>
    <n v="68.14"/>
    <n v="7"/>
    <n v="12"/>
    <s v="Delayed"/>
    <n v="19305.097728000001"/>
  </r>
  <r>
    <s v="PUR0108"/>
    <x v="54"/>
    <x v="16"/>
    <x v="12"/>
    <n v="110"/>
    <n v="255.59"/>
    <n v="0"/>
    <n v="18"/>
    <s v="Delivered"/>
    <n v="33175.582000000002"/>
  </r>
  <r>
    <s v="PUR0107"/>
    <x v="55"/>
    <x v="25"/>
    <x v="1"/>
    <n v="367"/>
    <n v="1431.79"/>
    <n v="0"/>
    <n v="18"/>
    <s v="Delayed"/>
    <n v="620050.97739999986"/>
  </r>
  <r>
    <s v="PUR0292"/>
    <x v="55"/>
    <x v="19"/>
    <x v="14"/>
    <n v="226"/>
    <n v="221.27"/>
    <n v="7"/>
    <n v="18"/>
    <s v="Delivered"/>
    <n v="54877.703747999993"/>
  </r>
  <r>
    <s v="PUR0555"/>
    <x v="55"/>
    <x v="13"/>
    <x v="10"/>
    <n v="291"/>
    <n v="649.17999999999995"/>
    <n v="5"/>
    <n v="18"/>
    <s v="Partial"/>
    <n v="211769.65697999994"/>
  </r>
  <r>
    <s v="PUR0238"/>
    <x v="56"/>
    <x v="26"/>
    <x v="5"/>
    <n v="230"/>
    <n v="18.82"/>
    <n v="5"/>
    <n v="12"/>
    <s v="Delayed"/>
    <n v="4605.6304000000009"/>
  </r>
  <r>
    <s v="PUR0172"/>
    <x v="57"/>
    <x v="7"/>
    <x v="11"/>
    <n v="162"/>
    <n v="89.97"/>
    <n v="2"/>
    <n v="18"/>
    <s v="Delivered"/>
    <n v="16854.691895999997"/>
  </r>
  <r>
    <s v="PUR0672"/>
    <x v="57"/>
    <x v="22"/>
    <x v="23"/>
    <n v="925"/>
    <n v="619.6"/>
    <n v="10"/>
    <n v="18"/>
    <s v="Delivered"/>
    <n v="608664.05999999994"/>
  </r>
  <r>
    <s v="PUR0121"/>
    <x v="58"/>
    <x v="6"/>
    <x v="3"/>
    <n v="327"/>
    <n v="30.46"/>
    <n v="5"/>
    <n v="12"/>
    <s v="Delivered"/>
    <n v="10597.88688"/>
  </r>
  <r>
    <s v="PUR0122"/>
    <x v="58"/>
    <x v="14"/>
    <x v="4"/>
    <n v="203"/>
    <n v="34.35"/>
    <n v="0"/>
    <n v="18"/>
    <s v="Delivered"/>
    <n v="8228.1990000000005"/>
  </r>
  <r>
    <s v="PUR0345"/>
    <x v="58"/>
    <x v="5"/>
    <x v="9"/>
    <n v="119"/>
    <n v="338.9"/>
    <n v="0"/>
    <n v="18"/>
    <s v="Delivered"/>
    <n v="47588.337999999996"/>
  </r>
  <r>
    <s v="PUR0269"/>
    <x v="58"/>
    <x v="4"/>
    <x v="3"/>
    <n v="100"/>
    <n v="30.56"/>
    <n v="3"/>
    <n v="12"/>
    <s v="Delivered"/>
    <n v="3320.0383999999999"/>
  </r>
  <r>
    <s v="PUR0609"/>
    <x v="58"/>
    <x v="0"/>
    <x v="0"/>
    <n v="260"/>
    <n v="425.65"/>
    <n v="0"/>
    <n v="18"/>
    <s v="Delivered"/>
    <n v="130589.42"/>
  </r>
  <r>
    <s v="PUR0140"/>
    <x v="58"/>
    <x v="18"/>
    <x v="2"/>
    <n v="100"/>
    <n v="330.53"/>
    <n v="5"/>
    <n v="18"/>
    <s v="Delivered"/>
    <n v="37052.412999999993"/>
  </r>
  <r>
    <s v="PUR0444"/>
    <x v="59"/>
    <x v="24"/>
    <x v="19"/>
    <n v="105"/>
    <n v="57.23"/>
    <n v="0"/>
    <n v="18"/>
    <s v="Delivered"/>
    <n v="7090.7969999999996"/>
  </r>
  <r>
    <s v="PUR0662"/>
    <x v="59"/>
    <x v="25"/>
    <x v="17"/>
    <n v="436"/>
    <n v="458.35"/>
    <n v="3"/>
    <n v="18"/>
    <s v="Delivered"/>
    <n v="228737.55076000001"/>
  </r>
  <r>
    <s v="PUR0454"/>
    <x v="60"/>
    <x v="23"/>
    <x v="2"/>
    <n v="97"/>
    <n v="334.43"/>
    <n v="10"/>
    <n v="18"/>
    <s v="Delivered"/>
    <n v="34450.972020000001"/>
  </r>
  <r>
    <s v="PUR0101"/>
    <x v="60"/>
    <x v="12"/>
    <x v="18"/>
    <n v="191"/>
    <n v="62.75"/>
    <n v="0"/>
    <n v="12"/>
    <s v="Delivered"/>
    <n v="13423.480000000001"/>
  </r>
  <r>
    <s v="PUR0566"/>
    <x v="61"/>
    <x v="4"/>
    <x v="18"/>
    <n v="284"/>
    <n v="69.83"/>
    <n v="5"/>
    <n v="12"/>
    <s v="Delivered"/>
    <n v="21100.950080000002"/>
  </r>
  <r>
    <s v="PUR0049"/>
    <x v="61"/>
    <x v="1"/>
    <x v="0"/>
    <n v="115"/>
    <n v="403.83"/>
    <n v="0"/>
    <n v="18"/>
    <s v="Delivered"/>
    <n v="54799.730999999992"/>
  </r>
  <r>
    <s v="PUR0380"/>
    <x v="62"/>
    <x v="7"/>
    <x v="6"/>
    <n v="423"/>
    <n v="129.4"/>
    <n v="5"/>
    <n v="18"/>
    <s v="Delivered"/>
    <n v="61359.280199999994"/>
  </r>
  <r>
    <s v="PUR0512"/>
    <x v="62"/>
    <x v="25"/>
    <x v="1"/>
    <n v="435"/>
    <n v="1511.4"/>
    <n v="0"/>
    <n v="18"/>
    <s v="Delivered"/>
    <n v="775801.62"/>
  </r>
  <r>
    <s v="PUR0265"/>
    <x v="62"/>
    <x v="25"/>
    <x v="16"/>
    <n v="834"/>
    <n v="199.9"/>
    <n v="7"/>
    <n v="18"/>
    <s v="Delayed"/>
    <n v="182954.79684"/>
  </r>
  <r>
    <s v="PUR0021"/>
    <x v="62"/>
    <x v="15"/>
    <x v="12"/>
    <n v="279"/>
    <n v="255.54"/>
    <n v="0"/>
    <n v="18"/>
    <s v="Delayed"/>
    <n v="84128.878800000006"/>
  </r>
  <r>
    <s v="PUR0417"/>
    <x v="63"/>
    <x v="16"/>
    <x v="1"/>
    <n v="239"/>
    <n v="1382"/>
    <n v="5"/>
    <n v="18"/>
    <s v="Delivered"/>
    <n v="370264.05799999996"/>
  </r>
  <r>
    <s v="PUR0171"/>
    <x v="64"/>
    <x v="26"/>
    <x v="18"/>
    <n v="760"/>
    <n v="69.67"/>
    <n v="7"/>
    <n v="12"/>
    <s v="Delivered"/>
    <n v="55151.88672000001"/>
  </r>
  <r>
    <s v="PUR0177"/>
    <x v="64"/>
    <x v="3"/>
    <x v="10"/>
    <n v="410"/>
    <n v="604.78"/>
    <n v="0"/>
    <n v="18"/>
    <s v="Delayed"/>
    <n v="292592.56399999995"/>
  </r>
  <r>
    <s v="PUR0501"/>
    <x v="64"/>
    <x v="26"/>
    <x v="18"/>
    <n v="93"/>
    <n v="62.8"/>
    <n v="0"/>
    <n v="12"/>
    <s v="Delivered"/>
    <n v="6541.2480000000005"/>
  </r>
  <r>
    <s v="PUR0603"/>
    <x v="64"/>
    <x v="15"/>
    <x v="21"/>
    <n v="120"/>
    <n v="118.79"/>
    <n v="0"/>
    <n v="18"/>
    <s v="Delivered"/>
    <n v="16820.664000000001"/>
  </r>
  <r>
    <s v="PUR0666"/>
    <x v="65"/>
    <x v="17"/>
    <x v="2"/>
    <n v="391"/>
    <n v="344.15"/>
    <n v="0"/>
    <n v="18"/>
    <s v="Delivered"/>
    <n v="158783.927"/>
  </r>
  <r>
    <s v="PUR0304"/>
    <x v="65"/>
    <x v="26"/>
    <x v="18"/>
    <n v="456"/>
    <n v="69.45"/>
    <n v="7"/>
    <n v="12"/>
    <s v="Delivered"/>
    <n v="32986.638720000003"/>
  </r>
  <r>
    <s v="PUR0098"/>
    <x v="65"/>
    <x v="18"/>
    <x v="12"/>
    <n v="353"/>
    <n v="263.51"/>
    <n v="0"/>
    <n v="18"/>
    <s v="Delivered"/>
    <n v="109762.45539999999"/>
  </r>
  <r>
    <s v="PUR0225"/>
    <x v="66"/>
    <x v="20"/>
    <x v="9"/>
    <n v="125"/>
    <n v="327.04000000000002"/>
    <n v="5"/>
    <n v="18"/>
    <s v="Delivered"/>
    <n v="45826.479999999996"/>
  </r>
  <r>
    <s v="PUR0204"/>
    <x v="67"/>
    <x v="25"/>
    <x v="17"/>
    <n v="310"/>
    <n v="460.47"/>
    <n v="0"/>
    <n v="18"/>
    <s v="Delayed"/>
    <n v="168439.92600000001"/>
  </r>
  <r>
    <s v="PUR0276"/>
    <x v="67"/>
    <x v="2"/>
    <x v="16"/>
    <n v="454"/>
    <n v="182.09"/>
    <n v="5"/>
    <n v="18"/>
    <s v="Delivered"/>
    <n v="92671.792059999992"/>
  </r>
  <r>
    <s v="PUR0388"/>
    <x v="68"/>
    <x v="27"/>
    <x v="22"/>
    <n v="148"/>
    <n v="69.12"/>
    <n v="0"/>
    <n v="18"/>
    <s v="Delivered"/>
    <n v="12071.1168"/>
  </r>
  <r>
    <s v="PUR0138"/>
    <x v="69"/>
    <x v="16"/>
    <x v="1"/>
    <n v="373"/>
    <n v="1430.14"/>
    <n v="0"/>
    <n v="18"/>
    <s v="Delivered"/>
    <n v="629461.81960000005"/>
  </r>
  <r>
    <s v="PUR0483"/>
    <x v="70"/>
    <x v="12"/>
    <x v="3"/>
    <n v="155"/>
    <n v="33.06"/>
    <n v="10"/>
    <n v="12"/>
    <s v="Delivered"/>
    <n v="5165.2944000000007"/>
  </r>
  <r>
    <s v="PUR0198"/>
    <x v="70"/>
    <x v="4"/>
    <x v="3"/>
    <n v="311"/>
    <n v="33.86"/>
    <n v="5"/>
    <n v="12"/>
    <s v="Delivered"/>
    <n v="11204.409439999999"/>
  </r>
  <r>
    <s v="PUR0117"/>
    <x v="70"/>
    <x v="19"/>
    <x v="14"/>
    <n v="279"/>
    <n v="220.95"/>
    <n v="0"/>
    <n v="18"/>
    <s v="Delivered"/>
    <n v="72741.158999999985"/>
  </r>
  <r>
    <s v="PUR0308"/>
    <x v="71"/>
    <x v="5"/>
    <x v="4"/>
    <n v="229"/>
    <n v="35.36"/>
    <n v="3"/>
    <n v="18"/>
    <s v="Delivered"/>
    <n v="9268.3298239999986"/>
  </r>
  <r>
    <s v="PUR0065"/>
    <x v="71"/>
    <x v="22"/>
    <x v="8"/>
    <n v="255"/>
    <n v="790.27"/>
    <n v="5"/>
    <n v="18"/>
    <s v="Delivered"/>
    <n v="225902.63084999999"/>
  </r>
  <r>
    <s v="PUR0673"/>
    <x v="71"/>
    <x v="21"/>
    <x v="15"/>
    <n v="99"/>
    <n v="42.55"/>
    <n v="0"/>
    <n v="18"/>
    <s v="Delivered"/>
    <n v="4970.6909999999998"/>
  </r>
  <r>
    <s v="PUR0095"/>
    <x v="72"/>
    <x v="12"/>
    <x v="18"/>
    <n v="108"/>
    <n v="68.63"/>
    <n v="2"/>
    <n v="12"/>
    <s v="Delivered"/>
    <n v="8135.4551039999988"/>
  </r>
  <r>
    <s v="PUR0387"/>
    <x v="72"/>
    <x v="5"/>
    <x v="4"/>
    <n v="252"/>
    <n v="34.24"/>
    <n v="0"/>
    <n v="18"/>
    <s v="Delivered"/>
    <n v="10181.606400000001"/>
  </r>
  <r>
    <s v="PUR0280"/>
    <x v="72"/>
    <x v="7"/>
    <x v="20"/>
    <n v="136"/>
    <n v="183.07"/>
    <n v="0"/>
    <n v="18"/>
    <s v="Delivered"/>
    <n v="29379.0736"/>
  </r>
  <r>
    <s v="PUR0128"/>
    <x v="73"/>
    <x v="24"/>
    <x v="19"/>
    <n v="297"/>
    <n v="54.18"/>
    <n v="7"/>
    <n v="18"/>
    <s v="Delivered"/>
    <n v="17658.768203999996"/>
  </r>
  <r>
    <s v="PUR0536"/>
    <x v="74"/>
    <x v="9"/>
    <x v="4"/>
    <n v="71"/>
    <n v="32.950000000000003"/>
    <n v="0"/>
    <n v="18"/>
    <s v="Delivered"/>
    <n v="2760.5510000000004"/>
  </r>
  <r>
    <s v="PUR0532"/>
    <x v="74"/>
    <x v="24"/>
    <x v="19"/>
    <n v="280"/>
    <n v="58.28"/>
    <n v="5"/>
    <n v="18"/>
    <s v="Partial"/>
    <n v="18292.9264"/>
  </r>
  <r>
    <s v="PUR0467"/>
    <x v="75"/>
    <x v="8"/>
    <x v="7"/>
    <n v="478"/>
    <n v="89.71"/>
    <n v="5"/>
    <n v="18"/>
    <s v="Delivered"/>
    <n v="48070.026979999988"/>
  </r>
  <r>
    <s v="PUR0052"/>
    <x v="76"/>
    <x v="13"/>
    <x v="0"/>
    <n v="303"/>
    <n v="428.39"/>
    <n v="0"/>
    <n v="18"/>
    <s v="Delivered"/>
    <n v="153166.5606"/>
  </r>
  <r>
    <s v="PUR0302"/>
    <x v="77"/>
    <x v="8"/>
    <x v="13"/>
    <n v="169"/>
    <n v="230.14"/>
    <n v="2"/>
    <n v="18"/>
    <s v="Delivered"/>
    <n v="44976.628423999988"/>
  </r>
  <r>
    <s v="PUR0541"/>
    <x v="78"/>
    <x v="12"/>
    <x v="5"/>
    <n v="180"/>
    <n v="17.73"/>
    <n v="3"/>
    <n v="12"/>
    <s v="Delivered"/>
    <n v="3467.1369600000003"/>
  </r>
  <r>
    <s v="PUR0533"/>
    <x v="78"/>
    <x v="3"/>
    <x v="13"/>
    <n v="203"/>
    <n v="231.01"/>
    <n v="0"/>
    <n v="18"/>
    <s v="Delivered"/>
    <n v="55336.135399999999"/>
  </r>
  <r>
    <s v="PUR0221"/>
    <x v="79"/>
    <x v="22"/>
    <x v="17"/>
    <n v="234"/>
    <n v="479.33"/>
    <n v="5"/>
    <n v="18"/>
    <s v="Delivered"/>
    <n v="125734.96961999999"/>
  </r>
  <r>
    <s v="PUR0432"/>
    <x v="80"/>
    <x v="12"/>
    <x v="3"/>
    <n v="306"/>
    <n v="31.26"/>
    <n v="2"/>
    <n v="12"/>
    <s v="Delivered"/>
    <n v="10499.158656000003"/>
  </r>
  <r>
    <s v="PUR0656"/>
    <x v="80"/>
    <x v="8"/>
    <x v="13"/>
    <n v="298"/>
    <n v="259.12"/>
    <n v="2"/>
    <n v="18"/>
    <s v="Delivered"/>
    <n v="89294.617663999976"/>
  </r>
  <r>
    <s v="PUR0562"/>
    <x v="81"/>
    <x v="25"/>
    <x v="16"/>
    <n v="896"/>
    <n v="184.5"/>
    <n v="5"/>
    <n v="18"/>
    <s v="Delivered"/>
    <n v="185314.75199999998"/>
  </r>
  <r>
    <s v="PUR0343"/>
    <x v="82"/>
    <x v="23"/>
    <x v="2"/>
    <n v="307"/>
    <n v="344.72"/>
    <n v="3"/>
    <n v="18"/>
    <s v="Delivered"/>
    <n v="121131.919184"/>
  </r>
  <r>
    <s v="PUR0698"/>
    <x v="82"/>
    <x v="3"/>
    <x v="0"/>
    <n v="161"/>
    <n v="414.08"/>
    <n v="5"/>
    <n v="18"/>
    <s v="Delivered"/>
    <n v="74733.572480000003"/>
  </r>
  <r>
    <s v="PUR0624"/>
    <x v="83"/>
    <x v="20"/>
    <x v="4"/>
    <n v="619"/>
    <n v="33.18"/>
    <n v="7"/>
    <n v="18"/>
    <s v="Delivered"/>
    <n v="22538.862107999994"/>
  </r>
  <r>
    <s v="PUR0277"/>
    <x v="83"/>
    <x v="12"/>
    <x v="3"/>
    <n v="110"/>
    <n v="30.58"/>
    <n v="0"/>
    <n v="12"/>
    <s v="Delivered"/>
    <n v="3767.4560000000001"/>
  </r>
  <r>
    <s v="PUR0573"/>
    <x v="83"/>
    <x v="20"/>
    <x v="9"/>
    <n v="311"/>
    <n v="314.39"/>
    <n v="10"/>
    <n v="18"/>
    <s v="Delivered"/>
    <n v="103837.35797999999"/>
  </r>
  <r>
    <s v="PUR0664"/>
    <x v="84"/>
    <x v="14"/>
    <x v="6"/>
    <n v="337"/>
    <n v="118.03"/>
    <n v="0"/>
    <n v="18"/>
    <s v="Delivered"/>
    <n v="46935.809799999995"/>
  </r>
  <r>
    <s v="PUR0588"/>
    <x v="84"/>
    <x v="24"/>
    <x v="19"/>
    <n v="230"/>
    <n v="57.95"/>
    <n v="5"/>
    <n v="18"/>
    <s v="Delivered"/>
    <n v="14941.248499999998"/>
  </r>
  <r>
    <s v="PUR0186"/>
    <x v="85"/>
    <x v="24"/>
    <x v="19"/>
    <n v="113"/>
    <n v="52.01"/>
    <n v="7"/>
    <n v="18"/>
    <s v="Delivered"/>
    <n v="6449.562461999999"/>
  </r>
  <r>
    <s v="PUR0192"/>
    <x v="86"/>
    <x v="26"/>
    <x v="18"/>
    <n v="252"/>
    <n v="67.180000000000007"/>
    <n v="0"/>
    <n v="12"/>
    <s v="Delivered"/>
    <n v="18960.883200000004"/>
  </r>
  <r>
    <s v="PUR0094"/>
    <x v="86"/>
    <x v="20"/>
    <x v="20"/>
    <n v="206"/>
    <n v="177.62"/>
    <n v="0"/>
    <n v="18"/>
    <s v="Delivered"/>
    <n v="43175.869599999998"/>
  </r>
  <r>
    <s v="PUR0202"/>
    <x v="87"/>
    <x v="13"/>
    <x v="13"/>
    <n v="133"/>
    <n v="251.62"/>
    <n v="2"/>
    <n v="18"/>
    <s v="Partial"/>
    <n v="38699.457943999994"/>
  </r>
  <r>
    <s v="PUR0655"/>
    <x v="88"/>
    <x v="26"/>
    <x v="5"/>
    <n v="138"/>
    <n v="18.95"/>
    <n v="5"/>
    <n v="12"/>
    <s v="Delivered"/>
    <n v="2782.4664000000002"/>
  </r>
  <r>
    <s v="PUR0200"/>
    <x v="88"/>
    <x v="17"/>
    <x v="21"/>
    <n v="225"/>
    <n v="112.42"/>
    <n v="0"/>
    <n v="18"/>
    <s v="Delivered"/>
    <n v="29847.51"/>
  </r>
  <r>
    <s v="PUR0636"/>
    <x v="89"/>
    <x v="12"/>
    <x v="5"/>
    <n v="613"/>
    <n v="18.68"/>
    <n v="0"/>
    <n v="12"/>
    <s v="Delivered"/>
    <n v="12824.940800000002"/>
  </r>
  <r>
    <s v="PUR0574"/>
    <x v="90"/>
    <x v="24"/>
    <x v="19"/>
    <n v="103"/>
    <n v="56.62"/>
    <n v="5"/>
    <n v="18"/>
    <s v="Delayed"/>
    <n v="6537.5150599999997"/>
  </r>
  <r>
    <s v="PUR0038"/>
    <x v="90"/>
    <x v="4"/>
    <x v="18"/>
    <n v="257"/>
    <n v="63.19"/>
    <n v="5"/>
    <n v="12"/>
    <s v="Delivered"/>
    <n v="17279.179120000001"/>
  </r>
  <r>
    <s v="PUR0409"/>
    <x v="90"/>
    <x v="3"/>
    <x v="7"/>
    <n v="141"/>
    <n v="90.11"/>
    <n v="0"/>
    <n v="18"/>
    <s v="Delivered"/>
    <n v="14992.5018"/>
  </r>
  <r>
    <s v="PUR0633"/>
    <x v="91"/>
    <x v="25"/>
    <x v="1"/>
    <n v="95"/>
    <n v="1426"/>
    <n v="2"/>
    <n v="18"/>
    <s v="Delivered"/>
    <n v="156657.508"/>
  </r>
  <r>
    <s v="PUR0494"/>
    <x v="91"/>
    <x v="17"/>
    <x v="21"/>
    <n v="287"/>
    <n v="106.02"/>
    <n v="10"/>
    <n v="18"/>
    <s v="Delivered"/>
    <n v="32314.259879999998"/>
  </r>
  <r>
    <s v="PUR0032"/>
    <x v="91"/>
    <x v="25"/>
    <x v="12"/>
    <n v="171"/>
    <n v="253.72"/>
    <n v="0"/>
    <n v="18"/>
    <s v="Delivered"/>
    <n v="51195.621599999999"/>
  </r>
  <r>
    <s v="PUR0124"/>
    <x v="92"/>
    <x v="21"/>
    <x v="11"/>
    <n v="133"/>
    <n v="84.25"/>
    <n v="0"/>
    <n v="18"/>
    <s v="Delivered"/>
    <n v="13222.195"/>
  </r>
  <r>
    <s v="PUR0405"/>
    <x v="93"/>
    <x v="10"/>
    <x v="2"/>
    <n v="153"/>
    <n v="344.42"/>
    <n v="2"/>
    <n v="18"/>
    <s v="Delivered"/>
    <n v="60937.955064000002"/>
  </r>
  <r>
    <s v="PUR0337"/>
    <x v="93"/>
    <x v="9"/>
    <x v="4"/>
    <n v="239"/>
    <n v="33.72"/>
    <n v="0"/>
    <n v="18"/>
    <s v="Delivered"/>
    <n v="9509.7143999999989"/>
  </r>
  <r>
    <s v="PUR0487"/>
    <x v="93"/>
    <x v="7"/>
    <x v="8"/>
    <n v="176"/>
    <n v="800.28"/>
    <n v="2"/>
    <n v="18"/>
    <s v="Delivered"/>
    <n v="162878.10739199998"/>
  </r>
  <r>
    <s v="PUR0037"/>
    <x v="94"/>
    <x v="0"/>
    <x v="0"/>
    <n v="197"/>
    <n v="440.51"/>
    <n v="3"/>
    <n v="18"/>
    <s v="Delivered"/>
    <n v="99328.925961999979"/>
  </r>
  <r>
    <s v="PUR0606"/>
    <x v="94"/>
    <x v="9"/>
    <x v="4"/>
    <n v="320"/>
    <n v="32.96"/>
    <n v="5"/>
    <n v="18"/>
    <s v="Delivered"/>
    <n v="11823.411199999999"/>
  </r>
  <r>
    <s v="PUR0289"/>
    <x v="95"/>
    <x v="6"/>
    <x v="18"/>
    <n v="231"/>
    <n v="64.760000000000005"/>
    <n v="3"/>
    <n v="12"/>
    <s v="Delayed"/>
    <n v="16252.065984000003"/>
  </r>
  <r>
    <s v="PUR0283"/>
    <x v="95"/>
    <x v="26"/>
    <x v="18"/>
    <n v="254"/>
    <n v="63.58"/>
    <n v="2"/>
    <n v="12"/>
    <s v="Delivered"/>
    <n v="17725.493632000002"/>
  </r>
  <r>
    <s v="PUR0403"/>
    <x v="95"/>
    <x v="22"/>
    <x v="15"/>
    <n v="146"/>
    <n v="43.28"/>
    <n v="10"/>
    <n v="18"/>
    <s v="Delivered"/>
    <n v="6710.65056"/>
  </r>
  <r>
    <s v="PUR0425"/>
    <x v="95"/>
    <x v="5"/>
    <x v="20"/>
    <n v="82"/>
    <n v="183.66"/>
    <n v="3"/>
    <n v="18"/>
    <s v="Delivered"/>
    <n v="17237.813351999997"/>
  </r>
  <r>
    <s v="PUR0028"/>
    <x v="96"/>
    <x v="8"/>
    <x v="13"/>
    <n v="267"/>
    <n v="253.36"/>
    <n v="0"/>
    <n v="18"/>
    <s v="Delivered"/>
    <n v="79823.601600000009"/>
  </r>
  <r>
    <s v="PUR0227"/>
    <x v="97"/>
    <x v="6"/>
    <x v="18"/>
    <n v="151"/>
    <n v="64.38"/>
    <n v="2"/>
    <n v="12"/>
    <s v="Delivered"/>
    <n v="10670.186688"/>
  </r>
  <r>
    <s v="PUR0184"/>
    <x v="97"/>
    <x v="12"/>
    <x v="5"/>
    <n v="449"/>
    <n v="18.75"/>
    <n v="5"/>
    <n v="12"/>
    <s v="Delivered"/>
    <n v="8957.5500000000011"/>
  </r>
  <r>
    <s v="PUR0660"/>
    <x v="98"/>
    <x v="24"/>
    <x v="19"/>
    <n v="410"/>
    <n v="59.12"/>
    <n v="0"/>
    <n v="18"/>
    <s v="Delivered"/>
    <n v="28602.255999999998"/>
  </r>
  <r>
    <s v="PUR0433"/>
    <x v="99"/>
    <x v="15"/>
    <x v="15"/>
    <n v="246"/>
    <n v="44.22"/>
    <n v="2"/>
    <n v="18"/>
    <s v="Delivered"/>
    <n v="12579.457967999997"/>
  </r>
  <r>
    <s v="PUR0174"/>
    <x v="99"/>
    <x v="21"/>
    <x v="21"/>
    <n v="152"/>
    <n v="105.88"/>
    <n v="7"/>
    <n v="18"/>
    <s v="Delivered"/>
    <n v="17661.292223999997"/>
  </r>
  <r>
    <s v="PUR0007"/>
    <x v="100"/>
    <x v="12"/>
    <x v="5"/>
    <n v="455"/>
    <n v="18.100000000000001"/>
    <n v="0"/>
    <n v="12"/>
    <s v="Delivered"/>
    <n v="9223.76"/>
  </r>
  <r>
    <s v="PUR0614"/>
    <x v="100"/>
    <x v="8"/>
    <x v="7"/>
    <n v="442"/>
    <n v="97.23"/>
    <n v="0"/>
    <n v="18"/>
    <s v="Delivered"/>
    <n v="50711.2788"/>
  </r>
  <r>
    <s v="PUR0104"/>
    <x v="100"/>
    <x v="25"/>
    <x v="17"/>
    <n v="361"/>
    <n v="475.84"/>
    <n v="0"/>
    <n v="18"/>
    <s v="Delayed"/>
    <n v="202698.32319999998"/>
  </r>
  <r>
    <s v="PUR0548"/>
    <x v="101"/>
    <x v="8"/>
    <x v="1"/>
    <n v="196"/>
    <n v="1380.15"/>
    <n v="3"/>
    <n v="18"/>
    <s v="Delivered"/>
    <n v="309625.05924000003"/>
  </r>
  <r>
    <s v="PUR0097"/>
    <x v="101"/>
    <x v="27"/>
    <x v="22"/>
    <n v="104"/>
    <n v="72.540000000000006"/>
    <n v="2"/>
    <n v="18"/>
    <s v="Delivered"/>
    <n v="8724.066624000001"/>
  </r>
  <r>
    <s v="PUR0510"/>
    <x v="102"/>
    <x v="9"/>
    <x v="6"/>
    <n v="196"/>
    <n v="128.47"/>
    <n v="5"/>
    <n v="18"/>
    <s v="Delivered"/>
    <n v="28226.914519999995"/>
  </r>
  <r>
    <s v="PUR0629"/>
    <x v="102"/>
    <x v="6"/>
    <x v="18"/>
    <n v="262"/>
    <n v="67.28"/>
    <n v="0"/>
    <n v="12"/>
    <s v="Delivered"/>
    <n v="19742.643200000002"/>
  </r>
  <r>
    <s v="PUR0472"/>
    <x v="102"/>
    <x v="15"/>
    <x v="16"/>
    <n v="460"/>
    <n v="183.02"/>
    <n v="2"/>
    <n v="18"/>
    <s v="Delivered"/>
    <n v="97356.390880000006"/>
  </r>
  <r>
    <s v="PUR0018"/>
    <x v="103"/>
    <x v="13"/>
    <x v="0"/>
    <n v="97"/>
    <n v="431.86"/>
    <n v="0"/>
    <n v="18"/>
    <s v="Delivered"/>
    <n v="49430.695599999992"/>
  </r>
  <r>
    <s v="PUR0596"/>
    <x v="103"/>
    <x v="22"/>
    <x v="16"/>
    <n v="156"/>
    <n v="184.67"/>
    <n v="5"/>
    <n v="18"/>
    <s v="Partial"/>
    <n v="32294.350919999993"/>
  </r>
  <r>
    <s v="PUR0464"/>
    <x v="103"/>
    <x v="15"/>
    <x v="8"/>
    <n v="278"/>
    <n v="760.48"/>
    <n v="2"/>
    <n v="18"/>
    <s v="Partial"/>
    <n v="244478.50201600001"/>
  </r>
  <r>
    <s v="PUR0385"/>
    <x v="104"/>
    <x v="11"/>
    <x v="12"/>
    <n v="302"/>
    <n v="250.33"/>
    <n v="3"/>
    <n v="18"/>
    <s v="Delivered"/>
    <n v="86531.370836000002"/>
  </r>
  <r>
    <s v="PUR0685"/>
    <x v="105"/>
    <x v="22"/>
    <x v="15"/>
    <n v="320"/>
    <n v="43.95"/>
    <n v="7"/>
    <n v="18"/>
    <s v="Delivered"/>
    <n v="15433.833599999998"/>
  </r>
  <r>
    <s v="PUR0025"/>
    <x v="106"/>
    <x v="2"/>
    <x v="12"/>
    <n v="217"/>
    <n v="265.91000000000003"/>
    <n v="10"/>
    <n v="18"/>
    <s v="Delivered"/>
    <n v="61280.023140000005"/>
  </r>
  <r>
    <s v="PUR0670"/>
    <x v="106"/>
    <x v="17"/>
    <x v="23"/>
    <n v="238"/>
    <n v="682.95"/>
    <n v="0"/>
    <n v="18"/>
    <s v="Delivered"/>
    <n v="191799.67799999999"/>
  </r>
  <r>
    <s v="PUR0691"/>
    <x v="107"/>
    <x v="5"/>
    <x v="4"/>
    <n v="159"/>
    <n v="36.32"/>
    <n v="0"/>
    <n v="18"/>
    <s v="Delivered"/>
    <n v="6814.3584000000001"/>
  </r>
  <r>
    <s v="PUR0586"/>
    <x v="108"/>
    <x v="9"/>
    <x v="6"/>
    <n v="329"/>
    <n v="129.77000000000001"/>
    <n v="3"/>
    <n v="18"/>
    <s v="Delivered"/>
    <n v="48867.930117999997"/>
  </r>
  <r>
    <s v="PUR0476"/>
    <x v="108"/>
    <x v="10"/>
    <x v="17"/>
    <n v="193"/>
    <n v="510.78"/>
    <n v="2"/>
    <n v="18"/>
    <s v="Delivered"/>
    <n v="113998.53645599999"/>
  </r>
  <r>
    <s v="PUR0047"/>
    <x v="109"/>
    <x v="19"/>
    <x v="14"/>
    <n v="1209"/>
    <n v="221.41"/>
    <n v="0"/>
    <n v="18"/>
    <s v="Delivered"/>
    <n v="315867.93419999996"/>
  </r>
  <r>
    <s v="PUR0279"/>
    <x v="109"/>
    <x v="1"/>
    <x v="1"/>
    <n v="293"/>
    <n v="1460.12"/>
    <n v="0"/>
    <n v="18"/>
    <s v="Delivered"/>
    <n v="504821.88879999996"/>
  </r>
  <r>
    <s v="PUR0295"/>
    <x v="110"/>
    <x v="2"/>
    <x v="17"/>
    <n v="122"/>
    <n v="507.32"/>
    <n v="0"/>
    <n v="18"/>
    <s v="Delivered"/>
    <n v="73033.787199999992"/>
  </r>
  <r>
    <s v="PUR0580"/>
    <x v="111"/>
    <x v="19"/>
    <x v="14"/>
    <n v="251"/>
    <n v="197.53"/>
    <n v="7"/>
    <n v="18"/>
    <s v="Delivered"/>
    <n v="54409.124921999988"/>
  </r>
  <r>
    <s v="PUR0697"/>
    <x v="112"/>
    <x v="25"/>
    <x v="16"/>
    <n v="191"/>
    <n v="195.3"/>
    <n v="0"/>
    <n v="18"/>
    <s v="Delivered"/>
    <n v="44016.714"/>
  </r>
  <r>
    <s v="PUR0473"/>
    <x v="113"/>
    <x v="25"/>
    <x v="2"/>
    <n v="435"/>
    <n v="360.98"/>
    <n v="7"/>
    <n v="18"/>
    <s v="Delivered"/>
    <n v="172320.66162"/>
  </r>
  <r>
    <s v="PUR0220"/>
    <x v="113"/>
    <x v="24"/>
    <x v="19"/>
    <n v="195"/>
    <n v="57.17"/>
    <n v="0"/>
    <n v="18"/>
    <s v="Delivered"/>
    <n v="13154.816999999999"/>
  </r>
  <r>
    <s v="PUR0176"/>
    <x v="113"/>
    <x v="7"/>
    <x v="20"/>
    <n v="464"/>
    <n v="193.2"/>
    <n v="10"/>
    <n v="18"/>
    <s v="Delivered"/>
    <n v="95202.777599999987"/>
  </r>
  <r>
    <s v="PUR0601"/>
    <x v="113"/>
    <x v="25"/>
    <x v="16"/>
    <n v="836"/>
    <n v="194"/>
    <n v="2"/>
    <n v="18"/>
    <s v="Partial"/>
    <n v="187549.57759999999"/>
  </r>
  <r>
    <s v="PUR0469"/>
    <x v="113"/>
    <x v="9"/>
    <x v="4"/>
    <n v="177"/>
    <n v="32.979999999999997"/>
    <n v="5"/>
    <n v="18"/>
    <s v="Delivered"/>
    <n v="6543.7926599999982"/>
  </r>
  <r>
    <s v="PUR0058"/>
    <x v="114"/>
    <x v="21"/>
    <x v="15"/>
    <n v="204"/>
    <n v="46.62"/>
    <n v="10"/>
    <n v="18"/>
    <s v="Delayed"/>
    <n v="10100.12976"/>
  </r>
  <r>
    <s v="PUR0234"/>
    <x v="114"/>
    <x v="18"/>
    <x v="17"/>
    <n v="183"/>
    <n v="475.3"/>
    <n v="2"/>
    <n v="18"/>
    <s v="Delivered"/>
    <n v="100583.55636"/>
  </r>
  <r>
    <s v="PUR0520"/>
    <x v="114"/>
    <x v="7"/>
    <x v="17"/>
    <n v="191"/>
    <n v="480.18"/>
    <n v="0"/>
    <n v="18"/>
    <s v="Delivered"/>
    <n v="108222.9684"/>
  </r>
  <r>
    <s v="PUR0491"/>
    <x v="115"/>
    <x v="4"/>
    <x v="5"/>
    <n v="458"/>
    <n v="19.13"/>
    <n v="7"/>
    <n v="12"/>
    <s v="Delivered"/>
    <n v="9126.0200639999985"/>
  </r>
  <r>
    <s v="PUR0262"/>
    <x v="115"/>
    <x v="9"/>
    <x v="20"/>
    <n v="87"/>
    <n v="173.17"/>
    <n v="10"/>
    <n v="18"/>
    <s v="Delivered"/>
    <n v="15999.868979999997"/>
  </r>
  <r>
    <s v="PUR0134"/>
    <x v="116"/>
    <x v="5"/>
    <x v="6"/>
    <n v="143"/>
    <n v="118.56"/>
    <n v="0"/>
    <n v="18"/>
    <s v="Delivered"/>
    <n v="20005.814399999999"/>
  </r>
  <r>
    <s v="PUR0219"/>
    <x v="116"/>
    <x v="22"/>
    <x v="17"/>
    <n v="107"/>
    <n v="470.63"/>
    <n v="3"/>
    <n v="18"/>
    <s v="Delivered"/>
    <n v="57639.09148599999"/>
  </r>
  <r>
    <s v="PUR0529"/>
    <x v="116"/>
    <x v="27"/>
    <x v="22"/>
    <n v="278"/>
    <n v="74.930000000000007"/>
    <n v="10"/>
    <n v="18"/>
    <s v="Delivered"/>
    <n v="22122.033479999998"/>
  </r>
  <r>
    <s v="PUR0009"/>
    <x v="117"/>
    <x v="24"/>
    <x v="19"/>
    <n v="395"/>
    <n v="53.92"/>
    <n v="0"/>
    <n v="18"/>
    <s v="Delivered"/>
    <n v="25132.112000000001"/>
  </r>
  <r>
    <s v="PUR0148"/>
    <x v="117"/>
    <x v="5"/>
    <x v="4"/>
    <n v="234"/>
    <n v="32.92"/>
    <n v="10"/>
    <n v="18"/>
    <s v="Delivered"/>
    <n v="8180.8833600000007"/>
  </r>
  <r>
    <s v="PUR0493"/>
    <x v="117"/>
    <x v="14"/>
    <x v="20"/>
    <n v="145"/>
    <n v="189.67"/>
    <n v="2"/>
    <n v="18"/>
    <s v="Delayed"/>
    <n v="31803.486259999994"/>
  </r>
  <r>
    <s v="PUR0696"/>
    <x v="118"/>
    <x v="15"/>
    <x v="21"/>
    <n v="163"/>
    <n v="109.99"/>
    <n v="5"/>
    <n v="18"/>
    <s v="Delayed"/>
    <n v="20097.702769999996"/>
  </r>
  <r>
    <s v="PUR0551"/>
    <x v="119"/>
    <x v="13"/>
    <x v="0"/>
    <n v="76"/>
    <n v="438.45"/>
    <n v="3"/>
    <n v="18"/>
    <s v="Delivered"/>
    <n v="38140.590119999993"/>
  </r>
  <r>
    <s v="PUR0100"/>
    <x v="119"/>
    <x v="15"/>
    <x v="16"/>
    <n v="263"/>
    <n v="180.73"/>
    <n v="2"/>
    <n v="18"/>
    <s v="Delivered"/>
    <n v="54965.993235999995"/>
  </r>
  <r>
    <s v="PUR0214"/>
    <x v="119"/>
    <x v="9"/>
    <x v="9"/>
    <n v="253"/>
    <n v="333.85"/>
    <n v="5"/>
    <n v="18"/>
    <s v="Delivered"/>
    <n v="94684.200049999999"/>
  </r>
  <r>
    <s v="PUR0401"/>
    <x v="120"/>
    <x v="18"/>
    <x v="23"/>
    <n v="236"/>
    <n v="657.61"/>
    <n v="5"/>
    <n v="18"/>
    <s v="Delivered"/>
    <n v="173974.67115999997"/>
  </r>
  <r>
    <s v="PUR0526"/>
    <x v="120"/>
    <x v="17"/>
    <x v="21"/>
    <n v="105"/>
    <n v="111.85"/>
    <n v="0"/>
    <n v="18"/>
    <s v="Delayed"/>
    <n v="13858.215"/>
  </r>
  <r>
    <s v="PUR0195"/>
    <x v="120"/>
    <x v="11"/>
    <x v="12"/>
    <n v="320"/>
    <n v="269.35000000000002"/>
    <n v="2"/>
    <n v="18"/>
    <s v="Delayed"/>
    <n v="99672.428799999994"/>
  </r>
  <r>
    <s v="PUR0168"/>
    <x v="121"/>
    <x v="4"/>
    <x v="18"/>
    <n v="62"/>
    <n v="66.13"/>
    <n v="7"/>
    <n v="12"/>
    <s v="Delivered"/>
    <n v="4270.622495999999"/>
  </r>
  <r>
    <s v="PUR0430"/>
    <x v="121"/>
    <x v="26"/>
    <x v="5"/>
    <n v="709"/>
    <n v="18.920000000000002"/>
    <n v="3"/>
    <n v="12"/>
    <s v="Partial"/>
    <n v="14573.273792000002"/>
  </r>
  <r>
    <s v="PUR0625"/>
    <x v="121"/>
    <x v="10"/>
    <x v="17"/>
    <n v="329"/>
    <n v="461.56"/>
    <n v="0"/>
    <n v="18"/>
    <s v="Delayed"/>
    <n v="179186.82319999998"/>
  </r>
  <r>
    <s v="PUR0447"/>
    <x v="122"/>
    <x v="20"/>
    <x v="9"/>
    <n v="338"/>
    <n v="326.92"/>
    <n v="5"/>
    <n v="18"/>
    <s v="Delivered"/>
    <n v="123869.33416"/>
  </r>
  <r>
    <s v="PUR0379"/>
    <x v="122"/>
    <x v="21"/>
    <x v="8"/>
    <n v="187"/>
    <n v="839.84"/>
    <n v="0"/>
    <n v="18"/>
    <s v="Delivered"/>
    <n v="185319.0944"/>
  </r>
  <r>
    <s v="PUR0424"/>
    <x v="122"/>
    <x v="20"/>
    <x v="20"/>
    <n v="262"/>
    <n v="171.22"/>
    <n v="10"/>
    <n v="18"/>
    <s v="Delivered"/>
    <n v="47640.937679999995"/>
  </r>
  <r>
    <s v="PUR0287"/>
    <x v="123"/>
    <x v="22"/>
    <x v="8"/>
    <n v="420"/>
    <n v="795.24"/>
    <n v="5"/>
    <n v="18"/>
    <s v="Delivered"/>
    <n v="374414.89679999993"/>
  </r>
  <r>
    <s v="PUR0161"/>
    <x v="124"/>
    <x v="2"/>
    <x v="17"/>
    <n v="201"/>
    <n v="491.64"/>
    <n v="2"/>
    <n v="18"/>
    <s v="Delivered"/>
    <n v="114275.03169599999"/>
  </r>
  <r>
    <s v="PUR0088"/>
    <x v="124"/>
    <x v="27"/>
    <x v="22"/>
    <n v="78"/>
    <n v="67.930000000000007"/>
    <n v="0"/>
    <n v="18"/>
    <s v="Delivered"/>
    <n v="6252.2772000000004"/>
  </r>
  <r>
    <s v="PUR0333"/>
    <x v="124"/>
    <x v="4"/>
    <x v="5"/>
    <n v="132"/>
    <n v="18.25"/>
    <n v="5"/>
    <n v="12"/>
    <s v="Delivered"/>
    <n v="2563.1759999999999"/>
  </r>
  <r>
    <s v="PUR0523"/>
    <x v="124"/>
    <x v="24"/>
    <x v="19"/>
    <n v="153"/>
    <n v="55.99"/>
    <n v="0"/>
    <n v="18"/>
    <s v="Delivered"/>
    <n v="10108.434600000001"/>
  </r>
  <r>
    <s v="PUR0593"/>
    <x v="125"/>
    <x v="8"/>
    <x v="10"/>
    <n v="375"/>
    <n v="659.13"/>
    <n v="10"/>
    <n v="18"/>
    <s v="Delivered"/>
    <n v="262498.52249999996"/>
  </r>
  <r>
    <s v="PUR0067"/>
    <x v="126"/>
    <x v="19"/>
    <x v="14"/>
    <n v="383"/>
    <n v="220.17"/>
    <n v="0"/>
    <n v="18"/>
    <s v="Delayed"/>
    <n v="99503.629799999995"/>
  </r>
  <r>
    <s v="PUR0307"/>
    <x v="127"/>
    <x v="0"/>
    <x v="7"/>
    <n v="323"/>
    <n v="99.21"/>
    <n v="5"/>
    <n v="18"/>
    <s v="Delivered"/>
    <n v="35922.254429999994"/>
  </r>
  <r>
    <s v="PUR0674"/>
    <x v="127"/>
    <x v="26"/>
    <x v="3"/>
    <n v="178"/>
    <n v="31.42"/>
    <n v="0"/>
    <n v="12"/>
    <s v="Delivered"/>
    <n v="6263.8912000000009"/>
  </r>
  <r>
    <s v="PUR0686"/>
    <x v="128"/>
    <x v="1"/>
    <x v="10"/>
    <n v="724"/>
    <n v="611.17999999999995"/>
    <n v="0"/>
    <n v="18"/>
    <s v="Delivered"/>
    <n v="522143.29759999993"/>
  </r>
  <r>
    <s v="PUR0634"/>
    <x v="129"/>
    <x v="23"/>
    <x v="12"/>
    <n v="149"/>
    <n v="259.31"/>
    <n v="2"/>
    <n v="18"/>
    <s v="Delivered"/>
    <n v="44680.046515999995"/>
  </r>
  <r>
    <s v="PUR0294"/>
    <x v="129"/>
    <x v="8"/>
    <x v="13"/>
    <n v="248"/>
    <n v="240.13"/>
    <n v="5"/>
    <n v="18"/>
    <s v="Delivered"/>
    <n v="66758.061039999986"/>
  </r>
  <r>
    <s v="PUR0014"/>
    <x v="130"/>
    <x v="24"/>
    <x v="19"/>
    <n v="148"/>
    <n v="53.5"/>
    <n v="0"/>
    <n v="18"/>
    <s v="Delivered"/>
    <n v="9343.24"/>
  </r>
  <r>
    <s v="PUR0303"/>
    <x v="130"/>
    <x v="27"/>
    <x v="24"/>
    <n v="161"/>
    <n v="179.26"/>
    <n v="0"/>
    <n v="18"/>
    <s v="Delivered"/>
    <n v="34055.814799999993"/>
  </r>
  <r>
    <s v="PUR0550"/>
    <x v="131"/>
    <x v="14"/>
    <x v="9"/>
    <n v="465"/>
    <n v="332.56"/>
    <n v="0"/>
    <n v="18"/>
    <s v="Delivered"/>
    <n v="182475.67199999999"/>
  </r>
  <r>
    <s v="PUR0355"/>
    <x v="131"/>
    <x v="2"/>
    <x v="12"/>
    <n v="191"/>
    <n v="259.47000000000003"/>
    <n v="5"/>
    <n v="18"/>
    <s v="Delayed"/>
    <n v="55555.381170000001"/>
  </r>
  <r>
    <s v="PUR0368"/>
    <x v="132"/>
    <x v="5"/>
    <x v="20"/>
    <n v="215"/>
    <n v="179.64"/>
    <n v="0"/>
    <n v="18"/>
    <s v="Delivered"/>
    <n v="45574.667999999998"/>
  </r>
  <r>
    <s v="PUR0318"/>
    <x v="133"/>
    <x v="27"/>
    <x v="24"/>
    <n v="94"/>
    <n v="175.39"/>
    <n v="0"/>
    <n v="18"/>
    <s v="Partial"/>
    <n v="19454.2588"/>
  </r>
  <r>
    <s v="PUR0256"/>
    <x v="134"/>
    <x v="27"/>
    <x v="24"/>
    <n v="94"/>
    <n v="170.79"/>
    <n v="0"/>
    <n v="18"/>
    <s v="Delivered"/>
    <n v="18944.026799999996"/>
  </r>
  <r>
    <s v="PUR0414"/>
    <x v="134"/>
    <x v="18"/>
    <x v="8"/>
    <n v="108"/>
    <n v="812.2"/>
    <n v="5"/>
    <n v="18"/>
    <s v="Delivered"/>
    <n v="98331.429600000003"/>
  </r>
  <r>
    <s v="PUR0374"/>
    <x v="134"/>
    <x v="20"/>
    <x v="9"/>
    <n v="281"/>
    <n v="325.31"/>
    <n v="0"/>
    <n v="18"/>
    <s v="Partial"/>
    <n v="107866.2898"/>
  </r>
  <r>
    <s v="PUR0680"/>
    <x v="135"/>
    <x v="25"/>
    <x v="1"/>
    <n v="233"/>
    <n v="1507.05"/>
    <n v="7"/>
    <n v="18"/>
    <s v="Delayed"/>
    <n v="385343.94410999992"/>
  </r>
  <r>
    <s v="PUR0626"/>
    <x v="135"/>
    <x v="16"/>
    <x v="2"/>
    <n v="157"/>
    <n v="369.26"/>
    <n v="3"/>
    <n v="18"/>
    <s v="Partial"/>
    <n v="66356.834371999998"/>
  </r>
  <r>
    <s v="PUR0348"/>
    <x v="136"/>
    <x v="9"/>
    <x v="20"/>
    <n v="351"/>
    <n v="184.49"/>
    <n v="2"/>
    <n v="18"/>
    <s v="Delivered"/>
    <n v="74883.826836000007"/>
  </r>
  <r>
    <s v="PUR0363"/>
    <x v="136"/>
    <x v="22"/>
    <x v="2"/>
    <n v="125"/>
    <n v="341.64"/>
    <n v="10"/>
    <n v="18"/>
    <s v="Delivered"/>
    <n v="45352.71"/>
  </r>
  <r>
    <s v="PUR0508"/>
    <x v="137"/>
    <x v="17"/>
    <x v="11"/>
    <n v="177"/>
    <n v="88.13"/>
    <n v="3"/>
    <n v="18"/>
    <s v="Delayed"/>
    <n v="17854.626845999996"/>
  </r>
  <r>
    <s v="PUR0327"/>
    <x v="137"/>
    <x v="10"/>
    <x v="2"/>
    <n v="291"/>
    <n v="332.81"/>
    <n v="0"/>
    <n v="18"/>
    <s v="Delivered"/>
    <n v="114280.2978"/>
  </r>
  <r>
    <s v="PUR0369"/>
    <x v="137"/>
    <x v="16"/>
    <x v="16"/>
    <n v="374"/>
    <n v="188.54"/>
    <n v="0"/>
    <n v="18"/>
    <s v="Delivered"/>
    <n v="83206.472799999989"/>
  </r>
  <r>
    <s v="PUR0570"/>
    <x v="137"/>
    <x v="21"/>
    <x v="16"/>
    <n v="146"/>
    <n v="183.67"/>
    <n v="3"/>
    <n v="18"/>
    <s v="Delivered"/>
    <n v="30693.387571999996"/>
  </r>
  <r>
    <s v="PUR0367"/>
    <x v="137"/>
    <x v="8"/>
    <x v="13"/>
    <n v="163"/>
    <n v="230.73"/>
    <n v="0"/>
    <n v="18"/>
    <s v="Delivered"/>
    <n v="44378.608199999995"/>
  </r>
  <r>
    <s v="PUR0164"/>
    <x v="137"/>
    <x v="21"/>
    <x v="21"/>
    <n v="117"/>
    <n v="106.51"/>
    <n v="3"/>
    <n v="18"/>
    <s v="Delivered"/>
    <n v="14263.627482"/>
  </r>
  <r>
    <s v="PUR0079"/>
    <x v="138"/>
    <x v="11"/>
    <x v="2"/>
    <n v="445"/>
    <n v="366.83"/>
    <n v="5"/>
    <n v="18"/>
    <s v="Delivered"/>
    <n v="182991.31135"/>
  </r>
  <r>
    <s v="PUR0370"/>
    <x v="138"/>
    <x v="13"/>
    <x v="0"/>
    <n v="180"/>
    <n v="417.97"/>
    <n v="2"/>
    <n v="18"/>
    <s v="Delivered"/>
    <n v="87001.291440000001"/>
  </r>
  <r>
    <s v="PUR0413"/>
    <x v="139"/>
    <x v="11"/>
    <x v="2"/>
    <n v="152"/>
    <n v="333.55"/>
    <n v="0"/>
    <n v="18"/>
    <s v="Delivered"/>
    <n v="59825.527999999998"/>
  </r>
  <r>
    <s v="PUR0499"/>
    <x v="139"/>
    <x v="8"/>
    <x v="7"/>
    <n v="299"/>
    <n v="91.71"/>
    <n v="5"/>
    <n v="18"/>
    <s v="Delivered"/>
    <n v="30739.266089999994"/>
  </r>
  <r>
    <s v="PUR0056"/>
    <x v="140"/>
    <x v="6"/>
    <x v="3"/>
    <n v="270"/>
    <n v="31.81"/>
    <n v="0"/>
    <n v="12"/>
    <s v="Delivered"/>
    <n v="9619.3439999999991"/>
  </r>
  <r>
    <s v="PUR0331"/>
    <x v="141"/>
    <x v="11"/>
    <x v="17"/>
    <n v="1147"/>
    <n v="480.83"/>
    <n v="0"/>
    <n v="18"/>
    <s v="Delivered"/>
    <n v="650784.17180000001"/>
  </r>
  <r>
    <s v="PUR0438"/>
    <x v="142"/>
    <x v="14"/>
    <x v="20"/>
    <n v="350"/>
    <n v="183.19"/>
    <n v="5"/>
    <n v="18"/>
    <s v="Delivered"/>
    <n v="71874.596499999985"/>
  </r>
  <r>
    <s v="PUR0286"/>
    <x v="143"/>
    <x v="14"/>
    <x v="4"/>
    <n v="473"/>
    <n v="35.159999999999997"/>
    <n v="0"/>
    <n v="18"/>
    <s v="Delivered"/>
    <n v="19624.202399999995"/>
  </r>
  <r>
    <s v="PUR0552"/>
    <x v="143"/>
    <x v="27"/>
    <x v="22"/>
    <n v="716"/>
    <n v="68.42"/>
    <n v="3"/>
    <n v="18"/>
    <s v="Delivered"/>
    <n v="56072.488912000001"/>
  </r>
  <r>
    <s v="PUR0027"/>
    <x v="144"/>
    <x v="2"/>
    <x v="12"/>
    <n v="156"/>
    <n v="254.12"/>
    <n v="3"/>
    <n v="18"/>
    <s v="Delivered"/>
    <n v="45375.057311999997"/>
  </r>
  <r>
    <s v="PUR0500"/>
    <x v="144"/>
    <x v="11"/>
    <x v="8"/>
    <n v="482"/>
    <n v="825.41"/>
    <n v="5"/>
    <n v="18"/>
    <s v="Delivered"/>
    <n v="445987.18201999995"/>
  </r>
  <r>
    <s v="PUR0354"/>
    <x v="145"/>
    <x v="9"/>
    <x v="4"/>
    <n v="75"/>
    <n v="35.86"/>
    <n v="0"/>
    <n v="18"/>
    <s v="Delivered"/>
    <n v="3173.6099999999997"/>
  </r>
  <r>
    <s v="PUR0376"/>
    <x v="145"/>
    <x v="11"/>
    <x v="17"/>
    <n v="267"/>
    <n v="460"/>
    <n v="3"/>
    <n v="18"/>
    <s v="Delivered"/>
    <n v="140579.772"/>
  </r>
  <r>
    <s v="PUR0224"/>
    <x v="145"/>
    <x v="26"/>
    <x v="18"/>
    <n v="568"/>
    <n v="69.2"/>
    <n v="2"/>
    <n v="12"/>
    <s v="Delayed"/>
    <n v="43141.826560000001"/>
  </r>
  <r>
    <s v="PUR0298"/>
    <x v="146"/>
    <x v="27"/>
    <x v="22"/>
    <n v="222"/>
    <n v="74.25"/>
    <n v="5"/>
    <n v="18"/>
    <s v="Partial"/>
    <n v="18478.003499999999"/>
  </r>
  <r>
    <s v="PUR0613"/>
    <x v="147"/>
    <x v="3"/>
    <x v="10"/>
    <n v="180"/>
    <n v="641.65"/>
    <n v="0"/>
    <n v="18"/>
    <s v="Delivered"/>
    <n v="136286.46"/>
  </r>
  <r>
    <s v="PUR0199"/>
    <x v="147"/>
    <x v="26"/>
    <x v="18"/>
    <n v="550"/>
    <n v="65.25"/>
    <n v="5"/>
    <n v="12"/>
    <s v="Delivered"/>
    <n v="38184.300000000003"/>
  </r>
  <r>
    <s v="PUR0647"/>
    <x v="147"/>
    <x v="22"/>
    <x v="15"/>
    <n v="518"/>
    <n v="48.59"/>
    <n v="7"/>
    <n v="18"/>
    <s v="Delayed"/>
    <n v="27621.140988000003"/>
  </r>
  <r>
    <s v="PUR0334"/>
    <x v="147"/>
    <x v="14"/>
    <x v="6"/>
    <n v="357"/>
    <n v="133.63"/>
    <n v="2"/>
    <n v="18"/>
    <s v="Partial"/>
    <n v="55167.114323999995"/>
  </r>
  <r>
    <s v="PUR0059"/>
    <x v="147"/>
    <x v="24"/>
    <x v="19"/>
    <n v="312"/>
    <n v="54.23"/>
    <n v="7"/>
    <n v="18"/>
    <s v="Delivered"/>
    <n v="18567.744623999995"/>
  </r>
  <r>
    <s v="PUR0404"/>
    <x v="148"/>
    <x v="6"/>
    <x v="18"/>
    <n v="486"/>
    <n v="69.489999999999995"/>
    <n v="0"/>
    <n v="12"/>
    <s v="Delayed"/>
    <n v="37824.796800000004"/>
  </r>
  <r>
    <s v="PUR0102"/>
    <x v="149"/>
    <x v="17"/>
    <x v="11"/>
    <n v="66"/>
    <n v="86.88"/>
    <n v="0"/>
    <n v="18"/>
    <s v="Delivered"/>
    <n v="6766.2143999999998"/>
  </r>
  <r>
    <s v="PUR0197"/>
    <x v="149"/>
    <x v="3"/>
    <x v="1"/>
    <n v="161"/>
    <n v="1491.34"/>
    <n v="0"/>
    <n v="18"/>
    <s v="Delayed"/>
    <n v="283324.7732"/>
  </r>
  <r>
    <s v="PUR0594"/>
    <x v="149"/>
    <x v="8"/>
    <x v="10"/>
    <n v="142"/>
    <n v="586.04"/>
    <n v="0"/>
    <n v="18"/>
    <s v="Delivered"/>
    <n v="98196.862399999984"/>
  </r>
  <r>
    <s v="PUR0511"/>
    <x v="150"/>
    <x v="11"/>
    <x v="8"/>
    <n v="349"/>
    <n v="739.89"/>
    <n v="0"/>
    <n v="18"/>
    <s v="Delivered"/>
    <n v="304701.49979999999"/>
  </r>
  <r>
    <s v="PUR0486"/>
    <x v="150"/>
    <x v="13"/>
    <x v="13"/>
    <n v="220"/>
    <n v="252.68"/>
    <n v="0"/>
    <n v="18"/>
    <s v="Delivered"/>
    <n v="65595.727999999988"/>
  </r>
  <r>
    <s v="PUR0210"/>
    <x v="150"/>
    <x v="23"/>
    <x v="8"/>
    <n v="259"/>
    <n v="830.72"/>
    <n v="7"/>
    <n v="18"/>
    <s v="Delivered"/>
    <n v="236112.72115199998"/>
  </r>
  <r>
    <s v="PUR0175"/>
    <x v="150"/>
    <x v="14"/>
    <x v="9"/>
    <n v="307"/>
    <n v="324.52999999999997"/>
    <n v="2"/>
    <n v="18"/>
    <s v="Delivered"/>
    <n v="115212.95304399999"/>
  </r>
  <r>
    <s v="PUR0351"/>
    <x v="151"/>
    <x v="4"/>
    <x v="3"/>
    <n v="662"/>
    <n v="31.43"/>
    <n v="2"/>
    <n v="12"/>
    <s v="Delivered"/>
    <n v="22837.390016000001"/>
  </r>
  <r>
    <s v="PUR0383"/>
    <x v="151"/>
    <x v="20"/>
    <x v="6"/>
    <n v="1178"/>
    <n v="119.67"/>
    <n v="5"/>
    <n v="18"/>
    <s v="Delivered"/>
    <n v="158028.78246000002"/>
  </r>
  <r>
    <s v="PUR0005"/>
    <x v="152"/>
    <x v="20"/>
    <x v="4"/>
    <n v="193"/>
    <n v="37.28"/>
    <n v="0"/>
    <n v="18"/>
    <s v="Delivered"/>
    <n v="8490.1471999999994"/>
  </r>
  <r>
    <s v="PUR0602"/>
    <x v="152"/>
    <x v="26"/>
    <x v="3"/>
    <n v="282"/>
    <n v="32.229999999999997"/>
    <n v="10"/>
    <n v="12"/>
    <s v="Delivered"/>
    <n v="9161.5708799999993"/>
  </r>
  <r>
    <s v="PUR0480"/>
    <x v="152"/>
    <x v="9"/>
    <x v="6"/>
    <n v="235"/>
    <n v="133.04"/>
    <n v="3"/>
    <n v="18"/>
    <s v="Delivered"/>
    <n v="35785.232239999998"/>
  </r>
  <r>
    <s v="PUR0688"/>
    <x v="153"/>
    <x v="7"/>
    <x v="4"/>
    <n v="126"/>
    <n v="36.24"/>
    <n v="5"/>
    <n v="18"/>
    <s v="Delivered"/>
    <n v="5118.7550400000009"/>
  </r>
  <r>
    <s v="PUR0017"/>
    <x v="153"/>
    <x v="1"/>
    <x v="10"/>
    <n v="313"/>
    <n v="596.02"/>
    <n v="2"/>
    <n v="18"/>
    <s v="Delivered"/>
    <n v="215731.34626399996"/>
  </r>
  <r>
    <s v="PUR0488"/>
    <x v="153"/>
    <x v="2"/>
    <x v="17"/>
    <n v="160"/>
    <n v="482.93"/>
    <n v="5"/>
    <n v="18"/>
    <s v="Delivered"/>
    <n v="86618.324800000002"/>
  </r>
  <r>
    <s v="PUR0657"/>
    <x v="153"/>
    <x v="5"/>
    <x v="20"/>
    <n v="164"/>
    <n v="174.75"/>
    <n v="0"/>
    <n v="18"/>
    <s v="Delivered"/>
    <n v="33817.619999999995"/>
  </r>
  <r>
    <s v="PUR0099"/>
    <x v="154"/>
    <x v="12"/>
    <x v="3"/>
    <n v="150"/>
    <n v="32.57"/>
    <n v="10"/>
    <n v="12"/>
    <s v="Delivered"/>
    <n v="4924.5839999999998"/>
  </r>
  <r>
    <s v="PUR0396"/>
    <x v="154"/>
    <x v="19"/>
    <x v="14"/>
    <n v="254"/>
    <n v="209.68"/>
    <n v="3"/>
    <n v="18"/>
    <s v="Delivered"/>
    <n v="60959.930912000003"/>
  </r>
  <r>
    <s v="PUR0663"/>
    <x v="155"/>
    <x v="22"/>
    <x v="17"/>
    <n v="432"/>
    <n v="455.35"/>
    <n v="0"/>
    <n v="18"/>
    <s v="Delivered"/>
    <n v="232119.21600000001"/>
  </r>
  <r>
    <s v="PUR0643"/>
    <x v="155"/>
    <x v="7"/>
    <x v="16"/>
    <n v="450"/>
    <n v="190.1"/>
    <n v="0"/>
    <n v="18"/>
    <s v="Delivered"/>
    <n v="100943.09999999999"/>
  </r>
  <r>
    <s v="PUR0693"/>
    <x v="155"/>
    <x v="10"/>
    <x v="12"/>
    <n v="256"/>
    <n v="254.36"/>
    <n v="0"/>
    <n v="18"/>
    <s v="Delivered"/>
    <n v="76837.068799999994"/>
  </r>
  <r>
    <s v="PUR0040"/>
    <x v="156"/>
    <x v="9"/>
    <x v="6"/>
    <n v="187"/>
    <n v="119.79"/>
    <n v="0"/>
    <n v="18"/>
    <s v="Delivered"/>
    <n v="26432.861399999998"/>
  </r>
  <r>
    <s v="PUR0086"/>
    <x v="156"/>
    <x v="1"/>
    <x v="7"/>
    <n v="716"/>
    <n v="94.67"/>
    <n v="0"/>
    <n v="18"/>
    <s v="Delivered"/>
    <n v="79984.789600000004"/>
  </r>
  <r>
    <s v="PUR0136"/>
    <x v="156"/>
    <x v="18"/>
    <x v="23"/>
    <n v="104"/>
    <n v="655.54"/>
    <n v="2"/>
    <n v="18"/>
    <s v="Delivered"/>
    <n v="78838.911424000005"/>
  </r>
  <r>
    <s v="PUR0360"/>
    <x v="157"/>
    <x v="22"/>
    <x v="12"/>
    <n v="178"/>
    <n v="255.76"/>
    <n v="5"/>
    <n v="18"/>
    <s v="Delivered"/>
    <n v="51033.838879999996"/>
  </r>
  <r>
    <s v="PUR0623"/>
    <x v="157"/>
    <x v="5"/>
    <x v="6"/>
    <n v="320"/>
    <n v="118.45"/>
    <n v="0"/>
    <n v="18"/>
    <s v="Delivered"/>
    <n v="44726.720000000001"/>
  </r>
  <r>
    <s v="PUR0687"/>
    <x v="158"/>
    <x v="23"/>
    <x v="2"/>
    <n v="333"/>
    <n v="345.51"/>
    <n v="5"/>
    <n v="18"/>
    <s v="Delayed"/>
    <n v="128976.46442999999"/>
  </r>
  <r>
    <s v="PUR0658"/>
    <x v="159"/>
    <x v="13"/>
    <x v="0"/>
    <n v="580"/>
    <n v="406.5"/>
    <n v="5"/>
    <n v="18"/>
    <s v="Delivered"/>
    <n v="264298.17"/>
  </r>
  <r>
    <s v="PUR0154"/>
    <x v="160"/>
    <x v="23"/>
    <x v="17"/>
    <n v="173"/>
    <n v="478.62"/>
    <n v="7"/>
    <n v="18"/>
    <s v="Delivered"/>
    <n v="90866.102723999997"/>
  </r>
  <r>
    <s v="PUR0248"/>
    <x v="160"/>
    <x v="18"/>
    <x v="2"/>
    <n v="471"/>
    <n v="351.72"/>
    <n v="0"/>
    <n v="18"/>
    <s v="Delivered"/>
    <n v="195478.94160000002"/>
  </r>
  <r>
    <s v="PUR0421"/>
    <x v="161"/>
    <x v="21"/>
    <x v="16"/>
    <n v="444"/>
    <n v="190.07"/>
    <n v="7"/>
    <n v="18"/>
    <s v="Partial"/>
    <n v="92610.771192"/>
  </r>
  <r>
    <s v="PUR0081"/>
    <x v="161"/>
    <x v="15"/>
    <x v="11"/>
    <n v="150"/>
    <n v="88.64"/>
    <n v="0"/>
    <n v="18"/>
    <s v="Delivered"/>
    <n v="15689.279999999999"/>
  </r>
  <r>
    <s v="PUR0253"/>
    <x v="161"/>
    <x v="7"/>
    <x v="4"/>
    <n v="293"/>
    <n v="37.6"/>
    <n v="5"/>
    <n v="18"/>
    <s v="Delivered"/>
    <n v="12349.8328"/>
  </r>
  <r>
    <s v="PUR0517"/>
    <x v="161"/>
    <x v="0"/>
    <x v="10"/>
    <n v="214"/>
    <n v="642.16"/>
    <n v="5"/>
    <n v="18"/>
    <s v="Delivered"/>
    <n v="154050.33103999996"/>
  </r>
  <r>
    <s v="PUR0359"/>
    <x v="162"/>
    <x v="14"/>
    <x v="20"/>
    <n v="134"/>
    <n v="187.84"/>
    <n v="5"/>
    <n v="18"/>
    <s v="Delayed"/>
    <n v="28216.197759999999"/>
  </r>
  <r>
    <s v="PUR0522"/>
    <x v="162"/>
    <x v="27"/>
    <x v="24"/>
    <n v="172"/>
    <n v="177.21"/>
    <n v="2"/>
    <n v="18"/>
    <s v="Delivered"/>
    <n v="35247.210768000004"/>
  </r>
  <r>
    <s v="PUR0616"/>
    <x v="163"/>
    <x v="18"/>
    <x v="11"/>
    <n v="192"/>
    <n v="85.94"/>
    <n v="0"/>
    <n v="18"/>
    <s v="Delayed"/>
    <n v="19470.5664"/>
  </r>
  <r>
    <s v="PUR0690"/>
    <x v="163"/>
    <x v="8"/>
    <x v="10"/>
    <n v="223"/>
    <n v="602.42999999999995"/>
    <n v="7"/>
    <n v="18"/>
    <s v="Partial"/>
    <n v="147426.79008599996"/>
  </r>
  <r>
    <s v="PUR0001"/>
    <x v="163"/>
    <x v="9"/>
    <x v="4"/>
    <n v="370"/>
    <n v="35.049999999999997"/>
    <n v="5"/>
    <n v="18"/>
    <s v="Delivered"/>
    <n v="14537.688499999997"/>
  </r>
  <r>
    <s v="PUR0344"/>
    <x v="163"/>
    <x v="2"/>
    <x v="16"/>
    <n v="552"/>
    <n v="189.46"/>
    <n v="0"/>
    <n v="18"/>
    <s v="Delivered"/>
    <n v="123406.66559999999"/>
  </r>
  <r>
    <s v="PUR0181"/>
    <x v="164"/>
    <x v="10"/>
    <x v="16"/>
    <n v="306"/>
    <n v="198.57"/>
    <n v="0"/>
    <n v="18"/>
    <s v="Delayed"/>
    <n v="71699.655599999998"/>
  </r>
  <r>
    <s v="PUR0187"/>
    <x v="164"/>
    <x v="11"/>
    <x v="12"/>
    <n v="395"/>
    <n v="268.42"/>
    <n v="10"/>
    <n v="18"/>
    <s v="Delivered"/>
    <n v="112599.50580000001"/>
  </r>
  <r>
    <s v="PUR0127"/>
    <x v="164"/>
    <x v="12"/>
    <x v="18"/>
    <n v="377"/>
    <n v="67.86"/>
    <n v="5"/>
    <n v="12"/>
    <s v="Delivered"/>
    <n v="27220.546080000004"/>
  </r>
  <r>
    <s v="PUR0525"/>
    <x v="164"/>
    <x v="27"/>
    <x v="22"/>
    <n v="182"/>
    <n v="65.81"/>
    <n v="0"/>
    <n v="18"/>
    <s v="Delivered"/>
    <n v="14133.355599999999"/>
  </r>
  <r>
    <s v="PUR0141"/>
    <x v="165"/>
    <x v="9"/>
    <x v="6"/>
    <n v="88"/>
    <n v="127.83"/>
    <n v="0"/>
    <n v="18"/>
    <s v="Delayed"/>
    <n v="13273.867199999999"/>
  </r>
  <r>
    <s v="PUR0316"/>
    <x v="166"/>
    <x v="26"/>
    <x v="18"/>
    <n v="396"/>
    <n v="64.709999999999994"/>
    <n v="0"/>
    <n v="12"/>
    <s v="Delivered"/>
    <n v="28700.179199999999"/>
  </r>
  <r>
    <s v="PUR0560"/>
    <x v="166"/>
    <x v="1"/>
    <x v="1"/>
    <n v="204"/>
    <n v="1454.04"/>
    <n v="10"/>
    <n v="18"/>
    <s v="Delivered"/>
    <n v="315014.85791999998"/>
  </r>
  <r>
    <s v="PUR0412"/>
    <x v="166"/>
    <x v="5"/>
    <x v="4"/>
    <n v="342"/>
    <n v="36.79"/>
    <n v="2"/>
    <n v="18"/>
    <s v="Delivered"/>
    <n v="14550.032952"/>
  </r>
  <r>
    <s v="PUR0461"/>
    <x v="166"/>
    <x v="15"/>
    <x v="11"/>
    <n v="337"/>
    <n v="90.77"/>
    <n v="5"/>
    <n v="18"/>
    <s v="Delivered"/>
    <n v="34290.818289999996"/>
  </r>
  <r>
    <s v="PUR0114"/>
    <x v="167"/>
    <x v="21"/>
    <x v="2"/>
    <n v="178"/>
    <n v="349.17"/>
    <n v="0"/>
    <n v="18"/>
    <s v="Delivered"/>
    <n v="73339.666799999992"/>
  </r>
  <r>
    <s v="PUR0257"/>
    <x v="167"/>
    <x v="14"/>
    <x v="9"/>
    <n v="508"/>
    <n v="344"/>
    <n v="7"/>
    <n v="18"/>
    <s v="Delivered"/>
    <n v="191772.84479999996"/>
  </r>
  <r>
    <s v="PUR0259"/>
    <x v="168"/>
    <x v="23"/>
    <x v="17"/>
    <n v="287"/>
    <n v="487.72"/>
    <n v="10"/>
    <n v="18"/>
    <s v="Delivered"/>
    <n v="148654.12968000001"/>
  </r>
  <r>
    <s v="PUR0030"/>
    <x v="168"/>
    <x v="17"/>
    <x v="23"/>
    <n v="128"/>
    <n v="694.36"/>
    <n v="0"/>
    <n v="18"/>
    <s v="Delivered"/>
    <n v="104876.1344"/>
  </r>
  <r>
    <s v="PUR0120"/>
    <x v="169"/>
    <x v="24"/>
    <x v="19"/>
    <n v="84"/>
    <n v="54"/>
    <n v="2"/>
    <n v="18"/>
    <s v="Delivered"/>
    <n v="5245.4303999999993"/>
  </r>
  <r>
    <s v="PUR0546"/>
    <x v="169"/>
    <x v="17"/>
    <x v="2"/>
    <n v="116"/>
    <n v="356.59"/>
    <n v="5"/>
    <n v="18"/>
    <s v="Delivered"/>
    <n v="46369.537239999991"/>
  </r>
  <r>
    <s v="PUR0498"/>
    <x v="170"/>
    <x v="14"/>
    <x v="4"/>
    <n v="171"/>
    <n v="32.909999999999997"/>
    <n v="3"/>
    <n v="18"/>
    <s v="Delivered"/>
    <n v="6441.3624059999993"/>
  </r>
  <r>
    <s v="PUR0152"/>
    <x v="171"/>
    <x v="25"/>
    <x v="17"/>
    <n v="301"/>
    <n v="477.82"/>
    <n v="5"/>
    <n v="18"/>
    <s v="Delivered"/>
    <n v="161226.50221999997"/>
  </r>
  <r>
    <s v="PUR0010"/>
    <x v="171"/>
    <x v="23"/>
    <x v="8"/>
    <n v="346"/>
    <n v="819.13"/>
    <n v="5"/>
    <n v="18"/>
    <s v="Delivered"/>
    <n v="317712.67657999991"/>
  </r>
  <r>
    <s v="PUR0015"/>
    <x v="172"/>
    <x v="10"/>
    <x v="17"/>
    <n v="345"/>
    <n v="503.88"/>
    <n v="2"/>
    <n v="18"/>
    <s v="Delivered"/>
    <n v="201026.95704000001"/>
  </r>
  <r>
    <s v="PUR0091"/>
    <x v="172"/>
    <x v="0"/>
    <x v="7"/>
    <n v="1021"/>
    <n v="97.63"/>
    <n v="3"/>
    <n v="18"/>
    <s v="Delivered"/>
    <n v="114093.99125799998"/>
  </r>
  <r>
    <s v="PUR0293"/>
    <x v="173"/>
    <x v="17"/>
    <x v="12"/>
    <n v="146"/>
    <n v="274.05"/>
    <n v="0"/>
    <n v="18"/>
    <s v="Partial"/>
    <n v="47213.334000000003"/>
  </r>
  <r>
    <s v="PUR0528"/>
    <x v="173"/>
    <x v="3"/>
    <x v="10"/>
    <n v="420"/>
    <n v="590.48"/>
    <n v="0"/>
    <n v="18"/>
    <s v="Delivered"/>
    <n v="292641.88799999998"/>
  </r>
  <r>
    <s v="PUR0315"/>
    <x v="173"/>
    <x v="16"/>
    <x v="1"/>
    <n v="172"/>
    <n v="1463.61"/>
    <n v="0"/>
    <n v="18"/>
    <s v="Delayed"/>
    <n v="297054.28559999994"/>
  </r>
  <r>
    <s v="PUR0297"/>
    <x v="173"/>
    <x v="5"/>
    <x v="9"/>
    <n v="67"/>
    <n v="334.27"/>
    <n v="0"/>
    <n v="18"/>
    <s v="Delivered"/>
    <n v="26427.386199999997"/>
  </r>
  <r>
    <s v="PUR0400"/>
    <x v="173"/>
    <x v="5"/>
    <x v="9"/>
    <n v="167"/>
    <n v="333.1"/>
    <n v="3"/>
    <n v="18"/>
    <s v="Delivered"/>
    <n v="63671.46542"/>
  </r>
  <r>
    <s v="PUR0583"/>
    <x v="174"/>
    <x v="22"/>
    <x v="12"/>
    <n v="271"/>
    <n v="267.98"/>
    <n v="3"/>
    <n v="18"/>
    <s v="Delivered"/>
    <n v="83123.805068000001"/>
  </r>
  <r>
    <s v="PUR0678"/>
    <x v="174"/>
    <x v="7"/>
    <x v="12"/>
    <n v="471"/>
    <n v="273.58999999999997"/>
    <n v="2"/>
    <n v="18"/>
    <s v="Delivered"/>
    <n v="149014.73319599999"/>
  </r>
  <r>
    <s v="PUR0612"/>
    <x v="174"/>
    <x v="14"/>
    <x v="20"/>
    <n v="415"/>
    <n v="170.18"/>
    <n v="2"/>
    <n v="18"/>
    <s v="Delivered"/>
    <n v="81670.403079999989"/>
  </r>
  <r>
    <s v="PUR0012"/>
    <x v="174"/>
    <x v="24"/>
    <x v="19"/>
    <n v="268"/>
    <n v="57.59"/>
    <n v="3"/>
    <n v="18"/>
    <s v="Delivered"/>
    <n v="17665.893752"/>
  </r>
  <r>
    <s v="PUR0485"/>
    <x v="174"/>
    <x v="3"/>
    <x v="13"/>
    <n v="532"/>
    <n v="233.19"/>
    <n v="2"/>
    <n v="18"/>
    <s v="Delivered"/>
    <n v="143459.60731199998"/>
  </r>
  <r>
    <s v="PUR0427"/>
    <x v="175"/>
    <x v="7"/>
    <x v="6"/>
    <n v="313"/>
    <n v="118.71"/>
    <n v="0"/>
    <n v="18"/>
    <s v="Delivered"/>
    <n v="43844.351399999992"/>
  </r>
  <r>
    <s v="PUR0011"/>
    <x v="175"/>
    <x v="15"/>
    <x v="8"/>
    <n v="557"/>
    <n v="748.47"/>
    <n v="5"/>
    <n v="18"/>
    <s v="Delivered"/>
    <n v="467342.42258999997"/>
  </r>
  <r>
    <s v="PUR0597"/>
    <x v="175"/>
    <x v="21"/>
    <x v="11"/>
    <n v="120"/>
    <n v="91.32"/>
    <n v="5"/>
    <n v="18"/>
    <s v="Delivered"/>
    <n v="12284.366399999999"/>
  </r>
  <r>
    <s v="PUR0160"/>
    <x v="176"/>
    <x v="19"/>
    <x v="14"/>
    <n v="263"/>
    <n v="223.49"/>
    <n v="0"/>
    <n v="18"/>
    <s v="Delivered"/>
    <n v="69357.886599999998"/>
  </r>
  <r>
    <s v="PUR0482"/>
    <x v="177"/>
    <x v="26"/>
    <x v="3"/>
    <n v="423"/>
    <n v="33.950000000000003"/>
    <n v="7"/>
    <n v="12"/>
    <s v="Delivered"/>
    <n v="14958.261360000002"/>
  </r>
  <r>
    <s v="PUR0244"/>
    <x v="178"/>
    <x v="9"/>
    <x v="4"/>
    <n v="129"/>
    <n v="37.090000000000003"/>
    <n v="3"/>
    <n v="18"/>
    <s v="Delayed"/>
    <n v="5476.4646060000005"/>
  </r>
  <r>
    <s v="PUR0681"/>
    <x v="178"/>
    <x v="2"/>
    <x v="16"/>
    <n v="519"/>
    <n v="183.05"/>
    <n v="0"/>
    <n v="18"/>
    <s v="Delivered"/>
    <n v="112103.48100000001"/>
  </r>
  <r>
    <s v="PUR0607"/>
    <x v="178"/>
    <x v="3"/>
    <x v="1"/>
    <n v="271"/>
    <n v="1534.92"/>
    <n v="7"/>
    <n v="18"/>
    <s v="Delivered"/>
    <n v="456478.14736799995"/>
  </r>
  <r>
    <s v="PUR0340"/>
    <x v="179"/>
    <x v="8"/>
    <x v="1"/>
    <n v="409"/>
    <n v="1564.69"/>
    <n v="3"/>
    <n v="18"/>
    <s v="Delivered"/>
    <n v="732496.167166"/>
  </r>
  <r>
    <s v="PUR0342"/>
    <x v="179"/>
    <x v="13"/>
    <x v="0"/>
    <n v="577"/>
    <n v="420.66"/>
    <n v="10"/>
    <n v="18"/>
    <s v="Delayed"/>
    <n v="257769.51084"/>
  </r>
  <r>
    <s v="PUR0072"/>
    <x v="180"/>
    <x v="5"/>
    <x v="9"/>
    <n v="260"/>
    <n v="331.54"/>
    <n v="2"/>
    <n v="18"/>
    <s v="Delivered"/>
    <n v="99682.142560000008"/>
  </r>
  <r>
    <s v="PUR0534"/>
    <x v="180"/>
    <x v="16"/>
    <x v="12"/>
    <n v="135"/>
    <n v="257.69"/>
    <n v="3"/>
    <n v="18"/>
    <s v="Delivered"/>
    <n v="39818.516489999995"/>
  </r>
  <r>
    <s v="PUR0445"/>
    <x v="180"/>
    <x v="4"/>
    <x v="18"/>
    <n v="454"/>
    <n v="67.150000000000006"/>
    <n v="5"/>
    <n v="12"/>
    <s v="Partial"/>
    <n v="32437.210400000004"/>
  </r>
  <r>
    <s v="PUR0653"/>
    <x v="181"/>
    <x v="19"/>
    <x v="14"/>
    <n v="215"/>
    <n v="199.57"/>
    <n v="5"/>
    <n v="18"/>
    <s v="Delivered"/>
    <n v="48099.363549999987"/>
  </r>
  <r>
    <s v="PUR0089"/>
    <x v="181"/>
    <x v="17"/>
    <x v="15"/>
    <n v="450"/>
    <n v="45.29"/>
    <n v="3"/>
    <n v="18"/>
    <s v="Delivered"/>
    <n v="23327.520299999996"/>
  </r>
  <r>
    <s v="PUR0064"/>
    <x v="181"/>
    <x v="19"/>
    <x v="14"/>
    <n v="291"/>
    <n v="200.19"/>
    <n v="3"/>
    <n v="18"/>
    <s v="Delivered"/>
    <n v="66679.004933999997"/>
  </r>
  <r>
    <s v="PUR0271"/>
    <x v="182"/>
    <x v="20"/>
    <x v="6"/>
    <n v="226"/>
    <n v="121.49"/>
    <n v="0"/>
    <n v="18"/>
    <s v="Partial"/>
    <n v="32398.953199999996"/>
  </r>
  <r>
    <s v="PUR0063"/>
    <x v="182"/>
    <x v="23"/>
    <x v="12"/>
    <n v="167"/>
    <n v="272.89"/>
    <n v="10"/>
    <n v="18"/>
    <s v="Delivered"/>
    <n v="48398.133059999993"/>
  </r>
  <r>
    <s v="PUR0083"/>
    <x v="182"/>
    <x v="15"/>
    <x v="12"/>
    <n v="175"/>
    <n v="250.7"/>
    <n v="0"/>
    <n v="18"/>
    <s v="Partial"/>
    <n v="51769.549999999996"/>
  </r>
  <r>
    <s v="PUR0642"/>
    <x v="183"/>
    <x v="20"/>
    <x v="6"/>
    <n v="209"/>
    <n v="130.88999999999999"/>
    <n v="7"/>
    <n v="18"/>
    <s v="Delivered"/>
    <n v="30020.485373999993"/>
  </r>
  <r>
    <s v="PUR0274"/>
    <x v="184"/>
    <x v="17"/>
    <x v="15"/>
    <n v="416"/>
    <n v="46.47"/>
    <n v="10"/>
    <n v="18"/>
    <s v="Delivered"/>
    <n v="20530.074240000002"/>
  </r>
  <r>
    <s v="PUR0604"/>
    <x v="184"/>
    <x v="18"/>
    <x v="8"/>
    <n v="395"/>
    <n v="741.01"/>
    <n v="7"/>
    <n v="18"/>
    <s v="Delivered"/>
    <n v="321207.82773000002"/>
  </r>
  <r>
    <s v="PUR0301"/>
    <x v="185"/>
    <x v="13"/>
    <x v="0"/>
    <n v="217"/>
    <n v="441.61"/>
    <n v="5"/>
    <n v="18"/>
    <s v="Delivered"/>
    <n v="107424.72377"/>
  </r>
  <r>
    <s v="PUR0305"/>
    <x v="185"/>
    <x v="14"/>
    <x v="20"/>
    <n v="125"/>
    <n v="191.06"/>
    <n v="3"/>
    <n v="18"/>
    <s v="Delivered"/>
    <n v="27335.909499999994"/>
  </r>
  <r>
    <s v="PUR0312"/>
    <x v="185"/>
    <x v="13"/>
    <x v="13"/>
    <n v="245"/>
    <n v="239.46"/>
    <n v="0"/>
    <n v="18"/>
    <s v="Delivered"/>
    <n v="69227.885999999999"/>
  </r>
  <r>
    <s v="PUR0471"/>
    <x v="185"/>
    <x v="7"/>
    <x v="23"/>
    <n v="693"/>
    <n v="687.09"/>
    <n v="0"/>
    <n v="18"/>
    <s v="Delivered"/>
    <n v="561860.97659999994"/>
  </r>
  <r>
    <s v="PUR0468"/>
    <x v="186"/>
    <x v="14"/>
    <x v="6"/>
    <n v="176"/>
    <n v="124.43"/>
    <n v="0"/>
    <n v="18"/>
    <s v="Delivered"/>
    <n v="25841.6224"/>
  </r>
  <r>
    <s v="PUR0418"/>
    <x v="187"/>
    <x v="8"/>
    <x v="0"/>
    <n v="157"/>
    <n v="451.96"/>
    <n v="3"/>
    <n v="18"/>
    <s v="Delivered"/>
    <n v="81218.206311999995"/>
  </r>
  <r>
    <s v="PUR0246"/>
    <x v="187"/>
    <x v="19"/>
    <x v="14"/>
    <n v="53"/>
    <n v="209.89"/>
    <n v="2"/>
    <n v="18"/>
    <s v="Delivered"/>
    <n v="12863.990187999998"/>
  </r>
  <r>
    <s v="PUR0514"/>
    <x v="188"/>
    <x v="26"/>
    <x v="5"/>
    <n v="348"/>
    <n v="18.02"/>
    <n v="0"/>
    <n v="12"/>
    <s v="Delivered"/>
    <n v="7023.4752000000008"/>
  </r>
  <r>
    <s v="PUR0082"/>
    <x v="189"/>
    <x v="11"/>
    <x v="16"/>
    <n v="138"/>
    <n v="180.05"/>
    <n v="0"/>
    <n v="18"/>
    <s v="Delayed"/>
    <n v="29319.342000000001"/>
  </r>
  <r>
    <s v="PUR0530"/>
    <x v="189"/>
    <x v="10"/>
    <x v="16"/>
    <n v="337"/>
    <n v="204.35"/>
    <n v="7"/>
    <n v="18"/>
    <s v="Delivered"/>
    <n v="75573.493529999992"/>
  </r>
  <r>
    <s v="PUR0554"/>
    <x v="190"/>
    <x v="19"/>
    <x v="14"/>
    <n v="431"/>
    <n v="197.55"/>
    <n v="5"/>
    <n v="18"/>
    <s v="Delivered"/>
    <n v="95446.480049999998"/>
  </r>
  <r>
    <s v="PUR0329"/>
    <x v="190"/>
    <x v="8"/>
    <x v="1"/>
    <n v="139"/>
    <n v="1486.9"/>
    <n v="0"/>
    <n v="18"/>
    <s v="Delivered"/>
    <n v="243881.33799999999"/>
  </r>
  <r>
    <s v="PUR0470"/>
    <x v="191"/>
    <x v="3"/>
    <x v="13"/>
    <n v="652"/>
    <n v="249.01"/>
    <n v="0"/>
    <n v="18"/>
    <s v="Delayed"/>
    <n v="191578.33359999998"/>
  </r>
  <r>
    <s v="PUR0151"/>
    <x v="191"/>
    <x v="0"/>
    <x v="13"/>
    <n v="438"/>
    <n v="245.62"/>
    <n v="7"/>
    <n v="18"/>
    <s v="Delivered"/>
    <n v="118060.00394399998"/>
  </r>
  <r>
    <s v="PUR0644"/>
    <x v="192"/>
    <x v="11"/>
    <x v="12"/>
    <n v="240"/>
    <n v="246.17"/>
    <n v="2"/>
    <n v="18"/>
    <s v="Delivered"/>
    <n v="68321.037119999994"/>
  </r>
  <r>
    <s v="PUR0600"/>
    <x v="192"/>
    <x v="25"/>
    <x v="17"/>
    <n v="139"/>
    <n v="479.49"/>
    <n v="2"/>
    <n v="18"/>
    <s v="Delivered"/>
    <n v="77073.030803999995"/>
  </r>
  <r>
    <s v="PUR0106"/>
    <x v="192"/>
    <x v="5"/>
    <x v="4"/>
    <n v="150"/>
    <n v="34.57"/>
    <n v="2"/>
    <n v="18"/>
    <s v="Delayed"/>
    <n v="5996.5121999999992"/>
  </r>
  <r>
    <s v="PUR0284"/>
    <x v="192"/>
    <x v="6"/>
    <x v="5"/>
    <n v="275"/>
    <n v="17.510000000000002"/>
    <n v="7"/>
    <n v="12"/>
    <s v="Delivered"/>
    <n v="5015.5644000000002"/>
  </r>
  <r>
    <s v="PUR0324"/>
    <x v="193"/>
    <x v="26"/>
    <x v="18"/>
    <n v="241"/>
    <n v="69.13"/>
    <n v="3"/>
    <n v="12"/>
    <s v="Delivered"/>
    <n v="18099.782511999998"/>
  </r>
  <r>
    <s v="PUR0684"/>
    <x v="193"/>
    <x v="2"/>
    <x v="17"/>
    <n v="223"/>
    <n v="456.9"/>
    <n v="2"/>
    <n v="18"/>
    <s v="Delivered"/>
    <n v="117824.09267999999"/>
  </r>
  <r>
    <s v="PUR0109"/>
    <x v="194"/>
    <x v="16"/>
    <x v="12"/>
    <n v="510"/>
    <n v="280.14"/>
    <n v="2"/>
    <n v="18"/>
    <s v="Delivered"/>
    <n v="165216.48695999998"/>
  </r>
  <r>
    <s v="PUR0630"/>
    <x v="194"/>
    <x v="20"/>
    <x v="6"/>
    <n v="244"/>
    <n v="127.29"/>
    <n v="0"/>
    <n v="18"/>
    <s v="Partial"/>
    <n v="36649.336799999997"/>
  </r>
  <r>
    <s v="PUR0125"/>
    <x v="194"/>
    <x v="15"/>
    <x v="2"/>
    <n v="205"/>
    <n v="345.82"/>
    <n v="10"/>
    <n v="18"/>
    <s v="Delivered"/>
    <n v="75288.472200000004"/>
  </r>
  <r>
    <s v="PUR0252"/>
    <x v="194"/>
    <x v="6"/>
    <x v="3"/>
    <n v="310"/>
    <n v="32"/>
    <n v="0"/>
    <n v="12"/>
    <s v="Delivered"/>
    <n v="11110.400000000001"/>
  </r>
  <r>
    <s v="PUR0319"/>
    <x v="194"/>
    <x v="16"/>
    <x v="17"/>
    <n v="279"/>
    <n v="501.2"/>
    <n v="2"/>
    <n v="18"/>
    <s v="Delivered"/>
    <n v="161704.96271999998"/>
  </r>
  <r>
    <s v="PUR0222"/>
    <x v="195"/>
    <x v="1"/>
    <x v="0"/>
    <n v="308"/>
    <n v="410.72"/>
    <n v="0"/>
    <n v="18"/>
    <s v="Delivered"/>
    <n v="149272.07680000001"/>
  </r>
  <r>
    <s v="PUR0462"/>
    <x v="195"/>
    <x v="25"/>
    <x v="16"/>
    <n v="210"/>
    <n v="196.97"/>
    <n v="10"/>
    <n v="18"/>
    <s v="Delivered"/>
    <n v="43928.249400000001"/>
  </r>
  <r>
    <s v="PUR0182"/>
    <x v="195"/>
    <x v="15"/>
    <x v="21"/>
    <n v="116"/>
    <n v="103.44"/>
    <n v="0"/>
    <n v="18"/>
    <s v="Delivered"/>
    <n v="14158.867199999999"/>
  </r>
  <r>
    <s v="PUR0556"/>
    <x v="196"/>
    <x v="15"/>
    <x v="21"/>
    <n v="867"/>
    <n v="117.55"/>
    <n v="7"/>
    <n v="18"/>
    <s v="Delivered"/>
    <n v="111842.45378999997"/>
  </r>
  <r>
    <s v="PUR0458"/>
    <x v="196"/>
    <x v="14"/>
    <x v="4"/>
    <n v="175"/>
    <n v="35.17"/>
    <n v="0"/>
    <n v="18"/>
    <s v="Delivered"/>
    <n v="7262.6049999999996"/>
  </r>
  <r>
    <s v="PUR0335"/>
    <x v="197"/>
    <x v="14"/>
    <x v="9"/>
    <n v="428"/>
    <n v="308.89999999999998"/>
    <n v="0"/>
    <n v="18"/>
    <s v="Delivered"/>
    <n v="156006.85599999997"/>
  </r>
  <r>
    <s v="PUR0557"/>
    <x v="198"/>
    <x v="24"/>
    <x v="19"/>
    <n v="118"/>
    <n v="57.73"/>
    <n v="2"/>
    <n v="18"/>
    <s v="Delivered"/>
    <n v="7877.5586959999991"/>
  </r>
  <r>
    <s v="PUR0090"/>
    <x v="198"/>
    <x v="16"/>
    <x v="12"/>
    <n v="344"/>
    <n v="268.14999999999998"/>
    <n v="5"/>
    <n v="18"/>
    <s v="Delivered"/>
    <n v="103405.07559999998"/>
  </r>
  <r>
    <s v="PUR0215"/>
    <x v="198"/>
    <x v="3"/>
    <x v="1"/>
    <n v="68"/>
    <n v="1457.33"/>
    <n v="0"/>
    <n v="18"/>
    <s v="Delivered"/>
    <n v="116936.15919999999"/>
  </r>
  <r>
    <s v="PUR0226"/>
    <x v="199"/>
    <x v="6"/>
    <x v="18"/>
    <n v="187"/>
    <n v="62.98"/>
    <n v="0"/>
    <n v="12"/>
    <s v="Delivered"/>
    <n v="13190.531200000001"/>
  </r>
  <r>
    <s v="PUR0542"/>
    <x v="199"/>
    <x v="22"/>
    <x v="11"/>
    <n v="459"/>
    <n v="81.430000000000007"/>
    <n v="3"/>
    <n v="18"/>
    <s v="Delivered"/>
    <n v="42780.993102"/>
  </r>
  <r>
    <s v="PUR0646"/>
    <x v="200"/>
    <x v="21"/>
    <x v="16"/>
    <n v="259"/>
    <n v="193.07"/>
    <n v="0"/>
    <n v="18"/>
    <s v="Delivered"/>
    <n v="59006.053399999997"/>
  </r>
  <r>
    <s v="PUR0578"/>
    <x v="201"/>
    <x v="13"/>
    <x v="13"/>
    <n v="668"/>
    <n v="231.94"/>
    <n v="3"/>
    <n v="18"/>
    <s v="Partial"/>
    <n v="177339.65403199999"/>
  </r>
  <r>
    <s v="PUR0264"/>
    <x v="201"/>
    <x v="4"/>
    <x v="18"/>
    <n v="359"/>
    <n v="62.88"/>
    <n v="7"/>
    <n v="12"/>
    <s v="Delivered"/>
    <n v="23512.995072000005"/>
  </r>
  <r>
    <s v="PUR0178"/>
    <x v="202"/>
    <x v="18"/>
    <x v="21"/>
    <n v="474"/>
    <n v="112.77"/>
    <n v="2"/>
    <n v="18"/>
    <s v="Delivered"/>
    <n v="61813.026071999993"/>
  </r>
  <r>
    <s v="PUR0496"/>
    <x v="203"/>
    <x v="27"/>
    <x v="22"/>
    <n v="222"/>
    <n v="71.25"/>
    <n v="5"/>
    <n v="18"/>
    <s v="Delivered"/>
    <n v="17731.4175"/>
  </r>
  <r>
    <s v="PUR0397"/>
    <x v="204"/>
    <x v="26"/>
    <x v="5"/>
    <n v="309"/>
    <n v="18.350000000000001"/>
    <n v="5"/>
    <n v="12"/>
    <s v="Delivered"/>
    <n v="6033.0396000000001"/>
  </r>
  <r>
    <s v="PUR0239"/>
    <x v="204"/>
    <x v="2"/>
    <x v="8"/>
    <n v="543"/>
    <n v="738.94"/>
    <n v="2"/>
    <n v="18"/>
    <s v="Delayed"/>
    <n v="463999.047288"/>
  </r>
  <r>
    <s v="PUR0008"/>
    <x v="204"/>
    <x v="13"/>
    <x v="7"/>
    <n v="330"/>
    <n v="95.11"/>
    <n v="5"/>
    <n v="18"/>
    <s v="Delivered"/>
    <n v="35184.042299999994"/>
  </r>
  <r>
    <s v="PUR0392"/>
    <x v="204"/>
    <x v="12"/>
    <x v="3"/>
    <n v="95"/>
    <n v="33.53"/>
    <n v="5"/>
    <n v="12"/>
    <s v="Delivered"/>
    <n v="3389.2124000000003"/>
  </r>
  <r>
    <s v="PUR0029"/>
    <x v="205"/>
    <x v="5"/>
    <x v="6"/>
    <n v="286"/>
    <n v="122.42"/>
    <n v="5"/>
    <n v="18"/>
    <s v="Delivered"/>
    <n v="39248.586520000004"/>
  </r>
  <r>
    <s v="PUR0492"/>
    <x v="205"/>
    <x v="23"/>
    <x v="2"/>
    <n v="218"/>
    <n v="330.58"/>
    <n v="7"/>
    <n v="18"/>
    <s v="Delivered"/>
    <n v="79085.711255999995"/>
  </r>
  <r>
    <s v="PUR0364"/>
    <x v="206"/>
    <x v="9"/>
    <x v="6"/>
    <n v="152"/>
    <n v="123.45"/>
    <n v="2"/>
    <n v="18"/>
    <s v="Delivered"/>
    <n v="21699.152160000001"/>
  </r>
  <r>
    <s v="PUR0130"/>
    <x v="206"/>
    <x v="11"/>
    <x v="12"/>
    <n v="186"/>
    <n v="274.05"/>
    <n v="5"/>
    <n v="18"/>
    <s v="Delivered"/>
    <n v="57141.069300000003"/>
  </r>
  <r>
    <s v="PUR0193"/>
    <x v="206"/>
    <x v="8"/>
    <x v="0"/>
    <n v="307"/>
    <n v="448.33"/>
    <n v="3"/>
    <n v="18"/>
    <s v="Delivered"/>
    <n v="157539.665026"/>
  </r>
  <r>
    <s v="PUR0075"/>
    <x v="207"/>
    <x v="20"/>
    <x v="20"/>
    <n v="170"/>
    <n v="194.38"/>
    <n v="5"/>
    <n v="18"/>
    <s v="Delivered"/>
    <n v="37042.996599999991"/>
  </r>
  <r>
    <s v="PUR0539"/>
    <x v="207"/>
    <x v="23"/>
    <x v="12"/>
    <n v="309"/>
    <n v="256.64"/>
    <n v="0"/>
    <n v="18"/>
    <s v="Delivered"/>
    <n v="93576.076799999995"/>
  </r>
  <r>
    <s v="PUR0208"/>
    <x v="207"/>
    <x v="1"/>
    <x v="7"/>
    <n v="326"/>
    <n v="89.98"/>
    <n v="2"/>
    <n v="18"/>
    <s v="Delivered"/>
    <n v="33921.236271999995"/>
  </r>
  <r>
    <s v="PUR0567"/>
    <x v="207"/>
    <x v="2"/>
    <x v="17"/>
    <n v="446"/>
    <n v="494.64"/>
    <n v="7"/>
    <n v="18"/>
    <s v="Delivered"/>
    <n v="242096.79945599998"/>
  </r>
  <r>
    <s v="PUR0330"/>
    <x v="208"/>
    <x v="10"/>
    <x v="12"/>
    <n v="137"/>
    <n v="247.1"/>
    <n v="2"/>
    <n v="18"/>
    <s v="Delivered"/>
    <n v="39147.262279999988"/>
  </r>
  <r>
    <s v="PUR0339"/>
    <x v="208"/>
    <x v="22"/>
    <x v="16"/>
    <n v="83"/>
    <n v="205.17"/>
    <n v="0"/>
    <n v="18"/>
    <s v="Delivered"/>
    <n v="20094.3498"/>
  </r>
  <r>
    <s v="PUR0384"/>
    <x v="209"/>
    <x v="17"/>
    <x v="16"/>
    <n v="90"/>
    <n v="203.52"/>
    <n v="5"/>
    <n v="18"/>
    <s v="Delivered"/>
    <n v="20533.132799999999"/>
  </r>
  <r>
    <s v="PUR0053"/>
    <x v="210"/>
    <x v="12"/>
    <x v="5"/>
    <n v="471"/>
    <n v="17.18"/>
    <n v="0"/>
    <n v="12"/>
    <s v="Delayed"/>
    <n v="9062.7936000000009"/>
  </r>
  <r>
    <s v="PUR0410"/>
    <x v="211"/>
    <x v="0"/>
    <x v="13"/>
    <n v="247"/>
    <n v="234.4"/>
    <n v="2"/>
    <n v="18"/>
    <s v="Delivered"/>
    <n v="66951.859519999998"/>
  </r>
  <r>
    <s v="PUR0571"/>
    <x v="211"/>
    <x v="25"/>
    <x v="16"/>
    <n v="192"/>
    <n v="203.71"/>
    <n v="7"/>
    <n v="18"/>
    <s v="Delivered"/>
    <n v="42921.85996799999"/>
  </r>
  <r>
    <s v="PUR0513"/>
    <x v="212"/>
    <x v="6"/>
    <x v="18"/>
    <n v="197"/>
    <n v="61.46"/>
    <n v="3"/>
    <n v="12"/>
    <s v="Delivered"/>
    <n v="13153.718368000002"/>
  </r>
  <r>
    <s v="PUR0039"/>
    <x v="212"/>
    <x v="14"/>
    <x v="4"/>
    <n v="151"/>
    <n v="35.75"/>
    <n v="5"/>
    <n v="18"/>
    <s v="Delivered"/>
    <n v="6051.4382499999992"/>
  </r>
  <r>
    <s v="PUR0061"/>
    <x v="212"/>
    <x v="0"/>
    <x v="7"/>
    <n v="254"/>
    <n v="100.75"/>
    <n v="3"/>
    <n v="18"/>
    <s v="Delivered"/>
    <n v="29290.886299999998"/>
  </r>
  <r>
    <s v="PUR0503"/>
    <x v="213"/>
    <x v="6"/>
    <x v="5"/>
    <n v="265"/>
    <n v="18.62"/>
    <n v="5"/>
    <n v="12"/>
    <s v="Delayed"/>
    <n v="5250.0952000000007"/>
  </r>
  <r>
    <s v="PUR0123"/>
    <x v="214"/>
    <x v="11"/>
    <x v="2"/>
    <n v="268"/>
    <n v="358.17"/>
    <n v="7"/>
    <n v="18"/>
    <s v="Delivered"/>
    <n v="105338.94314399998"/>
  </r>
  <r>
    <s v="PUR0416"/>
    <x v="215"/>
    <x v="1"/>
    <x v="10"/>
    <n v="320"/>
    <n v="639.08000000000004"/>
    <n v="0"/>
    <n v="18"/>
    <s v="Delivered"/>
    <n v="241316.60800000001"/>
  </r>
  <r>
    <s v="PUR0255"/>
    <x v="216"/>
    <x v="18"/>
    <x v="16"/>
    <n v="199"/>
    <n v="182.74"/>
    <n v="7"/>
    <n v="18"/>
    <s v="Delivered"/>
    <n v="39907.236323999998"/>
  </r>
  <r>
    <s v="PUR0579"/>
    <x v="217"/>
    <x v="10"/>
    <x v="17"/>
    <n v="140"/>
    <n v="517.36"/>
    <n v="0"/>
    <n v="18"/>
    <s v="Delayed"/>
    <n v="85467.872000000003"/>
  </r>
  <r>
    <s v="PUR0173"/>
    <x v="217"/>
    <x v="13"/>
    <x v="10"/>
    <n v="539"/>
    <n v="656.7"/>
    <n v="3"/>
    <n v="18"/>
    <s v="Delivered"/>
    <n v="405144.10398000001"/>
  </r>
  <r>
    <s v="PUR0568"/>
    <x v="217"/>
    <x v="8"/>
    <x v="0"/>
    <n v="489"/>
    <n v="433.4"/>
    <n v="5"/>
    <n v="18"/>
    <s v="Delivered"/>
    <n v="237576.44459999996"/>
  </r>
  <r>
    <s v="PUR0535"/>
    <x v="217"/>
    <x v="12"/>
    <x v="5"/>
    <n v="335"/>
    <n v="19.14"/>
    <n v="2"/>
    <n v="12"/>
    <s v="Delivered"/>
    <n v="7037.7014400000007"/>
  </r>
  <r>
    <s v="PUR0209"/>
    <x v="218"/>
    <x v="24"/>
    <x v="19"/>
    <n v="501"/>
    <n v="58.02"/>
    <n v="0"/>
    <n v="18"/>
    <s v="Delivered"/>
    <n v="34300.263599999998"/>
  </r>
  <r>
    <s v="PUR0699"/>
    <x v="218"/>
    <x v="27"/>
    <x v="24"/>
    <n v="98"/>
    <n v="179.63"/>
    <n v="0"/>
    <n v="18"/>
    <s v="Delivered"/>
    <n v="20772.413199999995"/>
  </r>
  <r>
    <s v="PUR0016"/>
    <x v="219"/>
    <x v="17"/>
    <x v="11"/>
    <n v="198"/>
    <n v="80.17"/>
    <n v="5"/>
    <n v="18"/>
    <s v="Delivered"/>
    <n v="17794.372859999999"/>
  </r>
  <r>
    <s v="PUR0268"/>
    <x v="219"/>
    <x v="1"/>
    <x v="1"/>
    <n v="406"/>
    <n v="1451.26"/>
    <n v="5"/>
    <n v="18"/>
    <s v="Delivered"/>
    <n v="660506.1587599999"/>
  </r>
  <r>
    <s v="PUR0676"/>
    <x v="219"/>
    <x v="9"/>
    <x v="20"/>
    <n v="293"/>
    <n v="177.55"/>
    <n v="2"/>
    <n v="18"/>
    <s v="Delivered"/>
    <n v="60158.414259999998"/>
  </r>
  <r>
    <s v="PUR0194"/>
    <x v="220"/>
    <x v="26"/>
    <x v="3"/>
    <n v="250"/>
    <n v="32.81"/>
    <n v="5"/>
    <n v="12"/>
    <s v="Delivered"/>
    <n v="8727.4600000000009"/>
  </r>
  <r>
    <s v="PUR0272"/>
    <x v="220"/>
    <x v="18"/>
    <x v="8"/>
    <n v="177"/>
    <n v="831.13"/>
    <n v="0"/>
    <n v="18"/>
    <s v="Delivered"/>
    <n v="173589.8118"/>
  </r>
  <r>
    <s v="PUR0519"/>
    <x v="220"/>
    <x v="26"/>
    <x v="18"/>
    <n v="440"/>
    <n v="66.45"/>
    <n v="0"/>
    <n v="12"/>
    <s v="Delivered"/>
    <n v="32746.560000000001"/>
  </r>
  <r>
    <s v="PUR0695"/>
    <x v="220"/>
    <x v="8"/>
    <x v="1"/>
    <n v="231"/>
    <n v="1478.25"/>
    <n v="3"/>
    <n v="18"/>
    <s v="Delivered"/>
    <n v="390853.14344999997"/>
  </r>
  <r>
    <s v="PUR0572"/>
    <x v="221"/>
    <x v="20"/>
    <x v="9"/>
    <n v="953"/>
    <n v="334.89"/>
    <n v="0"/>
    <n v="18"/>
    <s v="Delivered"/>
    <n v="376597.20059999998"/>
  </r>
  <r>
    <s v="PUR0450"/>
    <x v="222"/>
    <x v="18"/>
    <x v="12"/>
    <n v="516"/>
    <n v="274.52"/>
    <n v="3"/>
    <n v="18"/>
    <s v="Delivered"/>
    <n v="162135.24547199995"/>
  </r>
  <r>
    <s v="PUR0652"/>
    <x v="222"/>
    <x v="6"/>
    <x v="5"/>
    <n v="279"/>
    <n v="17.73"/>
    <n v="5"/>
    <n v="12"/>
    <s v="Delivered"/>
    <n v="5263.2568799999999"/>
  </r>
  <r>
    <s v="PUR0671"/>
    <x v="222"/>
    <x v="17"/>
    <x v="21"/>
    <n v="964"/>
    <n v="104.22"/>
    <n v="0"/>
    <n v="18"/>
    <s v="Delivered"/>
    <n v="118552.33439999999"/>
  </r>
  <r>
    <s v="PUR0190"/>
    <x v="223"/>
    <x v="22"/>
    <x v="15"/>
    <n v="295"/>
    <n v="43.09"/>
    <n v="5"/>
    <n v="18"/>
    <s v="Delivered"/>
    <n v="14249.64755"/>
  </r>
  <r>
    <s v="PUR0111"/>
    <x v="223"/>
    <x v="5"/>
    <x v="6"/>
    <n v="154"/>
    <n v="125.2"/>
    <n v="5"/>
    <n v="18"/>
    <s v="Partial"/>
    <n v="21613.776799999996"/>
  </r>
  <r>
    <s v="PUR0057"/>
    <x v="224"/>
    <x v="15"/>
    <x v="8"/>
    <n v="633"/>
    <n v="778.72"/>
    <n v="2"/>
    <n v="18"/>
    <s v="Delivered"/>
    <n v="570023.97446399997"/>
  </r>
  <r>
    <s v="PUR0073"/>
    <x v="225"/>
    <x v="15"/>
    <x v="21"/>
    <n v="158"/>
    <n v="110.46"/>
    <n v="0"/>
    <n v="18"/>
    <s v="Delayed"/>
    <n v="20594.162400000001"/>
  </r>
  <r>
    <s v="PUR0371"/>
    <x v="225"/>
    <x v="0"/>
    <x v="7"/>
    <n v="273"/>
    <n v="89.59"/>
    <n v="0"/>
    <n v="18"/>
    <s v="Delivered"/>
    <n v="28860.522599999997"/>
  </r>
  <r>
    <s v="PUR0188"/>
    <x v="225"/>
    <x v="19"/>
    <x v="14"/>
    <n v="297"/>
    <n v="209.25"/>
    <n v="5"/>
    <n v="18"/>
    <s v="Delivered"/>
    <n v="69667.067249999993"/>
  </r>
  <r>
    <s v="PUR0373"/>
    <x v="225"/>
    <x v="12"/>
    <x v="18"/>
    <n v="233"/>
    <n v="68.27"/>
    <n v="7"/>
    <n v="12"/>
    <s v="Partial"/>
    <n v="16568.637456"/>
  </r>
  <r>
    <s v="PUR0669"/>
    <x v="225"/>
    <x v="21"/>
    <x v="11"/>
    <n v="290"/>
    <n v="84.42"/>
    <n v="2"/>
    <n v="18"/>
    <s v="Delivered"/>
    <n v="28310.753519999998"/>
  </r>
  <r>
    <s v="PUR0116"/>
    <x v="226"/>
    <x v="7"/>
    <x v="20"/>
    <n v="112"/>
    <n v="186.22"/>
    <n v="5"/>
    <n v="18"/>
    <s v="Delayed"/>
    <n v="23380.293439999994"/>
  </r>
  <r>
    <s v="PUR0382"/>
    <x v="226"/>
    <x v="24"/>
    <x v="19"/>
    <n v="322"/>
    <n v="56.1"/>
    <n v="7"/>
    <n v="18"/>
    <s v="Delivered"/>
    <n v="19823.653079999996"/>
  </r>
  <r>
    <s v="PUR0241"/>
    <x v="227"/>
    <x v="18"/>
    <x v="15"/>
    <n v="81"/>
    <n v="47.67"/>
    <n v="2"/>
    <n v="18"/>
    <s v="Delivered"/>
    <n v="4465.1726279999993"/>
  </r>
  <r>
    <s v="PUR0484"/>
    <x v="227"/>
    <x v="23"/>
    <x v="17"/>
    <n v="483"/>
    <n v="481.63"/>
    <n v="2"/>
    <n v="18"/>
    <s v="Delivered"/>
    <n v="269010.198156"/>
  </r>
  <r>
    <s v="PUR0290"/>
    <x v="228"/>
    <x v="15"/>
    <x v="15"/>
    <n v="331"/>
    <n v="45.81"/>
    <n v="0"/>
    <n v="18"/>
    <s v="Delivered"/>
    <n v="17892.469799999999"/>
  </r>
  <r>
    <s v="PUR0035"/>
    <x v="228"/>
    <x v="9"/>
    <x v="6"/>
    <n v="125"/>
    <n v="122.09"/>
    <n v="0"/>
    <n v="18"/>
    <s v="Delivered"/>
    <n v="18008.274999999998"/>
  </r>
  <r>
    <s v="PUR0654"/>
    <x v="228"/>
    <x v="19"/>
    <x v="14"/>
    <n v="127"/>
    <n v="224.31"/>
    <n v="2"/>
    <n v="18"/>
    <s v="Delivered"/>
    <n v="32942.794667999995"/>
  </r>
  <r>
    <s v="PUR0587"/>
    <x v="228"/>
    <x v="24"/>
    <x v="19"/>
    <n v="216"/>
    <n v="54.43"/>
    <n v="0"/>
    <n v="18"/>
    <s v="Delivered"/>
    <n v="13873.118399999998"/>
  </r>
  <r>
    <s v="PUR0281"/>
    <x v="229"/>
    <x v="26"/>
    <x v="5"/>
    <n v="128"/>
    <n v="18.97"/>
    <n v="5"/>
    <n v="12"/>
    <s v="Delivered"/>
    <n v="2583.5622400000002"/>
  </r>
  <r>
    <s v="PUR0228"/>
    <x v="230"/>
    <x v="4"/>
    <x v="5"/>
    <n v="221"/>
    <n v="17.440000000000001"/>
    <n v="7"/>
    <n v="12"/>
    <s v="Delivered"/>
    <n v="4014.5763840000004"/>
  </r>
  <r>
    <s v="PUR0549"/>
    <x v="230"/>
    <x v="9"/>
    <x v="4"/>
    <n v="228"/>
    <n v="34.340000000000003"/>
    <n v="5"/>
    <n v="18"/>
    <s v="Delivered"/>
    <n v="8776.89192"/>
  </r>
  <r>
    <s v="PUR0389"/>
    <x v="231"/>
    <x v="0"/>
    <x v="0"/>
    <n v="375"/>
    <n v="453.06"/>
    <n v="3"/>
    <n v="18"/>
    <s v="Delivered"/>
    <n v="194464.67849999998"/>
  </r>
  <r>
    <s v="PUR0677"/>
    <x v="231"/>
    <x v="6"/>
    <x v="18"/>
    <n v="251"/>
    <n v="70.13"/>
    <n v="7"/>
    <n v="12"/>
    <s v="Delivered"/>
    <n v="18334.899407999997"/>
  </r>
  <r>
    <s v="PUR0338"/>
    <x v="232"/>
    <x v="27"/>
    <x v="22"/>
    <n v="318"/>
    <n v="68.06"/>
    <n v="3"/>
    <n v="18"/>
    <s v="Delivered"/>
    <n v="24772.669367999999"/>
  </r>
  <r>
    <s v="PUR0332"/>
    <x v="232"/>
    <x v="3"/>
    <x v="13"/>
    <n v="625"/>
    <n v="241.48"/>
    <n v="3"/>
    <n v="18"/>
    <s v="Delayed"/>
    <n v="172748.755"/>
  </r>
  <r>
    <s v="PUR0002"/>
    <x v="232"/>
    <x v="11"/>
    <x v="16"/>
    <n v="242"/>
    <n v="199.51"/>
    <n v="2"/>
    <n v="18"/>
    <s v="Delivered"/>
    <n v="55832.634087999992"/>
  </r>
  <r>
    <s v="PUR0665"/>
    <x v="233"/>
    <x v="10"/>
    <x v="16"/>
    <n v="223"/>
    <n v="187.91"/>
    <n v="0"/>
    <n v="18"/>
    <s v="Delayed"/>
    <n v="49446.6374"/>
  </r>
  <r>
    <s v="PUR0044"/>
    <x v="234"/>
    <x v="10"/>
    <x v="17"/>
    <n v="171"/>
    <n v="506.94"/>
    <n v="0"/>
    <n v="18"/>
    <s v="Delivered"/>
    <n v="102290.3532"/>
  </r>
  <r>
    <s v="PUR0391"/>
    <x v="234"/>
    <x v="15"/>
    <x v="11"/>
    <n v="395"/>
    <n v="89.5"/>
    <n v="7"/>
    <n v="18"/>
    <s v="Delivered"/>
    <n v="38795.833499999993"/>
  </r>
  <r>
    <s v="PUR0105"/>
    <x v="235"/>
    <x v="22"/>
    <x v="8"/>
    <n v="233"/>
    <n v="826.24"/>
    <n v="7"/>
    <n v="18"/>
    <s v="Delivered"/>
    <n v="211264.77580800001"/>
  </r>
  <r>
    <s v="PUR0336"/>
    <x v="235"/>
    <x v="15"/>
    <x v="15"/>
    <n v="205"/>
    <n v="46.92"/>
    <n v="3"/>
    <n v="18"/>
    <s v="Delivered"/>
    <n v="11009.449559999999"/>
  </r>
  <r>
    <s v="PUR0267"/>
    <x v="236"/>
    <x v="7"/>
    <x v="21"/>
    <n v="303"/>
    <n v="111.72"/>
    <n v="0"/>
    <n v="18"/>
    <s v="Delivered"/>
    <n v="39944.368799999997"/>
  </r>
  <r>
    <s v="PUR0411"/>
    <x v="236"/>
    <x v="14"/>
    <x v="4"/>
    <n v="341"/>
    <n v="34.76"/>
    <n v="10"/>
    <n v="18"/>
    <s v="Delivered"/>
    <n v="12588.055920000001"/>
  </r>
  <r>
    <s v="PUR0212"/>
    <x v="237"/>
    <x v="15"/>
    <x v="16"/>
    <n v="211"/>
    <n v="179.53"/>
    <n v="5"/>
    <n v="18"/>
    <s v="Delivered"/>
    <n v="42464.410430000004"/>
  </r>
  <r>
    <s v="PUR0166"/>
    <x v="237"/>
    <x v="6"/>
    <x v="18"/>
    <n v="217"/>
    <n v="63.4"/>
    <n v="5"/>
    <n v="12"/>
    <s v="Delayed"/>
    <n v="14638.299199999999"/>
  </r>
  <r>
    <s v="PUR0576"/>
    <x v="238"/>
    <x v="22"/>
    <x v="21"/>
    <n v="184"/>
    <n v="104.48"/>
    <n v="7"/>
    <n v="18"/>
    <s v="Delivered"/>
    <n v="21096.768767999994"/>
  </r>
  <r>
    <s v="PUR0119"/>
    <x v="239"/>
    <x v="16"/>
    <x v="2"/>
    <n v="138"/>
    <n v="361.91"/>
    <n v="7"/>
    <n v="18"/>
    <s v="Delivered"/>
    <n v="54808.084691999997"/>
  </r>
  <r>
    <s v="PUR0325"/>
    <x v="240"/>
    <x v="27"/>
    <x v="22"/>
    <n v="115"/>
    <n v="69.19"/>
    <n v="0"/>
    <n v="18"/>
    <s v="Delivered"/>
    <n v="9389.0829999999987"/>
  </r>
  <r>
    <s v="PUR0306"/>
    <x v="240"/>
    <x v="5"/>
    <x v="20"/>
    <n v="93"/>
    <n v="192.85"/>
    <n v="2"/>
    <n v="18"/>
    <s v="Delayed"/>
    <n v="20740.091819999998"/>
  </r>
  <r>
    <s v="PUR0372"/>
    <x v="240"/>
    <x v="9"/>
    <x v="20"/>
    <n v="278"/>
    <n v="192.95"/>
    <n v="3"/>
    <n v="18"/>
    <s v="Delivered"/>
    <n v="61396.458459999994"/>
  </r>
  <r>
    <s v="PUR0273"/>
    <x v="240"/>
    <x v="10"/>
    <x v="16"/>
    <n v="230"/>
    <n v="189.99"/>
    <n v="7"/>
    <n v="18"/>
    <s v="Delivered"/>
    <n v="47953.85598"/>
  </r>
  <r>
    <s v="PUR0489"/>
    <x v="241"/>
    <x v="10"/>
    <x v="2"/>
    <n v="275"/>
    <n v="370.83"/>
    <n v="3"/>
    <n v="18"/>
    <s v="Delivered"/>
    <n v="116724.30494999999"/>
  </r>
  <r>
    <s v="PUR0084"/>
    <x v="241"/>
    <x v="15"/>
    <x v="8"/>
    <n v="293"/>
    <n v="802.7"/>
    <n v="0"/>
    <n v="18"/>
    <s v="Delayed"/>
    <n v="277525.49799999996"/>
  </r>
  <r>
    <s v="PUR0398"/>
    <x v="241"/>
    <x v="11"/>
    <x v="8"/>
    <n v="158"/>
    <n v="838.86"/>
    <n v="0"/>
    <n v="18"/>
    <s v="Delivered"/>
    <n v="156397.05840000001"/>
  </r>
  <r>
    <s v="PUR0309"/>
    <x v="242"/>
    <x v="24"/>
    <x v="19"/>
    <n v="493"/>
    <n v="58.73"/>
    <n v="5"/>
    <n v="18"/>
    <s v="Delivered"/>
    <n v="32457.310689999995"/>
  </r>
  <r>
    <s v="PUR0475"/>
    <x v="242"/>
    <x v="16"/>
    <x v="16"/>
    <n v="206"/>
    <n v="179.44"/>
    <n v="3"/>
    <n v="18"/>
    <s v="Delivered"/>
    <n v="42309.726943999995"/>
  </r>
  <r>
    <s v="PUR0357"/>
    <x v="243"/>
    <x v="6"/>
    <x v="3"/>
    <n v="311"/>
    <n v="34.43"/>
    <n v="10"/>
    <n v="12"/>
    <s v="Delivered"/>
    <n v="10793.391840000002"/>
  </r>
  <r>
    <s v="PUR0611"/>
    <x v="244"/>
    <x v="24"/>
    <x v="19"/>
    <n v="204"/>
    <n v="56.24"/>
    <n v="2"/>
    <n v="18"/>
    <s v="Delivered"/>
    <n v="13267.330944000001"/>
  </r>
  <r>
    <s v="PUR0645"/>
    <x v="244"/>
    <x v="16"/>
    <x v="1"/>
    <n v="154"/>
    <n v="1409.34"/>
    <n v="0"/>
    <n v="18"/>
    <s v="Delivered"/>
    <n v="256105.26479999998"/>
  </r>
  <r>
    <s v="PUR0232"/>
    <x v="244"/>
    <x v="21"/>
    <x v="8"/>
    <n v="70"/>
    <n v="787.11"/>
    <n v="2"/>
    <n v="18"/>
    <s v="Delivered"/>
    <n v="63714.980280000003"/>
  </r>
  <r>
    <s v="PUR0540"/>
    <x v="245"/>
    <x v="12"/>
    <x v="18"/>
    <n v="126"/>
    <n v="69.930000000000007"/>
    <n v="3"/>
    <n v="12"/>
    <s v="Delivered"/>
    <n v="9572.4659520000005"/>
  </r>
  <r>
    <s v="PUR0144"/>
    <x v="245"/>
    <x v="17"/>
    <x v="8"/>
    <n v="487"/>
    <n v="798.8"/>
    <n v="2"/>
    <n v="18"/>
    <s v="Delivered"/>
    <n v="449857.6398399999"/>
  </r>
  <r>
    <s v="PUR0563"/>
    <x v="245"/>
    <x v="23"/>
    <x v="16"/>
    <n v="179"/>
    <n v="187.01"/>
    <n v="2"/>
    <n v="18"/>
    <s v="Delivered"/>
    <n v="38710.24715599999"/>
  </r>
  <r>
    <s v="PUR0393"/>
    <x v="245"/>
    <x v="26"/>
    <x v="3"/>
    <n v="138"/>
    <n v="32.78"/>
    <n v="0"/>
    <n v="12"/>
    <s v="Delivered"/>
    <n v="5066.4768000000013"/>
  </r>
  <r>
    <s v="PUR0569"/>
    <x v="246"/>
    <x v="26"/>
    <x v="3"/>
    <n v="199"/>
    <n v="31.29"/>
    <n v="0"/>
    <n v="12"/>
    <s v="Delivered"/>
    <n v="6973.9152000000004"/>
  </r>
  <r>
    <s v="PUR0078"/>
    <x v="246"/>
    <x v="2"/>
    <x v="2"/>
    <n v="68"/>
    <n v="340.69"/>
    <n v="0"/>
    <n v="18"/>
    <s v="Delivered"/>
    <n v="27336.965599999996"/>
  </r>
  <r>
    <s v="PUR0159"/>
    <x v="247"/>
    <x v="18"/>
    <x v="11"/>
    <n v="203"/>
    <n v="88.75"/>
    <n v="10"/>
    <n v="18"/>
    <s v="Delivered"/>
    <n v="19133.2575"/>
  </r>
  <r>
    <s v="PUR0682"/>
    <x v="247"/>
    <x v="4"/>
    <x v="3"/>
    <n v="363"/>
    <n v="32.06"/>
    <n v="0"/>
    <n v="12"/>
    <s v="Delayed"/>
    <n v="13034.313600000001"/>
  </r>
  <r>
    <s v="PUR0439"/>
    <x v="248"/>
    <x v="6"/>
    <x v="5"/>
    <n v="266"/>
    <n v="17.54"/>
    <n v="0"/>
    <n v="12"/>
    <s v="Delivered"/>
    <n v="5225.5167999999994"/>
  </r>
  <r>
    <s v="PUR0516"/>
    <x v="249"/>
    <x v="24"/>
    <x v="19"/>
    <n v="642"/>
    <n v="57.37"/>
    <n v="2"/>
    <n v="18"/>
    <s v="Delivered"/>
    <n v="42591.992855999997"/>
  </r>
  <r>
    <s v="PUR0275"/>
    <x v="249"/>
    <x v="27"/>
    <x v="24"/>
    <n v="121"/>
    <n v="181.95"/>
    <n v="2"/>
    <n v="18"/>
    <s v="Delivered"/>
    <n v="25459.244579999995"/>
  </r>
  <r>
    <s v="PUR0310"/>
    <x v="250"/>
    <x v="8"/>
    <x v="7"/>
    <n v="303"/>
    <n v="91.81"/>
    <n v="10"/>
    <n v="18"/>
    <s v="Delivered"/>
    <n v="29543.172659999997"/>
  </r>
  <r>
    <s v="PUR0077"/>
    <x v="251"/>
    <x v="18"/>
    <x v="2"/>
    <n v="211"/>
    <n v="361.16"/>
    <n v="0"/>
    <n v="18"/>
    <s v="Delivered"/>
    <n v="89921.616800000003"/>
  </r>
  <r>
    <s v="PUR0093"/>
    <x v="251"/>
    <x v="14"/>
    <x v="4"/>
    <n v="343"/>
    <n v="35.32"/>
    <n v="0"/>
    <n v="18"/>
    <s v="Delayed"/>
    <n v="14295.416799999999"/>
  </r>
  <r>
    <s v="PUR0456"/>
    <x v="251"/>
    <x v="19"/>
    <x v="14"/>
    <n v="199"/>
    <n v="212.06"/>
    <n v="5"/>
    <n v="18"/>
    <s v="Partial"/>
    <n v="47306.132739999994"/>
  </r>
  <r>
    <s v="PUR0610"/>
    <x v="251"/>
    <x v="21"/>
    <x v="12"/>
    <n v="54"/>
    <n v="250.14"/>
    <n v="3"/>
    <n v="18"/>
    <s v="Delivered"/>
    <n v="15460.753175999998"/>
  </r>
  <r>
    <s v="PUR0598"/>
    <x v="251"/>
    <x v="16"/>
    <x v="12"/>
    <n v="207"/>
    <n v="262"/>
    <n v="0"/>
    <n v="18"/>
    <s v="Delivered"/>
    <n v="63996.119999999995"/>
  </r>
  <r>
    <s v="PUR0481"/>
    <x v="252"/>
    <x v="13"/>
    <x v="7"/>
    <n v="520"/>
    <n v="92.08"/>
    <n v="0"/>
    <n v="18"/>
    <s v="Delivered"/>
    <n v="56500.287999999993"/>
  </r>
  <r>
    <s v="PUR0048"/>
    <x v="252"/>
    <x v="1"/>
    <x v="13"/>
    <n v="214"/>
    <n v="236.03"/>
    <n v="7"/>
    <n v="18"/>
    <s v="Delivered"/>
    <n v="55430.134907999993"/>
  </r>
  <r>
    <s v="PUR0543"/>
    <x v="253"/>
    <x v="0"/>
    <x v="1"/>
    <n v="691"/>
    <n v="1507.13"/>
    <n v="7"/>
    <n v="18"/>
    <s v="Delivered"/>
    <n v="1142861.8032419998"/>
  </r>
  <r>
    <s v="PUR0031"/>
    <x v="253"/>
    <x v="7"/>
    <x v="21"/>
    <n v="149"/>
    <n v="115.85"/>
    <n v="10"/>
    <n v="18"/>
    <s v="Delivered"/>
    <n v="18331.872299999999"/>
  </r>
  <r>
    <s v="PUR0431"/>
    <x v="254"/>
    <x v="1"/>
    <x v="7"/>
    <n v="519"/>
    <n v="89.99"/>
    <n v="7"/>
    <n v="18"/>
    <s v="Delivered"/>
    <n v="51253.858493999993"/>
  </r>
  <r>
    <s v="PUR0426"/>
    <x v="254"/>
    <x v="24"/>
    <x v="19"/>
    <n v="315"/>
    <n v="52.77"/>
    <n v="5"/>
    <n v="18"/>
    <s v="Delayed"/>
    <n v="18633.878549999998"/>
  </r>
  <r>
    <s v="PUR0621"/>
    <x v="255"/>
    <x v="20"/>
    <x v="6"/>
    <n v="338"/>
    <n v="126.66"/>
    <n v="7"/>
    <n v="18"/>
    <s v="Delivered"/>
    <n v="46980.879192"/>
  </r>
  <r>
    <s v="PUR0651"/>
    <x v="256"/>
    <x v="22"/>
    <x v="17"/>
    <n v="257"/>
    <n v="471.82"/>
    <n v="0"/>
    <n v="18"/>
    <s v="Delivered"/>
    <n v="143084.13320000001"/>
  </r>
  <r>
    <s v="PUR0509"/>
    <x v="256"/>
    <x v="7"/>
    <x v="6"/>
    <n v="129"/>
    <n v="118.81"/>
    <n v="10"/>
    <n v="18"/>
    <s v="Delayed"/>
    <n v="16276.732379999999"/>
  </r>
  <r>
    <s v="PUR0278"/>
    <x v="256"/>
    <x v="27"/>
    <x v="22"/>
    <n v="261"/>
    <n v="70.989999999999995"/>
    <n v="5"/>
    <n v="18"/>
    <s v="Delivered"/>
    <n v="20770.32519"/>
  </r>
  <r>
    <s v="PUR0599"/>
    <x v="257"/>
    <x v="25"/>
    <x v="16"/>
    <n v="292"/>
    <n v="179.49"/>
    <n v="0"/>
    <n v="18"/>
    <s v="Delivered"/>
    <n v="61845.074399999998"/>
  </r>
  <r>
    <s v="PUR0054"/>
    <x v="258"/>
    <x v="9"/>
    <x v="4"/>
    <n v="133"/>
    <n v="37.32"/>
    <n v="5"/>
    <n v="18"/>
    <s v="Delivered"/>
    <n v="5564.1507600000004"/>
  </r>
  <r>
    <s v="PUR0415"/>
    <x v="258"/>
    <x v="26"/>
    <x v="5"/>
    <n v="278"/>
    <n v="19.11"/>
    <n v="3"/>
    <n v="12"/>
    <s v="Delivered"/>
    <n v="5771.5869119999998"/>
  </r>
  <r>
    <s v="PUR0103"/>
    <x v="258"/>
    <x v="24"/>
    <x v="19"/>
    <n v="222"/>
    <n v="56.61"/>
    <n v="5"/>
    <n v="18"/>
    <s v="Delivered"/>
    <n v="14088.077819999999"/>
  </r>
  <r>
    <s v="PUR0505"/>
    <x v="258"/>
    <x v="10"/>
    <x v="17"/>
    <n v="289"/>
    <n v="517.79999999999995"/>
    <n v="5"/>
    <n v="18"/>
    <s v="Delayed"/>
    <n v="167751.14819999997"/>
  </r>
  <r>
    <s v="PUR0436"/>
    <x v="259"/>
    <x v="8"/>
    <x v="13"/>
    <n v="389"/>
    <n v="250.74"/>
    <n v="3"/>
    <n v="18"/>
    <s v="Delivered"/>
    <n v="111641.83455599999"/>
  </r>
  <r>
    <s v="PUR0448"/>
    <x v="259"/>
    <x v="0"/>
    <x v="1"/>
    <n v="152"/>
    <n v="1523.42"/>
    <n v="0"/>
    <n v="18"/>
    <s v="Delivered"/>
    <n v="273240.61120000004"/>
  </r>
  <r>
    <s v="PUR0266"/>
    <x v="260"/>
    <x v="5"/>
    <x v="9"/>
    <n v="834"/>
    <n v="304.86"/>
    <n v="2"/>
    <n v="18"/>
    <s v="Delayed"/>
    <n v="294018.44673600001"/>
  </r>
  <r>
    <s v="PUR0133"/>
    <x v="260"/>
    <x v="2"/>
    <x v="8"/>
    <n v="219"/>
    <n v="782.9"/>
    <n v="0"/>
    <n v="18"/>
    <s v="Delivered"/>
    <n v="202317.01799999998"/>
  </r>
  <r>
    <s v="PUR0394"/>
    <x v="260"/>
    <x v="11"/>
    <x v="12"/>
    <n v="404"/>
    <n v="245.95"/>
    <n v="0"/>
    <n v="18"/>
    <s v="Delivered"/>
    <n v="117249.28399999999"/>
  </r>
  <r>
    <s v="PUR0620"/>
    <x v="260"/>
    <x v="6"/>
    <x v="3"/>
    <n v="101"/>
    <n v="30.42"/>
    <n v="5"/>
    <n v="12"/>
    <s v="Delivered"/>
    <n v="3269.0548800000001"/>
  </r>
  <r>
    <s v="PUR0679"/>
    <x v="260"/>
    <x v="14"/>
    <x v="6"/>
    <n v="510"/>
    <n v="125.05"/>
    <n v="5"/>
    <n v="18"/>
    <s v="Partial"/>
    <n v="71492.335500000001"/>
  </r>
  <r>
    <s v="PUR0358"/>
    <x v="260"/>
    <x v="9"/>
    <x v="20"/>
    <n v="46"/>
    <n v="184.67"/>
    <n v="2"/>
    <n v="18"/>
    <s v="Delivered"/>
    <n v="9823.4098479999993"/>
  </r>
  <r>
    <s v="PUR0196"/>
    <x v="261"/>
    <x v="4"/>
    <x v="5"/>
    <n v="381"/>
    <n v="18.04"/>
    <n v="7"/>
    <n v="12"/>
    <s v="Delivered"/>
    <n v="7159.166784"/>
  </r>
  <r>
    <s v="PUR0362"/>
    <x v="262"/>
    <x v="13"/>
    <x v="10"/>
    <n v="129"/>
    <n v="615.63"/>
    <n v="0"/>
    <n v="18"/>
    <s v="Delivered"/>
    <n v="93711.198600000003"/>
  </r>
  <r>
    <s v="PUR0341"/>
    <x v="262"/>
    <x v="19"/>
    <x v="14"/>
    <n v="479"/>
    <n v="224.83"/>
    <n v="3"/>
    <n v="18"/>
    <s v="Delivered"/>
    <n v="123266.060222"/>
  </r>
  <r>
    <s v="PUR0378"/>
    <x v="262"/>
    <x v="14"/>
    <x v="6"/>
    <n v="334"/>
    <n v="125.34"/>
    <n v="7"/>
    <n v="18"/>
    <s v="Delivered"/>
    <n v="45941.07074399999"/>
  </r>
  <r>
    <s v="PUR0137"/>
    <x v="263"/>
    <x v="22"/>
    <x v="16"/>
    <n v="455"/>
    <n v="185.53"/>
    <n v="0"/>
    <n v="18"/>
    <s v="Delivered"/>
    <n v="99611.056999999986"/>
  </r>
  <r>
    <s v="PUR0451"/>
    <x v="263"/>
    <x v="15"/>
    <x v="16"/>
    <n v="210"/>
    <n v="197.84"/>
    <n v="2"/>
    <n v="18"/>
    <s v="Delivered"/>
    <n v="48044.256959999999"/>
  </r>
  <r>
    <s v="PUR0045"/>
    <x v="264"/>
    <x v="2"/>
    <x v="2"/>
    <n v="183"/>
    <n v="358.55"/>
    <n v="2"/>
    <n v="18"/>
    <s v="Delivered"/>
    <n v="75876.781260000003"/>
  </r>
  <r>
    <s v="PUR0317"/>
    <x v="264"/>
    <x v="8"/>
    <x v="7"/>
    <n v="270"/>
    <n v="99.22"/>
    <n v="0"/>
    <n v="18"/>
    <s v="Delivered"/>
    <n v="31611.491999999998"/>
  </r>
  <r>
    <s v="PUR0285"/>
    <x v="264"/>
    <x v="10"/>
    <x v="17"/>
    <n v="54"/>
    <n v="518.32000000000005"/>
    <n v="7"/>
    <n v="18"/>
    <s v="Delayed"/>
    <n v="30715.435871999998"/>
  </r>
  <r>
    <s v="PUR0408"/>
    <x v="265"/>
    <x v="19"/>
    <x v="14"/>
    <n v="229"/>
    <n v="223.16"/>
    <n v="0"/>
    <n v="18"/>
    <s v="Delivered"/>
    <n v="60302.295199999993"/>
  </r>
  <r>
    <s v="PUR0449"/>
    <x v="266"/>
    <x v="14"/>
    <x v="4"/>
    <n v="149"/>
    <n v="36.229999999999997"/>
    <n v="3"/>
    <n v="18"/>
    <s v="Delivered"/>
    <n v="6178.8598419999989"/>
  </r>
  <r>
    <s v="PUR0538"/>
    <x v="267"/>
    <x v="4"/>
    <x v="5"/>
    <n v="324"/>
    <n v="17.309999999999999"/>
    <n v="0"/>
    <n v="12"/>
    <s v="Delayed"/>
    <n v="6281.4528"/>
  </r>
  <r>
    <s v="PUR0218"/>
    <x v="267"/>
    <x v="27"/>
    <x v="22"/>
    <n v="64"/>
    <n v="75.36"/>
    <n v="0"/>
    <n v="18"/>
    <s v="Delivered"/>
    <n v="5691.1871999999994"/>
  </r>
  <r>
    <s v="PUR0564"/>
    <x v="267"/>
    <x v="12"/>
    <x v="5"/>
    <n v="79"/>
    <n v="19.23"/>
    <n v="10"/>
    <n v="12"/>
    <s v="Delivered"/>
    <n v="1531.3233600000003"/>
  </r>
  <r>
    <s v="PUR0395"/>
    <x v="268"/>
    <x v="27"/>
    <x v="22"/>
    <n v="275"/>
    <n v="68.45"/>
    <n v="2"/>
    <n v="18"/>
    <s v="Delivered"/>
    <n v="21767.784500000002"/>
  </r>
  <r>
    <s v="PUR0478"/>
    <x v="268"/>
    <x v="12"/>
    <x v="5"/>
    <n v="617"/>
    <n v="19.34"/>
    <n v="7"/>
    <n v="12"/>
    <s v="Delivered"/>
    <n v="12429.183648"/>
  </r>
  <r>
    <s v="PUR0377"/>
    <x v="269"/>
    <x v="3"/>
    <x v="7"/>
    <n v="247"/>
    <n v="101.67"/>
    <n v="10"/>
    <n v="18"/>
    <s v="Delivered"/>
    <n v="26669.464380000001"/>
  </r>
  <r>
    <s v="PUR0559"/>
    <x v="270"/>
    <x v="13"/>
    <x v="13"/>
    <n v="187"/>
    <n v="238.16"/>
    <n v="2"/>
    <n v="18"/>
    <s v="Delivered"/>
    <n v="51501.337887999995"/>
  </r>
  <r>
    <s v="PUR0675"/>
    <x v="270"/>
    <x v="19"/>
    <x v="14"/>
    <n v="393"/>
    <n v="204.58"/>
    <n v="5"/>
    <n v="18"/>
    <s v="Delivered"/>
    <n v="90128.332739999998"/>
  </r>
  <r>
    <s v="PUR0034"/>
    <x v="271"/>
    <x v="5"/>
    <x v="6"/>
    <n v="276"/>
    <n v="123.03"/>
    <n v="5"/>
    <n v="18"/>
    <s v="Delivered"/>
    <n v="38064.989879999994"/>
  </r>
  <r>
    <s v="PUR0051"/>
    <x v="272"/>
    <x v="11"/>
    <x v="12"/>
    <n v="165"/>
    <n v="276.25"/>
    <n v="0"/>
    <n v="18"/>
    <s v="Delivered"/>
    <n v="53785.875"/>
  </r>
  <r>
    <s v="PUR0659"/>
    <x v="272"/>
    <x v="25"/>
    <x v="17"/>
    <n v="221"/>
    <n v="491.69"/>
    <n v="2"/>
    <n v="18"/>
    <s v="Delivered"/>
    <n v="125658.45983599999"/>
  </r>
  <r>
    <s v="PUR0407"/>
    <x v="272"/>
    <x v="5"/>
    <x v="6"/>
    <n v="278"/>
    <n v="123.43"/>
    <n v="0"/>
    <n v="18"/>
    <s v="Delayed"/>
    <n v="40489.977200000001"/>
  </r>
  <r>
    <s v="PUR0668"/>
    <x v="272"/>
    <x v="12"/>
    <x v="5"/>
    <n v="117"/>
    <n v="18.63"/>
    <n v="2"/>
    <n v="12"/>
    <s v="Delivered"/>
    <n v="2392.4496960000001"/>
  </r>
  <r>
    <s v="PUR0349"/>
    <x v="273"/>
    <x v="23"/>
    <x v="16"/>
    <n v="218"/>
    <n v="178.89"/>
    <n v="7"/>
    <n v="18"/>
    <s v="Delivered"/>
    <n v="42796.427147999995"/>
  </r>
  <r>
    <s v="PUR0126"/>
    <x v="273"/>
    <x v="14"/>
    <x v="6"/>
    <n v="234"/>
    <n v="122.48"/>
    <n v="0"/>
    <n v="18"/>
    <s v="Delivered"/>
    <n v="33819.177599999995"/>
  </r>
  <r>
    <s v="PUR0346"/>
    <x v="273"/>
    <x v="11"/>
    <x v="12"/>
    <n v="352"/>
    <n v="245.17"/>
    <n v="0"/>
    <n v="18"/>
    <s v="Delivered"/>
    <n v="101833.8112"/>
  </r>
  <r>
    <s v="PUR0402"/>
    <x v="274"/>
    <x v="4"/>
    <x v="18"/>
    <n v="294"/>
    <n v="62.79"/>
    <n v="3"/>
    <n v="12"/>
    <s v="Delivered"/>
    <n v="20055.226464000003"/>
  </r>
  <r>
    <s v="PUR0406"/>
    <x v="275"/>
    <x v="0"/>
    <x v="7"/>
    <n v="319"/>
    <n v="92.67"/>
    <n v="0"/>
    <n v="18"/>
    <s v="Delivered"/>
    <n v="34882.841399999998"/>
  </r>
  <r>
    <s v="PUR0149"/>
    <x v="275"/>
    <x v="5"/>
    <x v="6"/>
    <n v="219"/>
    <n v="132.91"/>
    <n v="5"/>
    <n v="18"/>
    <s v="Delivered"/>
    <n v="32629.272089999999"/>
  </r>
  <r>
    <s v="PUR0502"/>
    <x v="276"/>
    <x v="18"/>
    <x v="12"/>
    <n v="139"/>
    <n v="274.88"/>
    <n v="7"/>
    <n v="18"/>
    <s v="Delivered"/>
    <n v="41929.810367999999"/>
  </r>
  <r>
    <s v="PUR0019"/>
    <x v="277"/>
    <x v="4"/>
    <x v="5"/>
    <n v="199"/>
    <n v="18.68"/>
    <n v="10"/>
    <n v="12"/>
    <s v="Delivered"/>
    <n v="3747.0585600000004"/>
  </r>
  <r>
    <s v="PUR0189"/>
    <x v="277"/>
    <x v="19"/>
    <x v="14"/>
    <n v="237"/>
    <n v="209.73"/>
    <n v="0"/>
    <n v="18"/>
    <s v="Delivered"/>
    <n v="58653.091799999987"/>
  </r>
  <r>
    <s v="PUR0282"/>
    <x v="278"/>
    <x v="21"/>
    <x v="15"/>
    <n v="218"/>
    <n v="43.41"/>
    <n v="2"/>
    <n v="18"/>
    <s v="Delivered"/>
    <n v="10943.452631999997"/>
  </r>
  <r>
    <s v="PUR0328"/>
    <x v="278"/>
    <x v="16"/>
    <x v="16"/>
    <n v="179"/>
    <n v="186.45"/>
    <n v="0"/>
    <n v="18"/>
    <s v="Delivered"/>
    <n v="39381.96899999999"/>
  </r>
  <r>
    <s v="PUR0477"/>
    <x v="279"/>
    <x v="9"/>
    <x v="9"/>
    <n v="388"/>
    <n v="322.94"/>
    <n v="7"/>
    <n v="18"/>
    <s v="Delivered"/>
    <n v="137505.01012799999"/>
  </r>
  <r>
    <s v="PUR0667"/>
    <x v="279"/>
    <x v="14"/>
    <x v="20"/>
    <n v="239"/>
    <n v="179.71"/>
    <n v="0"/>
    <n v="18"/>
    <s v="Delivered"/>
    <n v="50681.814200000001"/>
  </r>
  <r>
    <s v="PUR0661"/>
    <x v="279"/>
    <x v="1"/>
    <x v="10"/>
    <n v="297"/>
    <n v="640.82000000000005"/>
    <n v="7"/>
    <n v="18"/>
    <s v="Delivered"/>
    <n v="208861.052796"/>
  </r>
  <r>
    <s v="PUR0156"/>
    <x v="279"/>
    <x v="6"/>
    <x v="3"/>
    <n v="76"/>
    <n v="31.03"/>
    <n v="5"/>
    <n v="12"/>
    <s v="Delayed"/>
    <n v="2509.2099200000002"/>
  </r>
  <r>
    <s v="PUR0217"/>
    <x v="280"/>
    <x v="20"/>
    <x v="9"/>
    <n v="284"/>
    <n v="345.17"/>
    <n v="5"/>
    <n v="18"/>
    <s v="Delivered"/>
    <n v="109889.70187999999"/>
  </r>
  <r>
    <s v="PUR0592"/>
    <x v="280"/>
    <x v="3"/>
    <x v="1"/>
    <n v="127"/>
    <n v="1423.88"/>
    <n v="3"/>
    <n v="18"/>
    <s v="Delivered"/>
    <n v="206981.177096"/>
  </r>
  <r>
    <s v="PUR0155"/>
    <x v="280"/>
    <x v="1"/>
    <x v="1"/>
    <n v="131"/>
    <n v="1393.32"/>
    <n v="0"/>
    <n v="18"/>
    <s v="Delivered"/>
    <n v="215379.40559999997"/>
  </r>
  <r>
    <s v="PUR0440"/>
    <x v="280"/>
    <x v="14"/>
    <x v="4"/>
    <n v="141"/>
    <n v="36.24"/>
    <n v="2"/>
    <n v="18"/>
    <s v="Delivered"/>
    <n v="5909.0189760000003"/>
  </r>
  <r>
    <s v="PUR0314"/>
    <x v="280"/>
    <x v="13"/>
    <x v="1"/>
    <n v="164"/>
    <n v="1496.67"/>
    <n v="0"/>
    <n v="18"/>
    <s v="Delivered"/>
    <n v="289635.5784"/>
  </r>
  <r>
    <s v="PUR0258"/>
    <x v="281"/>
    <x v="24"/>
    <x v="19"/>
    <n v="306"/>
    <n v="59.21"/>
    <n v="10"/>
    <n v="18"/>
    <s v="Delivered"/>
    <n v="19241.592120000001"/>
  </r>
  <r>
    <s v="PUR0092"/>
    <x v="281"/>
    <x v="6"/>
    <x v="18"/>
    <n v="223"/>
    <n v="65.680000000000007"/>
    <n v="5"/>
    <n v="12"/>
    <s v="Delivered"/>
    <n v="15584.024960000002"/>
  </r>
  <r>
    <s v="PUR0180"/>
    <x v="281"/>
    <x v="24"/>
    <x v="19"/>
    <n v="165"/>
    <n v="54.33"/>
    <n v="0"/>
    <n v="18"/>
    <s v="Delivered"/>
    <n v="10578.050999999998"/>
  </r>
  <r>
    <s v="PUR0649"/>
    <x v="282"/>
    <x v="22"/>
    <x v="8"/>
    <n v="216"/>
    <n v="801.2"/>
    <n v="5"/>
    <n v="18"/>
    <s v="Delivered"/>
    <n v="193999.36319999999"/>
  </r>
  <r>
    <s v="PUR0455"/>
    <x v="282"/>
    <x v="20"/>
    <x v="4"/>
    <n v="335"/>
    <n v="37.229999999999997"/>
    <n v="3"/>
    <n v="18"/>
    <s v="Delivered"/>
    <n v="14275.508429999998"/>
  </r>
  <r>
    <s v="PUR0115"/>
    <x v="282"/>
    <x v="23"/>
    <x v="17"/>
    <n v="313"/>
    <n v="506.48"/>
    <n v="2"/>
    <n v="18"/>
    <s v="Delivered"/>
    <n v="183322.05673600003"/>
  </r>
  <r>
    <s v="PUR0442"/>
    <x v="283"/>
    <x v="26"/>
    <x v="18"/>
    <n v="230"/>
    <n v="62.9"/>
    <n v="0"/>
    <n v="12"/>
    <s v="Delayed"/>
    <n v="16203.04"/>
  </r>
  <r>
    <s v="PUR0249"/>
    <x v="284"/>
    <x v="5"/>
    <x v="9"/>
    <n v="278"/>
    <n v="328.52"/>
    <n v="2"/>
    <n v="18"/>
    <s v="Delivered"/>
    <n v="105612.34678399998"/>
  </r>
  <r>
    <s v="PUR0356"/>
    <x v="284"/>
    <x v="0"/>
    <x v="1"/>
    <n v="344"/>
    <n v="1366.63"/>
    <n v="10"/>
    <n v="18"/>
    <s v="Delivered"/>
    <n v="499268.20464000001"/>
  </r>
  <r>
    <s v="PUR0066"/>
    <x v="284"/>
    <x v="2"/>
    <x v="8"/>
    <n v="103"/>
    <n v="746.27"/>
    <n v="0"/>
    <n v="18"/>
    <s v="Delivered"/>
    <n v="90701.655799999993"/>
  </r>
  <r>
    <s v="PUR0584"/>
    <x v="285"/>
    <x v="1"/>
    <x v="7"/>
    <n v="307"/>
    <n v="99.43"/>
    <n v="7"/>
    <n v="18"/>
    <s v="Delivered"/>
    <n v="33498.145973999999"/>
  </r>
  <r>
    <s v="PUR0635"/>
    <x v="285"/>
    <x v="12"/>
    <x v="18"/>
    <n v="165"/>
    <n v="66.239999999999995"/>
    <n v="5"/>
    <n v="12"/>
    <s v="Delivered"/>
    <n v="11629.0944"/>
  </r>
  <r>
    <s v="PUR0235"/>
    <x v="285"/>
    <x v="12"/>
    <x v="3"/>
    <n v="104"/>
    <n v="31.83"/>
    <n v="2"/>
    <n v="12"/>
    <s v="Delivered"/>
    <n v="3633.407232"/>
  </r>
  <r>
    <s v="PUR0043"/>
    <x v="285"/>
    <x v="2"/>
    <x v="8"/>
    <n v="109"/>
    <n v="821.04"/>
    <n v="5"/>
    <n v="18"/>
    <s v="Delivered"/>
    <n v="100322.05655999998"/>
  </r>
  <r>
    <s v="PUR0131"/>
    <x v="286"/>
    <x v="1"/>
    <x v="7"/>
    <n v="190"/>
    <n v="90.66"/>
    <n v="10"/>
    <n v="18"/>
    <s v="Delivered"/>
    <n v="18293.374799999998"/>
  </r>
  <r>
    <s v="PUR0069"/>
    <x v="286"/>
    <x v="1"/>
    <x v="13"/>
    <n v="228"/>
    <n v="240.31"/>
    <n v="5"/>
    <n v="18"/>
    <s v="Delivered"/>
    <n v="61420.352279999999"/>
  </r>
  <r>
    <s v="PUR0263"/>
    <x v="286"/>
    <x v="14"/>
    <x v="6"/>
    <n v="469"/>
    <n v="134.6"/>
    <n v="0"/>
    <n v="18"/>
    <s v="Delivered"/>
    <n v="74490.331999999995"/>
  </r>
  <r>
    <s v="PUR0631"/>
    <x v="287"/>
    <x v="26"/>
    <x v="18"/>
    <n v="277"/>
    <n v="69.31"/>
    <n v="5"/>
    <n v="12"/>
    <s v="Delivered"/>
    <n v="20427.597679999999"/>
  </r>
  <r>
    <s v="PUR0565"/>
    <x v="287"/>
    <x v="12"/>
    <x v="18"/>
    <n v="223"/>
    <n v="61.86"/>
    <n v="0"/>
    <n v="12"/>
    <s v="Delivered"/>
    <n v="15450.153600000001"/>
  </r>
  <r>
    <s v="PUR0648"/>
    <x v="287"/>
    <x v="10"/>
    <x v="12"/>
    <n v="207"/>
    <n v="256.92"/>
    <n v="0"/>
    <n v="18"/>
    <s v="Delivered"/>
    <n v="62755.279199999997"/>
  </r>
  <r>
    <s v="PUR0399"/>
    <x v="288"/>
    <x v="3"/>
    <x v="13"/>
    <n v="489"/>
    <n v="253.09"/>
    <n v="0"/>
    <n v="18"/>
    <s v="Delayed"/>
    <n v="146037.99179999999"/>
  </r>
  <r>
    <s v="PUR0474"/>
    <x v="289"/>
    <x v="27"/>
    <x v="24"/>
    <n v="306"/>
    <n v="193.16"/>
    <n v="5"/>
    <n v="18"/>
    <s v="Delivered"/>
    <n v="66258.902159999983"/>
  </r>
  <r>
    <s v="PUR0386"/>
    <x v="289"/>
    <x v="15"/>
    <x v="17"/>
    <n v="328"/>
    <n v="452.15"/>
    <n v="0"/>
    <n v="18"/>
    <s v="Delivered"/>
    <n v="175000.13599999997"/>
  </r>
  <r>
    <s v="PUR0608"/>
    <x v="289"/>
    <x v="13"/>
    <x v="13"/>
    <n v="295"/>
    <n v="234.84"/>
    <n v="0"/>
    <n v="18"/>
    <s v="Delivered"/>
    <n v="81747.804000000004"/>
  </r>
  <r>
    <s v="PUR0591"/>
    <x v="290"/>
    <x v="15"/>
    <x v="2"/>
    <n v="355"/>
    <n v="342.96"/>
    <n v="0"/>
    <n v="18"/>
    <s v="Delayed"/>
    <n v="143665.94399999999"/>
  </r>
  <r>
    <s v="PUR0129"/>
    <x v="291"/>
    <x v="20"/>
    <x v="6"/>
    <n v="223"/>
    <n v="131.36000000000001"/>
    <n v="2"/>
    <n v="18"/>
    <s v="Delivered"/>
    <n v="33874.748992000001"/>
  </r>
  <r>
    <s v="PUR0291"/>
    <x v="291"/>
    <x v="20"/>
    <x v="6"/>
    <n v="115"/>
    <n v="124.55"/>
    <n v="5"/>
    <n v="18"/>
    <s v="Delivered"/>
    <n v="16056.363249999999"/>
  </r>
  <r>
    <s v="PUR0231"/>
    <x v="291"/>
    <x v="21"/>
    <x v="8"/>
    <n v="334"/>
    <n v="796.19"/>
    <n v="0"/>
    <n v="18"/>
    <s v="Partial"/>
    <n v="313794.40279999998"/>
  </r>
  <r>
    <s v="PUR0157"/>
    <x v="291"/>
    <x v="10"/>
    <x v="1"/>
    <n v="477"/>
    <n v="1467.95"/>
    <n v="5"/>
    <n v="18"/>
    <s v="Delivered"/>
    <n v="784937.82014999993"/>
  </r>
  <r>
    <s v="PUR0466"/>
    <x v="291"/>
    <x v="10"/>
    <x v="16"/>
    <n v="482"/>
    <n v="186.19"/>
    <n v="0"/>
    <n v="18"/>
    <s v="Delivered"/>
    <n v="105897.4244"/>
  </r>
  <r>
    <s v="PUR0423"/>
    <x v="292"/>
    <x v="8"/>
    <x v="13"/>
    <n v="89"/>
    <n v="251.27"/>
    <n v="7"/>
    <n v="18"/>
    <s v="Delivered"/>
    <n v="24541.189122"/>
  </r>
  <r>
    <s v="PUR0366"/>
    <x v="292"/>
    <x v="15"/>
    <x v="16"/>
    <n v="177"/>
    <n v="195.91"/>
    <n v="7"/>
    <n v="18"/>
    <s v="Delivered"/>
    <n v="38053.519217999994"/>
  </r>
  <r>
    <s v="PUR0515"/>
    <x v="293"/>
    <x v="20"/>
    <x v="4"/>
    <n v="182"/>
    <n v="37.71"/>
    <n v="2"/>
    <n v="18"/>
    <s v="Delivered"/>
    <n v="7936.6276079999998"/>
  </r>
  <r>
    <s v="PUR0041"/>
    <x v="293"/>
    <x v="10"/>
    <x v="1"/>
    <n v="167"/>
    <n v="1421.15"/>
    <n v="0"/>
    <n v="18"/>
    <s v="Delivered"/>
    <n v="280051.81900000002"/>
  </r>
  <r>
    <s v="PUR0617"/>
    <x v="293"/>
    <x v="15"/>
    <x v="21"/>
    <n v="1338"/>
    <n v="107.82"/>
    <n v="7"/>
    <n v="18"/>
    <s v="Delivered"/>
    <n v="158314.39178399998"/>
  </r>
  <r>
    <s v="PUR0163"/>
    <x v="293"/>
    <x v="21"/>
    <x v="23"/>
    <n v="111"/>
    <n v="633.16999999999996"/>
    <n v="5"/>
    <n v="18"/>
    <s v="Delayed"/>
    <n v="78785.976269999985"/>
  </r>
  <r>
    <s v="PUR0350"/>
    <x v="294"/>
    <x v="16"/>
    <x v="17"/>
    <n v="180"/>
    <n v="464.83"/>
    <n v="5"/>
    <n v="18"/>
    <s v="Delivered"/>
    <n v="93793.397399999987"/>
  </r>
  <r>
    <s v="PUR0068"/>
    <x v="294"/>
    <x v="23"/>
    <x v="16"/>
    <n v="152"/>
    <n v="185.8"/>
    <n v="0"/>
    <n v="18"/>
    <s v="Delivered"/>
    <n v="33325.088000000003"/>
  </r>
  <r>
    <s v="PUR0577"/>
    <x v="295"/>
    <x v="11"/>
    <x v="8"/>
    <n v="417"/>
    <n v="748.77"/>
    <n v="3"/>
    <n v="18"/>
    <s v="Delivered"/>
    <n v="357386.57321399992"/>
  </r>
  <r>
    <s v="PUR0055"/>
    <x v="296"/>
    <x v="25"/>
    <x v="16"/>
    <n v="231"/>
    <n v="199.32"/>
    <n v="3"/>
    <n v="18"/>
    <s v="Delivered"/>
    <n v="52700.726231999994"/>
  </r>
  <r>
    <s v="PUR0641"/>
    <x v="297"/>
    <x v="11"/>
    <x v="17"/>
    <n v="260"/>
    <n v="512.95000000000005"/>
    <n v="3"/>
    <n v="18"/>
    <s v="Delivered"/>
    <n v="152651.86819999997"/>
  </r>
  <r>
    <s v="PUR0638"/>
    <x v="297"/>
    <x v="13"/>
    <x v="1"/>
    <n v="261"/>
    <n v="1516.93"/>
    <n v="7"/>
    <n v="18"/>
    <s v="Delivered"/>
    <n v="434481.21430199995"/>
  </r>
  <r>
    <s v="PUR0087"/>
    <x v="297"/>
    <x v="4"/>
    <x v="18"/>
    <n v="154"/>
    <n v="63.87"/>
    <n v="3"/>
    <n v="12"/>
    <s v="Delivered"/>
    <n v="10685.808671999999"/>
  </r>
  <r>
    <s v="PUR0320"/>
    <x v="297"/>
    <x v="20"/>
    <x v="6"/>
    <n v="224"/>
    <n v="121.03"/>
    <n v="5"/>
    <n v="18"/>
    <s v="Delivered"/>
    <n v="30391.117119999999"/>
  </r>
  <r>
    <s v="PUR0270"/>
    <x v="298"/>
    <x v="4"/>
    <x v="5"/>
    <n v="123"/>
    <n v="19.43"/>
    <n v="2"/>
    <n v="12"/>
    <s v="Delivered"/>
    <n v="2623.1432640000003"/>
  </r>
  <r>
    <s v="PUR0313"/>
    <x v="299"/>
    <x v="7"/>
    <x v="6"/>
    <n v="313"/>
    <n v="132.96"/>
    <n v="5"/>
    <n v="18"/>
    <s v="Delivered"/>
    <n v="46652.074079999999"/>
  </r>
  <r>
    <s v="PUR0521"/>
    <x v="299"/>
    <x v="8"/>
    <x v="10"/>
    <n v="448"/>
    <n v="640.16"/>
    <n v="5"/>
    <n v="18"/>
    <s v="Delivered"/>
    <n v="321493.47327999992"/>
  </r>
  <r>
    <s v="PUR0547"/>
    <x v="299"/>
    <x v="24"/>
    <x v="19"/>
    <n v="437"/>
    <n v="52.46"/>
    <n v="3"/>
    <n v="18"/>
    <s v="Delivered"/>
    <n v="26239.977891999999"/>
  </r>
  <r>
    <s v="PUR0585"/>
    <x v="300"/>
    <x v="14"/>
    <x v="4"/>
    <n v="252"/>
    <n v="34.94"/>
    <n v="0"/>
    <n v="18"/>
    <s v="Delivered"/>
    <n v="10389.758399999999"/>
  </r>
  <r>
    <s v="PUR0311"/>
    <x v="301"/>
    <x v="12"/>
    <x v="18"/>
    <n v="231"/>
    <n v="64.3"/>
    <n v="2"/>
    <n v="12"/>
    <s v="Partial"/>
    <n v="16302.98208"/>
  </r>
  <r>
    <s v="PUR0185"/>
    <x v="301"/>
    <x v="9"/>
    <x v="9"/>
    <n v="105"/>
    <n v="343.36"/>
    <n v="0"/>
    <n v="18"/>
    <s v="Delivered"/>
    <n v="42542.304000000004"/>
  </r>
  <r>
    <s v="PUR0167"/>
    <x v="301"/>
    <x v="12"/>
    <x v="18"/>
    <n v="128"/>
    <n v="70.040000000000006"/>
    <n v="0"/>
    <n v="12"/>
    <s v="Delivered"/>
    <n v="10040.934400000002"/>
  </r>
  <r>
    <s v="PUR0452"/>
    <x v="301"/>
    <x v="26"/>
    <x v="18"/>
    <n v="780"/>
    <n v="62.86"/>
    <n v="10"/>
    <n v="12"/>
    <s v="Delivered"/>
    <n v="49423.046400000007"/>
  </r>
  <r>
    <s v="PUR0179"/>
    <x v="302"/>
    <x v="0"/>
    <x v="10"/>
    <n v="33"/>
    <n v="653.83000000000004"/>
    <n v="2"/>
    <n v="18"/>
    <s v="Delivered"/>
    <n v="24950.937396000001"/>
  </r>
  <r>
    <s v="PUR0024"/>
    <x v="303"/>
    <x v="10"/>
    <x v="17"/>
    <n v="127"/>
    <n v="458.15"/>
    <n v="0"/>
    <n v="18"/>
    <s v="Delayed"/>
    <n v="68658.358999999997"/>
  </r>
  <r>
    <s v="PUR0251"/>
    <x v="303"/>
    <x v="0"/>
    <x v="7"/>
    <n v="680"/>
    <n v="100.06"/>
    <n v="0"/>
    <n v="18"/>
    <s v="Delivered"/>
    <n v="80288.144"/>
  </r>
  <r>
    <s v="PUR0033"/>
    <x v="304"/>
    <x v="15"/>
    <x v="2"/>
    <n v="583"/>
    <n v="372.69"/>
    <n v="7"/>
    <n v="18"/>
    <s v="Delayed"/>
    <n v="238441.17349799996"/>
  </r>
  <r>
    <s v="PUR0479"/>
    <x v="304"/>
    <x v="1"/>
    <x v="7"/>
    <n v="90"/>
    <n v="96.75"/>
    <n v="0"/>
    <n v="18"/>
    <s v="Delivered"/>
    <n v="10274.85"/>
  </r>
  <r>
    <s v="PUR0013"/>
    <x v="304"/>
    <x v="23"/>
    <x v="17"/>
    <n v="190"/>
    <n v="453.27"/>
    <n v="0"/>
    <n v="18"/>
    <s v="Delivered"/>
    <n v="101623.13399999999"/>
  </r>
  <r>
    <s v="PUR0459"/>
    <x v="305"/>
    <x v="16"/>
    <x v="1"/>
    <n v="225"/>
    <n v="1532.84"/>
    <n v="0"/>
    <n v="18"/>
    <s v="Delivered"/>
    <n v="406969.01999999996"/>
  </r>
  <r>
    <s v="PUR0046"/>
    <x v="305"/>
    <x v="5"/>
    <x v="6"/>
    <n v="109"/>
    <n v="132.68"/>
    <n v="0"/>
    <n v="18"/>
    <s v="Delivered"/>
    <n v="17065.301599999999"/>
  </r>
  <r>
    <s v="PUR0622"/>
    <x v="306"/>
    <x v="27"/>
    <x v="24"/>
    <n v="240"/>
    <n v="175.54"/>
    <n v="0"/>
    <n v="18"/>
    <s v="Delivered"/>
    <n v="49712.927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RD0059"/>
    <x v="0"/>
    <x v="0"/>
    <n v="447"/>
    <n v="424"/>
    <n v="15"/>
    <x v="0"/>
    <x v="0"/>
  </r>
  <r>
    <s v="PRD0490"/>
    <x v="0"/>
    <x v="1"/>
    <n v="175"/>
    <n v="167"/>
    <n v="4"/>
    <x v="1"/>
    <x v="0"/>
  </r>
  <r>
    <s v="PRD0136"/>
    <x v="0"/>
    <x v="0"/>
    <n v="364"/>
    <n v="332"/>
    <n v="12"/>
    <x v="1"/>
    <x v="0"/>
  </r>
  <r>
    <s v="PRD0100"/>
    <x v="0"/>
    <x v="2"/>
    <n v="257"/>
    <n v="240"/>
    <n v="8"/>
    <x v="0"/>
    <x v="1"/>
  </r>
  <r>
    <s v="PRD0199"/>
    <x v="1"/>
    <x v="2"/>
    <n v="472"/>
    <n v="433"/>
    <n v="11"/>
    <x v="1"/>
    <x v="1"/>
  </r>
  <r>
    <s v="PRD0024"/>
    <x v="1"/>
    <x v="2"/>
    <n v="212"/>
    <n v="196"/>
    <n v="6"/>
    <x v="2"/>
    <x v="1"/>
  </r>
  <r>
    <s v="PRD0352"/>
    <x v="2"/>
    <x v="3"/>
    <n v="386"/>
    <n v="370"/>
    <n v="5"/>
    <x v="1"/>
    <x v="2"/>
  </r>
  <r>
    <s v="PRD0361"/>
    <x v="3"/>
    <x v="4"/>
    <n v="232"/>
    <n v="219"/>
    <n v="8"/>
    <x v="2"/>
    <x v="1"/>
  </r>
  <r>
    <s v="PRD0118"/>
    <x v="4"/>
    <x v="5"/>
    <n v="430"/>
    <n v="397"/>
    <n v="9"/>
    <x v="2"/>
    <x v="1"/>
  </r>
  <r>
    <s v="PRD0022"/>
    <x v="4"/>
    <x v="5"/>
    <n v="203"/>
    <n v="185"/>
    <n v="7"/>
    <x v="1"/>
    <x v="1"/>
  </r>
  <r>
    <s v="PRD0082"/>
    <x v="5"/>
    <x v="6"/>
    <n v="488"/>
    <n v="449"/>
    <n v="10"/>
    <x v="2"/>
    <x v="1"/>
  </r>
  <r>
    <s v="PRD0384"/>
    <x v="6"/>
    <x v="5"/>
    <n v="185"/>
    <n v="178"/>
    <n v="3"/>
    <x v="0"/>
    <x v="1"/>
  </r>
  <r>
    <s v="PRD0121"/>
    <x v="7"/>
    <x v="1"/>
    <n v="429"/>
    <n v="414"/>
    <n v="7"/>
    <x v="0"/>
    <x v="0"/>
  </r>
  <r>
    <s v="PRD0366"/>
    <x v="7"/>
    <x v="7"/>
    <n v="152"/>
    <n v="139"/>
    <n v="5"/>
    <x v="2"/>
    <x v="3"/>
  </r>
  <r>
    <s v="PRD0116"/>
    <x v="7"/>
    <x v="7"/>
    <n v="95"/>
    <n v="89"/>
    <n v="2"/>
    <x v="0"/>
    <x v="3"/>
  </r>
  <r>
    <s v="PRD0332"/>
    <x v="7"/>
    <x v="8"/>
    <n v="446"/>
    <n v="429"/>
    <n v="8"/>
    <x v="2"/>
    <x v="2"/>
  </r>
  <r>
    <s v="PRD0077"/>
    <x v="7"/>
    <x v="6"/>
    <n v="339"/>
    <n v="329"/>
    <n v="2"/>
    <x v="2"/>
    <x v="1"/>
  </r>
  <r>
    <s v="PRD0107"/>
    <x v="8"/>
    <x v="9"/>
    <n v="427"/>
    <n v="410"/>
    <n v="13"/>
    <x v="0"/>
    <x v="3"/>
  </r>
  <r>
    <s v="PRD0002"/>
    <x v="9"/>
    <x v="1"/>
    <n v="293"/>
    <n v="281"/>
    <n v="9"/>
    <x v="1"/>
    <x v="0"/>
  </r>
  <r>
    <s v="PRD0441"/>
    <x v="9"/>
    <x v="3"/>
    <n v="450"/>
    <n v="438"/>
    <n v="6"/>
    <x v="2"/>
    <x v="2"/>
  </r>
  <r>
    <s v="PRD0307"/>
    <x v="10"/>
    <x v="0"/>
    <n v="493"/>
    <n v="464"/>
    <n v="5"/>
    <x v="2"/>
    <x v="0"/>
  </r>
  <r>
    <s v="PRD0154"/>
    <x v="10"/>
    <x v="1"/>
    <n v="453"/>
    <n v="445"/>
    <n v="2"/>
    <x v="2"/>
    <x v="0"/>
  </r>
  <r>
    <s v="PRD0405"/>
    <x v="10"/>
    <x v="9"/>
    <n v="199"/>
    <n v="186"/>
    <n v="7"/>
    <x v="2"/>
    <x v="3"/>
  </r>
  <r>
    <s v="PRD0494"/>
    <x v="10"/>
    <x v="5"/>
    <n v="296"/>
    <n v="279"/>
    <n v="6"/>
    <x v="1"/>
    <x v="1"/>
  </r>
  <r>
    <s v="PRD0220"/>
    <x v="11"/>
    <x v="5"/>
    <n v="229"/>
    <n v="216"/>
    <n v="3"/>
    <x v="2"/>
    <x v="1"/>
  </r>
  <r>
    <s v="PRD0147"/>
    <x v="12"/>
    <x v="10"/>
    <n v="92"/>
    <n v="91"/>
    <n v="1"/>
    <x v="2"/>
    <x v="1"/>
  </r>
  <r>
    <s v="PRD0273"/>
    <x v="13"/>
    <x v="5"/>
    <n v="112"/>
    <n v="108"/>
    <n v="1"/>
    <x v="0"/>
    <x v="1"/>
  </r>
  <r>
    <s v="PRD0065"/>
    <x v="13"/>
    <x v="0"/>
    <n v="385"/>
    <n v="356"/>
    <n v="12"/>
    <x v="2"/>
    <x v="0"/>
  </r>
  <r>
    <s v="PRD0261"/>
    <x v="14"/>
    <x v="3"/>
    <n v="448"/>
    <n v="425"/>
    <n v="6"/>
    <x v="0"/>
    <x v="2"/>
  </r>
  <r>
    <s v="PRD0060"/>
    <x v="15"/>
    <x v="7"/>
    <n v="287"/>
    <n v="279"/>
    <n v="7"/>
    <x v="0"/>
    <x v="3"/>
  </r>
  <r>
    <s v="PRD0055"/>
    <x v="15"/>
    <x v="10"/>
    <n v="409"/>
    <n v="381"/>
    <n v="11"/>
    <x v="2"/>
    <x v="1"/>
  </r>
  <r>
    <s v="PRD0218"/>
    <x v="16"/>
    <x v="8"/>
    <n v="277"/>
    <n v="262"/>
    <n v="2"/>
    <x v="0"/>
    <x v="2"/>
  </r>
  <r>
    <s v="PRD0009"/>
    <x v="16"/>
    <x v="1"/>
    <n v="100"/>
    <n v="94"/>
    <n v="2"/>
    <x v="0"/>
    <x v="0"/>
  </r>
  <r>
    <s v="PRD0318"/>
    <x v="17"/>
    <x v="2"/>
    <n v="284"/>
    <n v="275"/>
    <n v="9"/>
    <x v="2"/>
    <x v="1"/>
  </r>
  <r>
    <s v="PRD0184"/>
    <x v="18"/>
    <x v="1"/>
    <n v="141"/>
    <n v="133"/>
    <n v="1"/>
    <x v="0"/>
    <x v="0"/>
  </r>
  <r>
    <s v="PRD0170"/>
    <x v="18"/>
    <x v="1"/>
    <n v="343"/>
    <n v="330"/>
    <n v="9"/>
    <x v="1"/>
    <x v="0"/>
  </r>
  <r>
    <s v="PRD0419"/>
    <x v="18"/>
    <x v="11"/>
    <n v="499"/>
    <n v="482"/>
    <n v="15"/>
    <x v="0"/>
    <x v="1"/>
  </r>
  <r>
    <s v="PRD0483"/>
    <x v="19"/>
    <x v="4"/>
    <n v="113"/>
    <n v="110"/>
    <n v="2"/>
    <x v="0"/>
    <x v="1"/>
  </r>
  <r>
    <s v="PRD0404"/>
    <x v="20"/>
    <x v="8"/>
    <n v="175"/>
    <n v="173"/>
    <n v="1"/>
    <x v="0"/>
    <x v="2"/>
  </r>
  <r>
    <s v="PRD0312"/>
    <x v="20"/>
    <x v="10"/>
    <n v="416"/>
    <n v="397"/>
    <n v="3"/>
    <x v="0"/>
    <x v="1"/>
  </r>
  <r>
    <s v="PRD0006"/>
    <x v="21"/>
    <x v="4"/>
    <n v="414"/>
    <n v="382"/>
    <n v="10"/>
    <x v="2"/>
    <x v="1"/>
  </r>
  <r>
    <s v="PRD0120"/>
    <x v="22"/>
    <x v="9"/>
    <n v="241"/>
    <n v="227"/>
    <n v="6"/>
    <x v="1"/>
    <x v="3"/>
  </r>
  <r>
    <s v="PRD0402"/>
    <x v="22"/>
    <x v="0"/>
    <n v="191"/>
    <n v="181"/>
    <n v="3"/>
    <x v="2"/>
    <x v="0"/>
  </r>
  <r>
    <s v="PRD0374"/>
    <x v="22"/>
    <x v="7"/>
    <n v="343"/>
    <n v="337"/>
    <n v="6"/>
    <x v="1"/>
    <x v="3"/>
  </r>
  <r>
    <s v="PRD0342"/>
    <x v="23"/>
    <x v="2"/>
    <n v="458"/>
    <n v="452"/>
    <n v="2"/>
    <x v="0"/>
    <x v="1"/>
  </r>
  <r>
    <s v="PRD0163"/>
    <x v="24"/>
    <x v="0"/>
    <n v="305"/>
    <n v="286"/>
    <n v="5"/>
    <x v="1"/>
    <x v="0"/>
  </r>
  <r>
    <s v="PRD0294"/>
    <x v="24"/>
    <x v="3"/>
    <n v="127"/>
    <n v="123"/>
    <n v="2"/>
    <x v="2"/>
    <x v="2"/>
  </r>
  <r>
    <s v="PRD0353"/>
    <x v="25"/>
    <x v="3"/>
    <n v="409"/>
    <n v="382"/>
    <n v="7"/>
    <x v="2"/>
    <x v="2"/>
  </r>
  <r>
    <s v="PRD0375"/>
    <x v="26"/>
    <x v="0"/>
    <n v="437"/>
    <n v="408"/>
    <n v="9"/>
    <x v="0"/>
    <x v="0"/>
  </r>
  <r>
    <s v="PRD0141"/>
    <x v="26"/>
    <x v="4"/>
    <n v="88"/>
    <n v="82"/>
    <n v="1"/>
    <x v="0"/>
    <x v="1"/>
  </r>
  <r>
    <s v="PRD0292"/>
    <x v="26"/>
    <x v="4"/>
    <n v="233"/>
    <n v="222"/>
    <n v="5"/>
    <x v="2"/>
    <x v="1"/>
  </r>
  <r>
    <s v="PRD0074"/>
    <x v="27"/>
    <x v="1"/>
    <n v="175"/>
    <n v="165"/>
    <n v="2"/>
    <x v="0"/>
    <x v="0"/>
  </r>
  <r>
    <s v="PRD0390"/>
    <x v="28"/>
    <x v="1"/>
    <n v="100"/>
    <n v="93"/>
    <n v="1"/>
    <x v="0"/>
    <x v="0"/>
  </r>
  <r>
    <s v="PRD0138"/>
    <x v="29"/>
    <x v="9"/>
    <n v="311"/>
    <n v="299"/>
    <n v="10"/>
    <x v="2"/>
    <x v="3"/>
  </r>
  <r>
    <s v="PRD0211"/>
    <x v="30"/>
    <x v="7"/>
    <n v="258"/>
    <n v="244"/>
    <n v="5"/>
    <x v="2"/>
    <x v="3"/>
  </r>
  <r>
    <s v="PRD0037"/>
    <x v="30"/>
    <x v="0"/>
    <n v="210"/>
    <n v="194"/>
    <n v="4"/>
    <x v="2"/>
    <x v="0"/>
  </r>
  <r>
    <s v="PRD0150"/>
    <x v="30"/>
    <x v="5"/>
    <n v="229"/>
    <n v="219"/>
    <n v="6"/>
    <x v="0"/>
    <x v="1"/>
  </r>
  <r>
    <s v="PRD0004"/>
    <x v="30"/>
    <x v="9"/>
    <n v="319"/>
    <n v="301"/>
    <n v="3"/>
    <x v="2"/>
    <x v="3"/>
  </r>
  <r>
    <s v="PRD0333"/>
    <x v="31"/>
    <x v="5"/>
    <n v="494"/>
    <n v="471"/>
    <n v="9"/>
    <x v="2"/>
    <x v="1"/>
  </r>
  <r>
    <s v="PRD0455"/>
    <x v="31"/>
    <x v="0"/>
    <n v="370"/>
    <n v="356"/>
    <n v="11"/>
    <x v="0"/>
    <x v="0"/>
  </r>
  <r>
    <s v="PRD0445"/>
    <x v="32"/>
    <x v="9"/>
    <n v="117"/>
    <n v="110"/>
    <n v="2"/>
    <x v="0"/>
    <x v="3"/>
  </r>
  <r>
    <s v="PRD0428"/>
    <x v="33"/>
    <x v="0"/>
    <n v="415"/>
    <n v="390"/>
    <n v="7"/>
    <x v="0"/>
    <x v="0"/>
  </r>
  <r>
    <s v="PRD0203"/>
    <x v="34"/>
    <x v="3"/>
    <n v="298"/>
    <n v="289"/>
    <n v="5"/>
    <x v="0"/>
    <x v="2"/>
  </r>
  <r>
    <s v="PRD0126"/>
    <x v="34"/>
    <x v="2"/>
    <n v="352"/>
    <n v="328"/>
    <n v="5"/>
    <x v="1"/>
    <x v="1"/>
  </r>
  <r>
    <s v="PRD0284"/>
    <x v="35"/>
    <x v="10"/>
    <n v="356"/>
    <n v="335"/>
    <n v="3"/>
    <x v="2"/>
    <x v="1"/>
  </r>
  <r>
    <s v="PRD0317"/>
    <x v="36"/>
    <x v="11"/>
    <n v="341"/>
    <n v="322"/>
    <n v="3"/>
    <x v="2"/>
    <x v="1"/>
  </r>
  <r>
    <s v="PRD0304"/>
    <x v="36"/>
    <x v="7"/>
    <n v="356"/>
    <n v="326"/>
    <n v="12"/>
    <x v="2"/>
    <x v="3"/>
  </r>
  <r>
    <s v="PRD0034"/>
    <x v="37"/>
    <x v="1"/>
    <n v="415"/>
    <n v="402"/>
    <n v="6"/>
    <x v="0"/>
    <x v="0"/>
  </r>
  <r>
    <s v="PRD0158"/>
    <x v="38"/>
    <x v="8"/>
    <n v="253"/>
    <n v="246"/>
    <n v="2"/>
    <x v="1"/>
    <x v="2"/>
  </r>
  <r>
    <s v="PRD0311"/>
    <x v="39"/>
    <x v="4"/>
    <n v="94"/>
    <n v="86"/>
    <n v="3"/>
    <x v="1"/>
    <x v="1"/>
  </r>
  <r>
    <s v="PRD0144"/>
    <x v="39"/>
    <x v="11"/>
    <n v="348"/>
    <n v="321"/>
    <n v="11"/>
    <x v="0"/>
    <x v="1"/>
  </r>
  <r>
    <s v="PRD0057"/>
    <x v="39"/>
    <x v="11"/>
    <n v="318"/>
    <n v="307"/>
    <n v="6"/>
    <x v="2"/>
    <x v="1"/>
  </r>
  <r>
    <s v="PRD0137"/>
    <x v="40"/>
    <x v="1"/>
    <n v="331"/>
    <n v="308"/>
    <n v="11"/>
    <x v="2"/>
    <x v="0"/>
  </r>
  <r>
    <s v="PRD0408"/>
    <x v="41"/>
    <x v="5"/>
    <n v="281"/>
    <n v="270"/>
    <n v="5"/>
    <x v="2"/>
    <x v="1"/>
  </r>
  <r>
    <s v="PRD0162"/>
    <x v="42"/>
    <x v="7"/>
    <n v="371"/>
    <n v="362"/>
    <n v="5"/>
    <x v="0"/>
    <x v="3"/>
  </r>
  <r>
    <s v="PRD0209"/>
    <x v="43"/>
    <x v="6"/>
    <n v="338"/>
    <n v="313"/>
    <n v="5"/>
    <x v="0"/>
    <x v="1"/>
  </r>
  <r>
    <s v="PRD0479"/>
    <x v="44"/>
    <x v="10"/>
    <n v="274"/>
    <n v="266"/>
    <n v="3"/>
    <x v="0"/>
    <x v="1"/>
  </r>
  <r>
    <s v="PRD0236"/>
    <x v="45"/>
    <x v="8"/>
    <n v="342"/>
    <n v="317"/>
    <n v="7"/>
    <x v="1"/>
    <x v="2"/>
  </r>
  <r>
    <s v="PRD0235"/>
    <x v="46"/>
    <x v="10"/>
    <n v="121"/>
    <n v="115"/>
    <n v="2"/>
    <x v="0"/>
    <x v="1"/>
  </r>
  <r>
    <s v="PRD0068"/>
    <x v="46"/>
    <x v="0"/>
    <n v="348"/>
    <n v="325"/>
    <n v="4"/>
    <x v="2"/>
    <x v="0"/>
  </r>
  <r>
    <s v="PRD0429"/>
    <x v="47"/>
    <x v="0"/>
    <n v="270"/>
    <n v="263"/>
    <n v="5"/>
    <x v="2"/>
    <x v="0"/>
  </r>
  <r>
    <s v="PRD0492"/>
    <x v="47"/>
    <x v="3"/>
    <n v="350"/>
    <n v="339"/>
    <n v="4"/>
    <x v="2"/>
    <x v="2"/>
  </r>
  <r>
    <s v="PRD0303"/>
    <x v="48"/>
    <x v="10"/>
    <n v="458"/>
    <n v="450"/>
    <n v="6"/>
    <x v="0"/>
    <x v="1"/>
  </r>
  <r>
    <s v="PRD0349"/>
    <x v="49"/>
    <x v="6"/>
    <n v="203"/>
    <n v="191"/>
    <n v="4"/>
    <x v="2"/>
    <x v="1"/>
  </r>
  <r>
    <s v="PRD0171"/>
    <x v="49"/>
    <x v="9"/>
    <n v="213"/>
    <n v="205"/>
    <n v="2"/>
    <x v="0"/>
    <x v="3"/>
  </r>
  <r>
    <s v="PRD0078"/>
    <x v="50"/>
    <x v="0"/>
    <n v="229"/>
    <n v="220"/>
    <n v="1"/>
    <x v="2"/>
    <x v="0"/>
  </r>
  <r>
    <s v="PRD0416"/>
    <x v="50"/>
    <x v="7"/>
    <n v="369"/>
    <n v="356"/>
    <n v="3"/>
    <x v="2"/>
    <x v="3"/>
  </r>
  <r>
    <s v="PRD0321"/>
    <x v="51"/>
    <x v="3"/>
    <n v="425"/>
    <n v="404"/>
    <n v="7"/>
    <x v="2"/>
    <x v="2"/>
  </r>
  <r>
    <s v="PRD0410"/>
    <x v="51"/>
    <x v="1"/>
    <n v="318"/>
    <n v="305"/>
    <n v="4"/>
    <x v="2"/>
    <x v="0"/>
  </r>
  <r>
    <s v="PRD0079"/>
    <x v="51"/>
    <x v="11"/>
    <n v="228"/>
    <n v="218"/>
    <n v="5"/>
    <x v="2"/>
    <x v="1"/>
  </r>
  <r>
    <s v="PRD0345"/>
    <x v="51"/>
    <x v="3"/>
    <n v="289"/>
    <n v="281"/>
    <n v="4"/>
    <x v="0"/>
    <x v="2"/>
  </r>
  <r>
    <s v="PRD0279"/>
    <x v="51"/>
    <x v="6"/>
    <n v="147"/>
    <n v="134"/>
    <n v="5"/>
    <x v="1"/>
    <x v="1"/>
  </r>
  <r>
    <s v="PRD0038"/>
    <x v="52"/>
    <x v="4"/>
    <n v="192"/>
    <n v="177"/>
    <n v="4"/>
    <x v="2"/>
    <x v="1"/>
  </r>
  <r>
    <s v="PRD0237"/>
    <x v="52"/>
    <x v="0"/>
    <n v="177"/>
    <n v="166"/>
    <n v="6"/>
    <x v="2"/>
    <x v="0"/>
  </r>
  <r>
    <s v="PRD0359"/>
    <x v="53"/>
    <x v="6"/>
    <n v="87"/>
    <n v="85"/>
    <n v="1"/>
    <x v="0"/>
    <x v="1"/>
  </r>
  <r>
    <s v="PRD0155"/>
    <x v="54"/>
    <x v="6"/>
    <n v="465"/>
    <n v="430"/>
    <n v="8"/>
    <x v="2"/>
    <x v="1"/>
  </r>
  <r>
    <s v="PRD0016"/>
    <x v="55"/>
    <x v="8"/>
    <n v="205"/>
    <n v="192"/>
    <n v="6"/>
    <x v="1"/>
    <x v="2"/>
  </r>
  <r>
    <s v="PRD0437"/>
    <x v="55"/>
    <x v="11"/>
    <n v="287"/>
    <n v="273"/>
    <n v="8"/>
    <x v="2"/>
    <x v="1"/>
  </r>
  <r>
    <s v="PRD0066"/>
    <x v="56"/>
    <x v="2"/>
    <n v="182"/>
    <n v="171"/>
    <n v="2"/>
    <x v="2"/>
    <x v="1"/>
  </r>
  <r>
    <s v="PRD0215"/>
    <x v="56"/>
    <x v="4"/>
    <n v="340"/>
    <n v="320"/>
    <n v="3"/>
    <x v="0"/>
    <x v="1"/>
  </r>
  <r>
    <s v="PRD0323"/>
    <x v="57"/>
    <x v="9"/>
    <n v="171"/>
    <n v="166"/>
    <n v="2"/>
    <x v="2"/>
    <x v="3"/>
  </r>
  <r>
    <s v="PRD0040"/>
    <x v="58"/>
    <x v="0"/>
    <n v="266"/>
    <n v="248"/>
    <n v="5"/>
    <x v="0"/>
    <x v="0"/>
  </r>
  <r>
    <s v="PRD0277"/>
    <x v="59"/>
    <x v="9"/>
    <n v="425"/>
    <n v="410"/>
    <n v="5"/>
    <x v="0"/>
    <x v="3"/>
  </r>
  <r>
    <s v="PRD0135"/>
    <x v="60"/>
    <x v="11"/>
    <n v="227"/>
    <n v="213"/>
    <n v="5"/>
    <x v="1"/>
    <x v="1"/>
  </r>
  <r>
    <s v="PRD0246"/>
    <x v="61"/>
    <x v="4"/>
    <n v="480"/>
    <n v="458"/>
    <n v="7"/>
    <x v="1"/>
    <x v="1"/>
  </r>
  <r>
    <s v="PRD0241"/>
    <x v="62"/>
    <x v="2"/>
    <n v="445"/>
    <n v="440"/>
    <n v="2"/>
    <x v="0"/>
    <x v="1"/>
  </r>
  <r>
    <s v="PRD0412"/>
    <x v="62"/>
    <x v="1"/>
    <n v="207"/>
    <n v="195"/>
    <n v="5"/>
    <x v="2"/>
    <x v="0"/>
  </r>
  <r>
    <s v="PRD0227"/>
    <x v="63"/>
    <x v="9"/>
    <n v="406"/>
    <n v="391"/>
    <n v="10"/>
    <x v="2"/>
    <x v="3"/>
  </r>
  <r>
    <s v="PRD0130"/>
    <x v="64"/>
    <x v="8"/>
    <n v="123"/>
    <n v="116"/>
    <n v="1"/>
    <x v="1"/>
    <x v="2"/>
  </r>
  <r>
    <s v="PRD0500"/>
    <x v="65"/>
    <x v="1"/>
    <n v="181"/>
    <n v="169"/>
    <n v="1"/>
    <x v="1"/>
    <x v="0"/>
  </r>
  <r>
    <s v="PRD0028"/>
    <x v="65"/>
    <x v="2"/>
    <n v="355"/>
    <n v="348"/>
    <n v="5"/>
    <x v="2"/>
    <x v="1"/>
  </r>
  <r>
    <s v="PRD0290"/>
    <x v="66"/>
    <x v="1"/>
    <n v="372"/>
    <n v="353"/>
    <n v="9"/>
    <x v="1"/>
    <x v="0"/>
  </r>
  <r>
    <s v="PRD0432"/>
    <x v="67"/>
    <x v="11"/>
    <n v="494"/>
    <n v="479"/>
    <n v="3"/>
    <x v="2"/>
    <x v="1"/>
  </r>
  <r>
    <s v="PRD0238"/>
    <x v="67"/>
    <x v="4"/>
    <n v="213"/>
    <n v="201"/>
    <n v="2"/>
    <x v="0"/>
    <x v="1"/>
  </r>
  <r>
    <s v="PRD0425"/>
    <x v="67"/>
    <x v="4"/>
    <n v="253"/>
    <n v="237"/>
    <n v="2"/>
    <x v="0"/>
    <x v="1"/>
  </r>
  <r>
    <s v="PRD0156"/>
    <x v="68"/>
    <x v="2"/>
    <n v="275"/>
    <n v="253"/>
    <n v="6"/>
    <x v="1"/>
    <x v="1"/>
  </r>
  <r>
    <s v="PRD0161"/>
    <x v="68"/>
    <x v="5"/>
    <n v="473"/>
    <n v="451"/>
    <n v="15"/>
    <x v="2"/>
    <x v="1"/>
  </r>
  <r>
    <s v="PRD0188"/>
    <x v="69"/>
    <x v="6"/>
    <n v="427"/>
    <n v="415"/>
    <n v="11"/>
    <x v="2"/>
    <x v="1"/>
  </r>
  <r>
    <s v="PRD0286"/>
    <x v="70"/>
    <x v="8"/>
    <n v="300"/>
    <n v="289"/>
    <n v="7"/>
    <x v="2"/>
    <x v="2"/>
  </r>
  <r>
    <s v="PRD0482"/>
    <x v="71"/>
    <x v="8"/>
    <n v="284"/>
    <n v="275"/>
    <n v="7"/>
    <x v="1"/>
    <x v="2"/>
  </r>
  <r>
    <s v="PRD0180"/>
    <x v="72"/>
    <x v="3"/>
    <n v="155"/>
    <n v="148"/>
    <n v="1"/>
    <x v="0"/>
    <x v="2"/>
  </r>
  <r>
    <s v="PRD0475"/>
    <x v="73"/>
    <x v="7"/>
    <n v="469"/>
    <n v="453"/>
    <n v="5"/>
    <x v="0"/>
    <x v="3"/>
  </r>
  <r>
    <s v="PRD0098"/>
    <x v="74"/>
    <x v="5"/>
    <n v="443"/>
    <n v="419"/>
    <n v="2"/>
    <x v="2"/>
    <x v="1"/>
  </r>
  <r>
    <s v="PRD0104"/>
    <x v="74"/>
    <x v="9"/>
    <n v="224"/>
    <n v="214"/>
    <n v="6"/>
    <x v="1"/>
    <x v="3"/>
  </r>
  <r>
    <s v="PRD0289"/>
    <x v="74"/>
    <x v="0"/>
    <n v="125"/>
    <n v="117"/>
    <n v="1"/>
    <x v="0"/>
    <x v="0"/>
  </r>
  <r>
    <s v="PRD0426"/>
    <x v="75"/>
    <x v="1"/>
    <n v="181"/>
    <n v="173"/>
    <n v="4"/>
    <x v="1"/>
    <x v="0"/>
  </r>
  <r>
    <s v="PRD0336"/>
    <x v="75"/>
    <x v="0"/>
    <n v="151"/>
    <n v="143"/>
    <n v="5"/>
    <x v="2"/>
    <x v="0"/>
  </r>
  <r>
    <s v="PRD0115"/>
    <x v="76"/>
    <x v="6"/>
    <n v="491"/>
    <n v="468"/>
    <n v="8"/>
    <x v="2"/>
    <x v="1"/>
  </r>
  <r>
    <s v="PRD0313"/>
    <x v="76"/>
    <x v="6"/>
    <n v="422"/>
    <n v="405"/>
    <n v="10"/>
    <x v="0"/>
    <x v="1"/>
  </r>
  <r>
    <s v="PRD0406"/>
    <x v="77"/>
    <x v="6"/>
    <n v="340"/>
    <n v="320"/>
    <n v="8"/>
    <x v="0"/>
    <x v="1"/>
  </r>
  <r>
    <s v="PRD0245"/>
    <x v="78"/>
    <x v="4"/>
    <n v="422"/>
    <n v="397"/>
    <n v="4"/>
    <x v="2"/>
    <x v="1"/>
  </r>
  <r>
    <s v="PRD0397"/>
    <x v="78"/>
    <x v="1"/>
    <n v="189"/>
    <n v="178"/>
    <n v="3"/>
    <x v="0"/>
    <x v="0"/>
  </r>
  <r>
    <s v="PRD0271"/>
    <x v="79"/>
    <x v="4"/>
    <n v="160"/>
    <n v="151"/>
    <n v="4"/>
    <x v="2"/>
    <x v="1"/>
  </r>
  <r>
    <s v="PRD0129"/>
    <x v="79"/>
    <x v="9"/>
    <n v="340"/>
    <n v="327"/>
    <n v="5"/>
    <x v="2"/>
    <x v="3"/>
  </r>
  <r>
    <s v="PRD0356"/>
    <x v="80"/>
    <x v="3"/>
    <n v="275"/>
    <n v="260"/>
    <n v="4"/>
    <x v="2"/>
    <x v="2"/>
  </r>
  <r>
    <s v="PRD0117"/>
    <x v="80"/>
    <x v="9"/>
    <n v="458"/>
    <n v="422"/>
    <n v="16"/>
    <x v="2"/>
    <x v="3"/>
  </r>
  <r>
    <s v="PRD0368"/>
    <x v="80"/>
    <x v="1"/>
    <n v="264"/>
    <n v="241"/>
    <n v="9"/>
    <x v="0"/>
    <x v="0"/>
  </r>
  <r>
    <s v="PRD0103"/>
    <x v="80"/>
    <x v="9"/>
    <n v="111"/>
    <n v="106"/>
    <n v="2"/>
    <x v="2"/>
    <x v="3"/>
  </r>
  <r>
    <s v="PRD0395"/>
    <x v="80"/>
    <x v="7"/>
    <n v="431"/>
    <n v="415"/>
    <n v="10"/>
    <x v="0"/>
    <x v="3"/>
  </r>
  <r>
    <s v="PRD0394"/>
    <x v="81"/>
    <x v="6"/>
    <n v="136"/>
    <n v="132"/>
    <n v="2"/>
    <x v="0"/>
    <x v="1"/>
  </r>
  <r>
    <s v="PRD0367"/>
    <x v="81"/>
    <x v="11"/>
    <n v="497"/>
    <n v="475"/>
    <n v="10"/>
    <x v="0"/>
    <x v="1"/>
  </r>
  <r>
    <s v="PRD0112"/>
    <x v="82"/>
    <x v="4"/>
    <n v="456"/>
    <n v="449"/>
    <n v="2"/>
    <x v="2"/>
    <x v="1"/>
  </r>
  <r>
    <s v="PRD0223"/>
    <x v="82"/>
    <x v="9"/>
    <n v="311"/>
    <n v="288"/>
    <n v="6"/>
    <x v="0"/>
    <x v="3"/>
  </r>
  <r>
    <s v="PRD0062"/>
    <x v="83"/>
    <x v="4"/>
    <n v="240"/>
    <n v="221"/>
    <n v="5"/>
    <x v="1"/>
    <x v="1"/>
  </r>
  <r>
    <s v="PRD0399"/>
    <x v="83"/>
    <x v="5"/>
    <n v="459"/>
    <n v="436"/>
    <n v="13"/>
    <x v="2"/>
    <x v="1"/>
  </r>
  <r>
    <s v="PRD0175"/>
    <x v="84"/>
    <x v="4"/>
    <n v="265"/>
    <n v="257"/>
    <n v="3"/>
    <x v="2"/>
    <x v="1"/>
  </r>
  <r>
    <s v="PRD0015"/>
    <x v="84"/>
    <x v="0"/>
    <n v="248"/>
    <n v="233"/>
    <n v="8"/>
    <x v="2"/>
    <x v="0"/>
  </r>
  <r>
    <s v="PRD0334"/>
    <x v="85"/>
    <x v="8"/>
    <n v="459"/>
    <n v="416"/>
    <n v="16"/>
    <x v="0"/>
    <x v="2"/>
  </r>
  <r>
    <s v="PRD0177"/>
    <x v="85"/>
    <x v="10"/>
    <n v="97"/>
    <n v="94"/>
    <n v="0"/>
    <x v="0"/>
    <x v="1"/>
  </r>
  <r>
    <s v="PRD0418"/>
    <x v="86"/>
    <x v="8"/>
    <n v="476"/>
    <n v="457"/>
    <n v="9"/>
    <x v="2"/>
    <x v="2"/>
  </r>
  <r>
    <s v="PRD0133"/>
    <x v="87"/>
    <x v="7"/>
    <n v="383"/>
    <n v="355"/>
    <n v="9"/>
    <x v="2"/>
    <x v="3"/>
  </r>
  <r>
    <s v="PRD0341"/>
    <x v="88"/>
    <x v="4"/>
    <n v="293"/>
    <n v="279"/>
    <n v="10"/>
    <x v="2"/>
    <x v="1"/>
  </r>
  <r>
    <s v="PRD0031"/>
    <x v="88"/>
    <x v="0"/>
    <n v="98"/>
    <n v="93"/>
    <n v="1"/>
    <x v="0"/>
    <x v="0"/>
  </r>
  <r>
    <s v="PRD0125"/>
    <x v="89"/>
    <x v="10"/>
    <n v="441"/>
    <n v="407"/>
    <n v="14"/>
    <x v="0"/>
    <x v="1"/>
  </r>
  <r>
    <s v="PRD0214"/>
    <x v="89"/>
    <x v="11"/>
    <n v="93"/>
    <n v="91"/>
    <n v="1"/>
    <x v="0"/>
    <x v="1"/>
  </r>
  <r>
    <s v="PRD0444"/>
    <x v="90"/>
    <x v="8"/>
    <n v="440"/>
    <n v="402"/>
    <n v="12"/>
    <x v="1"/>
    <x v="2"/>
  </r>
  <r>
    <s v="PRD0176"/>
    <x v="90"/>
    <x v="8"/>
    <n v="209"/>
    <n v="195"/>
    <n v="3"/>
    <x v="1"/>
    <x v="2"/>
  </r>
  <r>
    <s v="PRD0056"/>
    <x v="91"/>
    <x v="10"/>
    <n v="348"/>
    <n v="329"/>
    <n v="5"/>
    <x v="2"/>
    <x v="1"/>
  </r>
  <r>
    <s v="PRD0282"/>
    <x v="92"/>
    <x v="9"/>
    <n v="164"/>
    <n v="156"/>
    <n v="5"/>
    <x v="2"/>
    <x v="3"/>
  </r>
  <r>
    <s v="PRD0378"/>
    <x v="93"/>
    <x v="1"/>
    <n v="476"/>
    <n v="468"/>
    <n v="6"/>
    <x v="2"/>
    <x v="0"/>
  </r>
  <r>
    <s v="PRD0347"/>
    <x v="93"/>
    <x v="4"/>
    <n v="97"/>
    <n v="94"/>
    <n v="1"/>
    <x v="0"/>
    <x v="1"/>
  </r>
  <r>
    <s v="PRD0064"/>
    <x v="93"/>
    <x v="1"/>
    <n v="136"/>
    <n v="129"/>
    <n v="4"/>
    <x v="2"/>
    <x v="0"/>
  </r>
  <r>
    <s v="PRD0386"/>
    <x v="93"/>
    <x v="1"/>
    <n v="376"/>
    <n v="363"/>
    <n v="9"/>
    <x v="0"/>
    <x v="0"/>
  </r>
  <r>
    <s v="PRD0485"/>
    <x v="93"/>
    <x v="0"/>
    <n v="382"/>
    <n v="364"/>
    <n v="6"/>
    <x v="0"/>
    <x v="0"/>
  </r>
  <r>
    <s v="PRD0301"/>
    <x v="94"/>
    <x v="2"/>
    <n v="304"/>
    <n v="279"/>
    <n v="9"/>
    <x v="2"/>
    <x v="1"/>
  </r>
  <r>
    <s v="PRD0309"/>
    <x v="95"/>
    <x v="8"/>
    <n v="463"/>
    <n v="446"/>
    <n v="5"/>
    <x v="0"/>
    <x v="2"/>
  </r>
  <r>
    <s v="PRD0230"/>
    <x v="96"/>
    <x v="4"/>
    <n v="278"/>
    <n v="273"/>
    <n v="1"/>
    <x v="0"/>
    <x v="1"/>
  </r>
  <r>
    <s v="PRD0032"/>
    <x v="96"/>
    <x v="7"/>
    <n v="297"/>
    <n v="269"/>
    <n v="10"/>
    <x v="0"/>
    <x v="3"/>
  </r>
  <r>
    <s v="PRD0229"/>
    <x v="96"/>
    <x v="10"/>
    <n v="213"/>
    <n v="203"/>
    <n v="6"/>
    <x v="2"/>
    <x v="1"/>
  </r>
  <r>
    <s v="PRD0491"/>
    <x v="96"/>
    <x v="9"/>
    <n v="182"/>
    <n v="177"/>
    <n v="3"/>
    <x v="0"/>
    <x v="3"/>
  </r>
  <r>
    <s v="PRD0451"/>
    <x v="97"/>
    <x v="6"/>
    <n v="103"/>
    <n v="100"/>
    <n v="3"/>
    <x v="2"/>
    <x v="1"/>
  </r>
  <r>
    <s v="PRD0061"/>
    <x v="98"/>
    <x v="2"/>
    <n v="390"/>
    <n v="363"/>
    <n v="7"/>
    <x v="0"/>
    <x v="1"/>
  </r>
  <r>
    <s v="PRD0019"/>
    <x v="99"/>
    <x v="8"/>
    <n v="335"/>
    <n v="321"/>
    <n v="10"/>
    <x v="0"/>
    <x v="2"/>
  </r>
  <r>
    <s v="PRD0308"/>
    <x v="99"/>
    <x v="7"/>
    <n v="295"/>
    <n v="284"/>
    <n v="3"/>
    <x v="0"/>
    <x v="3"/>
  </r>
  <r>
    <s v="PRD0165"/>
    <x v="99"/>
    <x v="5"/>
    <n v="274"/>
    <n v="258"/>
    <n v="9"/>
    <x v="1"/>
    <x v="1"/>
  </r>
  <r>
    <s v="PRD0219"/>
    <x v="99"/>
    <x v="2"/>
    <n v="175"/>
    <n v="164"/>
    <n v="4"/>
    <x v="0"/>
    <x v="1"/>
  </r>
  <r>
    <s v="PRD0484"/>
    <x v="100"/>
    <x v="7"/>
    <n v="197"/>
    <n v="187"/>
    <n v="3"/>
    <x v="2"/>
    <x v="3"/>
  </r>
  <r>
    <s v="PRD0392"/>
    <x v="101"/>
    <x v="2"/>
    <n v="214"/>
    <n v="204"/>
    <n v="3"/>
    <x v="0"/>
    <x v="1"/>
  </r>
  <r>
    <s v="PRD0183"/>
    <x v="102"/>
    <x v="0"/>
    <n v="100"/>
    <n v="93"/>
    <n v="2"/>
    <x v="2"/>
    <x v="0"/>
  </r>
  <r>
    <s v="PRD0389"/>
    <x v="102"/>
    <x v="8"/>
    <n v="92"/>
    <n v="87"/>
    <n v="2"/>
    <x v="2"/>
    <x v="2"/>
  </r>
  <r>
    <s v="PRD0243"/>
    <x v="103"/>
    <x v="11"/>
    <n v="197"/>
    <n v="185"/>
    <n v="1"/>
    <x v="2"/>
    <x v="1"/>
  </r>
  <r>
    <s v="PRD0008"/>
    <x v="103"/>
    <x v="0"/>
    <n v="176"/>
    <n v="161"/>
    <n v="6"/>
    <x v="1"/>
    <x v="0"/>
  </r>
  <r>
    <s v="PRD0477"/>
    <x v="104"/>
    <x v="11"/>
    <n v="296"/>
    <n v="278"/>
    <n v="8"/>
    <x v="1"/>
    <x v="1"/>
  </r>
  <r>
    <s v="PRD0097"/>
    <x v="104"/>
    <x v="8"/>
    <n v="479"/>
    <n v="454"/>
    <n v="9"/>
    <x v="0"/>
    <x v="2"/>
  </r>
  <r>
    <s v="PRD0205"/>
    <x v="105"/>
    <x v="0"/>
    <n v="323"/>
    <n v="308"/>
    <n v="9"/>
    <x v="1"/>
    <x v="0"/>
  </r>
  <r>
    <s v="PRD0322"/>
    <x v="105"/>
    <x v="1"/>
    <n v="192"/>
    <n v="183"/>
    <n v="1"/>
    <x v="0"/>
    <x v="0"/>
  </r>
  <r>
    <s v="PRD0338"/>
    <x v="105"/>
    <x v="1"/>
    <n v="286"/>
    <n v="262"/>
    <n v="8"/>
    <x v="0"/>
    <x v="0"/>
  </r>
  <r>
    <s v="PRD0461"/>
    <x v="106"/>
    <x v="0"/>
    <n v="410"/>
    <n v="394"/>
    <n v="7"/>
    <x v="2"/>
    <x v="0"/>
  </r>
  <r>
    <s v="PRD0470"/>
    <x v="107"/>
    <x v="0"/>
    <n v="290"/>
    <n v="281"/>
    <n v="5"/>
    <x v="1"/>
    <x v="0"/>
  </r>
  <r>
    <s v="PRD0069"/>
    <x v="108"/>
    <x v="2"/>
    <n v="141"/>
    <n v="136"/>
    <n v="3"/>
    <x v="0"/>
    <x v="1"/>
  </r>
  <r>
    <s v="PRD0398"/>
    <x v="109"/>
    <x v="10"/>
    <n v="288"/>
    <n v="270"/>
    <n v="10"/>
    <x v="1"/>
    <x v="1"/>
  </r>
  <r>
    <s v="PRD0012"/>
    <x v="109"/>
    <x v="11"/>
    <n v="252"/>
    <n v="240"/>
    <n v="9"/>
    <x v="2"/>
    <x v="1"/>
  </r>
  <r>
    <s v="PRD0337"/>
    <x v="109"/>
    <x v="2"/>
    <n v="284"/>
    <n v="273"/>
    <n v="7"/>
    <x v="1"/>
    <x v="1"/>
  </r>
  <r>
    <s v="PRD0123"/>
    <x v="110"/>
    <x v="1"/>
    <n v="308"/>
    <n v="306"/>
    <n v="2"/>
    <x v="2"/>
    <x v="0"/>
  </r>
  <r>
    <s v="PRD0354"/>
    <x v="111"/>
    <x v="5"/>
    <n v="244"/>
    <n v="231"/>
    <n v="7"/>
    <x v="2"/>
    <x v="1"/>
  </r>
  <r>
    <s v="PRD0166"/>
    <x v="111"/>
    <x v="3"/>
    <n v="339"/>
    <n v="328"/>
    <n v="9"/>
    <x v="2"/>
    <x v="2"/>
  </r>
  <r>
    <s v="PRD0148"/>
    <x v="112"/>
    <x v="6"/>
    <n v="369"/>
    <n v="360"/>
    <n v="1"/>
    <x v="0"/>
    <x v="1"/>
  </r>
  <r>
    <s v="PRD0050"/>
    <x v="113"/>
    <x v="1"/>
    <n v="209"/>
    <n v="203"/>
    <n v="4"/>
    <x v="1"/>
    <x v="0"/>
  </r>
  <r>
    <s v="PRD0030"/>
    <x v="114"/>
    <x v="8"/>
    <n v="108"/>
    <n v="100"/>
    <n v="2"/>
    <x v="2"/>
    <x v="2"/>
  </r>
  <r>
    <s v="PRD0260"/>
    <x v="114"/>
    <x v="3"/>
    <n v="363"/>
    <n v="348"/>
    <n v="10"/>
    <x v="2"/>
    <x v="2"/>
  </r>
  <r>
    <s v="PRD0252"/>
    <x v="114"/>
    <x v="6"/>
    <n v="139"/>
    <n v="134"/>
    <n v="2"/>
    <x v="2"/>
    <x v="1"/>
  </r>
  <r>
    <s v="PRD0240"/>
    <x v="115"/>
    <x v="11"/>
    <n v="285"/>
    <n v="277"/>
    <n v="8"/>
    <x v="0"/>
    <x v="1"/>
  </r>
  <r>
    <s v="PRD0014"/>
    <x v="116"/>
    <x v="11"/>
    <n v="175"/>
    <n v="172"/>
    <n v="3"/>
    <x v="0"/>
    <x v="1"/>
  </r>
  <r>
    <s v="PRD0239"/>
    <x v="116"/>
    <x v="2"/>
    <n v="159"/>
    <n v="151"/>
    <n v="3"/>
    <x v="0"/>
    <x v="1"/>
  </r>
  <r>
    <s v="PRD0076"/>
    <x v="116"/>
    <x v="1"/>
    <n v="415"/>
    <n v="385"/>
    <n v="7"/>
    <x v="1"/>
    <x v="0"/>
  </r>
  <r>
    <s v="PRD0131"/>
    <x v="117"/>
    <x v="4"/>
    <n v="391"/>
    <n v="374"/>
    <n v="13"/>
    <x v="2"/>
    <x v="1"/>
  </r>
  <r>
    <s v="PRD0200"/>
    <x v="117"/>
    <x v="7"/>
    <n v="458"/>
    <n v="428"/>
    <n v="10"/>
    <x v="2"/>
    <x v="3"/>
  </r>
  <r>
    <s v="PRD0233"/>
    <x v="118"/>
    <x v="0"/>
    <n v="217"/>
    <n v="211"/>
    <n v="6"/>
    <x v="0"/>
    <x v="0"/>
  </r>
  <r>
    <s v="PRD0269"/>
    <x v="119"/>
    <x v="3"/>
    <n v="382"/>
    <n v="370"/>
    <n v="5"/>
    <x v="2"/>
    <x v="2"/>
  </r>
  <r>
    <s v="PRD0248"/>
    <x v="119"/>
    <x v="7"/>
    <n v="425"/>
    <n v="401"/>
    <n v="3"/>
    <x v="0"/>
    <x v="3"/>
  </r>
  <r>
    <s v="PRD0224"/>
    <x v="119"/>
    <x v="7"/>
    <n v="462"/>
    <n v="455"/>
    <n v="2"/>
    <x v="2"/>
    <x v="3"/>
  </r>
  <r>
    <s v="PRD0457"/>
    <x v="119"/>
    <x v="4"/>
    <n v="216"/>
    <n v="202"/>
    <n v="5"/>
    <x v="2"/>
    <x v="1"/>
  </r>
  <r>
    <s v="PRD0086"/>
    <x v="120"/>
    <x v="1"/>
    <n v="366"/>
    <n v="346"/>
    <n v="4"/>
    <x v="0"/>
    <x v="0"/>
  </r>
  <r>
    <s v="PRD0328"/>
    <x v="120"/>
    <x v="0"/>
    <n v="446"/>
    <n v="423"/>
    <n v="9"/>
    <x v="2"/>
    <x v="0"/>
  </r>
  <r>
    <s v="PRD0339"/>
    <x v="120"/>
    <x v="7"/>
    <n v="104"/>
    <n v="97"/>
    <n v="2"/>
    <x v="0"/>
    <x v="3"/>
  </r>
  <r>
    <s v="PRD0401"/>
    <x v="121"/>
    <x v="1"/>
    <n v="487"/>
    <n v="465"/>
    <n v="16"/>
    <x v="0"/>
    <x v="0"/>
  </r>
  <r>
    <s v="PRD0196"/>
    <x v="121"/>
    <x v="10"/>
    <n v="347"/>
    <n v="329"/>
    <n v="8"/>
    <x v="0"/>
    <x v="1"/>
  </r>
  <r>
    <s v="PRD0192"/>
    <x v="122"/>
    <x v="8"/>
    <n v="255"/>
    <n v="239"/>
    <n v="5"/>
    <x v="2"/>
    <x v="2"/>
  </r>
  <r>
    <s v="PRD0344"/>
    <x v="122"/>
    <x v="7"/>
    <n v="467"/>
    <n v="455"/>
    <n v="10"/>
    <x v="1"/>
    <x v="3"/>
  </r>
  <r>
    <s v="PRD0471"/>
    <x v="122"/>
    <x v="10"/>
    <n v="186"/>
    <n v="179"/>
    <n v="1"/>
    <x v="2"/>
    <x v="1"/>
  </r>
  <r>
    <s v="PRD0258"/>
    <x v="123"/>
    <x v="7"/>
    <n v="467"/>
    <n v="444"/>
    <n v="16"/>
    <x v="0"/>
    <x v="3"/>
  </r>
  <r>
    <s v="PRD0329"/>
    <x v="124"/>
    <x v="4"/>
    <n v="196"/>
    <n v="184"/>
    <n v="4"/>
    <x v="0"/>
    <x v="1"/>
  </r>
  <r>
    <s v="PRD0346"/>
    <x v="124"/>
    <x v="4"/>
    <n v="367"/>
    <n v="354"/>
    <n v="3"/>
    <x v="1"/>
    <x v="1"/>
  </r>
  <r>
    <s v="PRD0041"/>
    <x v="125"/>
    <x v="11"/>
    <n v="332"/>
    <n v="318"/>
    <n v="4"/>
    <x v="1"/>
    <x v="1"/>
  </r>
  <r>
    <s v="PRD0003"/>
    <x v="125"/>
    <x v="1"/>
    <n v="384"/>
    <n v="380"/>
    <n v="2"/>
    <x v="2"/>
    <x v="0"/>
  </r>
  <r>
    <s v="PRD0139"/>
    <x v="126"/>
    <x v="2"/>
    <n v="405"/>
    <n v="383"/>
    <n v="12"/>
    <x v="2"/>
    <x v="1"/>
  </r>
  <r>
    <s v="PRD0085"/>
    <x v="127"/>
    <x v="4"/>
    <n v="252"/>
    <n v="246"/>
    <n v="4"/>
    <x v="2"/>
    <x v="1"/>
  </r>
  <r>
    <s v="PRD0208"/>
    <x v="128"/>
    <x v="5"/>
    <n v="354"/>
    <n v="333"/>
    <n v="7"/>
    <x v="2"/>
    <x v="1"/>
  </r>
  <r>
    <s v="PRD0042"/>
    <x v="128"/>
    <x v="1"/>
    <n v="187"/>
    <n v="183"/>
    <n v="2"/>
    <x v="0"/>
    <x v="0"/>
  </r>
  <r>
    <s v="PRD0498"/>
    <x v="128"/>
    <x v="1"/>
    <n v="472"/>
    <n v="442"/>
    <n v="12"/>
    <x v="0"/>
    <x v="0"/>
  </r>
  <r>
    <s v="PRD0052"/>
    <x v="128"/>
    <x v="1"/>
    <n v="197"/>
    <n v="180"/>
    <n v="6"/>
    <x v="0"/>
    <x v="0"/>
  </r>
  <r>
    <s v="PRD0447"/>
    <x v="129"/>
    <x v="2"/>
    <n v="210"/>
    <n v="205"/>
    <n v="2"/>
    <x v="2"/>
    <x v="1"/>
  </r>
  <r>
    <s v="PRD0179"/>
    <x v="129"/>
    <x v="2"/>
    <n v="265"/>
    <n v="257"/>
    <n v="1"/>
    <x v="0"/>
    <x v="1"/>
  </r>
  <r>
    <s v="PRD0043"/>
    <x v="130"/>
    <x v="1"/>
    <n v="381"/>
    <n v="370"/>
    <n v="6"/>
    <x v="2"/>
    <x v="0"/>
  </r>
  <r>
    <s v="PRD0084"/>
    <x v="130"/>
    <x v="9"/>
    <n v="284"/>
    <n v="265"/>
    <n v="10"/>
    <x v="0"/>
    <x v="3"/>
  </r>
  <r>
    <s v="PRD0225"/>
    <x v="131"/>
    <x v="1"/>
    <n v="371"/>
    <n v="362"/>
    <n v="8"/>
    <x v="2"/>
    <x v="0"/>
  </r>
  <r>
    <s v="PRD0409"/>
    <x v="131"/>
    <x v="3"/>
    <n v="110"/>
    <n v="109"/>
    <n v="1"/>
    <x v="0"/>
    <x v="2"/>
  </r>
  <r>
    <s v="PRD0039"/>
    <x v="132"/>
    <x v="8"/>
    <n v="493"/>
    <n v="458"/>
    <n v="15"/>
    <x v="2"/>
    <x v="2"/>
  </r>
  <r>
    <s v="PRD0092"/>
    <x v="133"/>
    <x v="11"/>
    <n v="429"/>
    <n v="411"/>
    <n v="11"/>
    <x v="1"/>
    <x v="1"/>
  </r>
  <r>
    <s v="PRD0020"/>
    <x v="134"/>
    <x v="8"/>
    <n v="200"/>
    <n v="187"/>
    <n v="6"/>
    <x v="2"/>
    <x v="2"/>
  </r>
  <r>
    <s v="PRD0253"/>
    <x v="135"/>
    <x v="2"/>
    <n v="90"/>
    <n v="86"/>
    <n v="2"/>
    <x v="2"/>
    <x v="1"/>
  </r>
  <r>
    <s v="PRD0335"/>
    <x v="135"/>
    <x v="5"/>
    <n v="150"/>
    <n v="144"/>
    <n v="5"/>
    <x v="0"/>
    <x v="1"/>
  </r>
  <r>
    <s v="PRD0168"/>
    <x v="136"/>
    <x v="3"/>
    <n v="172"/>
    <n v="164"/>
    <n v="2"/>
    <x v="0"/>
    <x v="2"/>
  </r>
  <r>
    <s v="PRD0460"/>
    <x v="136"/>
    <x v="2"/>
    <n v="445"/>
    <n v="432"/>
    <n v="4"/>
    <x v="1"/>
    <x v="1"/>
  </r>
  <r>
    <s v="PRD0070"/>
    <x v="137"/>
    <x v="1"/>
    <n v="203"/>
    <n v="197"/>
    <n v="1"/>
    <x v="2"/>
    <x v="0"/>
  </r>
  <r>
    <s v="PRD0305"/>
    <x v="138"/>
    <x v="5"/>
    <n v="133"/>
    <n v="125"/>
    <n v="2"/>
    <x v="0"/>
    <x v="1"/>
  </r>
  <r>
    <s v="PRD0270"/>
    <x v="139"/>
    <x v="3"/>
    <n v="174"/>
    <n v="160"/>
    <n v="5"/>
    <x v="2"/>
    <x v="2"/>
  </r>
  <r>
    <s v="PRD0249"/>
    <x v="139"/>
    <x v="9"/>
    <n v="240"/>
    <n v="230"/>
    <n v="2"/>
    <x v="0"/>
    <x v="3"/>
  </r>
  <r>
    <s v="PRD0488"/>
    <x v="139"/>
    <x v="11"/>
    <n v="387"/>
    <n v="363"/>
    <n v="4"/>
    <x v="0"/>
    <x v="1"/>
  </r>
  <r>
    <s v="PRD0391"/>
    <x v="140"/>
    <x v="3"/>
    <n v="363"/>
    <n v="334"/>
    <n v="11"/>
    <x v="1"/>
    <x v="2"/>
  </r>
  <r>
    <s v="PRD0459"/>
    <x v="140"/>
    <x v="1"/>
    <n v="349"/>
    <n v="336"/>
    <n v="3"/>
    <x v="0"/>
    <x v="0"/>
  </r>
  <r>
    <s v="PRD0442"/>
    <x v="141"/>
    <x v="0"/>
    <n v="299"/>
    <n v="291"/>
    <n v="2"/>
    <x v="2"/>
    <x v="0"/>
  </r>
  <r>
    <s v="PRD0331"/>
    <x v="142"/>
    <x v="4"/>
    <n v="264"/>
    <n v="252"/>
    <n v="1"/>
    <x v="0"/>
    <x v="1"/>
  </r>
  <r>
    <s v="PRD0382"/>
    <x v="142"/>
    <x v="8"/>
    <n v="495"/>
    <n v="459"/>
    <n v="12"/>
    <x v="0"/>
    <x v="2"/>
  </r>
  <r>
    <s v="PRD0427"/>
    <x v="143"/>
    <x v="3"/>
    <n v="346"/>
    <n v="329"/>
    <n v="4"/>
    <x v="2"/>
    <x v="2"/>
  </r>
  <r>
    <s v="PRD0094"/>
    <x v="144"/>
    <x v="11"/>
    <n v="253"/>
    <n v="250"/>
    <n v="1"/>
    <x v="2"/>
    <x v="1"/>
  </r>
  <r>
    <s v="PRD0021"/>
    <x v="145"/>
    <x v="11"/>
    <n v="175"/>
    <n v="170"/>
    <n v="2"/>
    <x v="2"/>
    <x v="1"/>
  </r>
  <r>
    <s v="PRD0319"/>
    <x v="146"/>
    <x v="7"/>
    <n v="137"/>
    <n v="126"/>
    <n v="3"/>
    <x v="0"/>
    <x v="3"/>
  </r>
  <r>
    <s v="PRD0439"/>
    <x v="147"/>
    <x v="0"/>
    <n v="277"/>
    <n v="266"/>
    <n v="9"/>
    <x v="2"/>
    <x v="0"/>
  </r>
  <r>
    <s v="PRD0376"/>
    <x v="148"/>
    <x v="3"/>
    <n v="415"/>
    <n v="379"/>
    <n v="14"/>
    <x v="2"/>
    <x v="2"/>
  </r>
  <r>
    <s v="PRD0073"/>
    <x v="148"/>
    <x v="5"/>
    <n v="326"/>
    <n v="320"/>
    <n v="2"/>
    <x v="1"/>
    <x v="1"/>
  </r>
  <r>
    <s v="PRD0143"/>
    <x v="149"/>
    <x v="3"/>
    <n v="245"/>
    <n v="230"/>
    <n v="7"/>
    <x v="1"/>
    <x v="2"/>
  </r>
  <r>
    <s v="PRD0010"/>
    <x v="149"/>
    <x v="8"/>
    <n v="183"/>
    <n v="178"/>
    <n v="1"/>
    <x v="2"/>
    <x v="2"/>
  </r>
  <r>
    <s v="PRD0360"/>
    <x v="149"/>
    <x v="4"/>
    <n v="170"/>
    <n v="158"/>
    <n v="5"/>
    <x v="2"/>
    <x v="1"/>
  </r>
  <r>
    <s v="PRD0202"/>
    <x v="150"/>
    <x v="11"/>
    <n v="275"/>
    <n v="264"/>
    <n v="7"/>
    <x v="0"/>
    <x v="1"/>
  </r>
  <r>
    <s v="PRD0207"/>
    <x v="151"/>
    <x v="11"/>
    <n v="429"/>
    <n v="406"/>
    <n v="12"/>
    <x v="1"/>
    <x v="1"/>
  </r>
  <r>
    <s v="PRD0480"/>
    <x v="151"/>
    <x v="6"/>
    <n v="342"/>
    <n v="325"/>
    <n v="6"/>
    <x v="0"/>
    <x v="1"/>
  </r>
  <r>
    <s v="PRD0325"/>
    <x v="152"/>
    <x v="10"/>
    <n v="356"/>
    <n v="331"/>
    <n v="12"/>
    <x v="0"/>
    <x v="1"/>
  </r>
  <r>
    <s v="PRD0431"/>
    <x v="153"/>
    <x v="3"/>
    <n v="311"/>
    <n v="303"/>
    <n v="7"/>
    <x v="0"/>
    <x v="2"/>
  </r>
  <r>
    <s v="PRD0473"/>
    <x v="153"/>
    <x v="10"/>
    <n v="156"/>
    <n v="150"/>
    <n v="5"/>
    <x v="1"/>
    <x v="1"/>
  </r>
  <r>
    <s v="PRD0330"/>
    <x v="153"/>
    <x v="4"/>
    <n v="133"/>
    <n v="126"/>
    <n v="3"/>
    <x v="2"/>
    <x v="1"/>
  </r>
  <r>
    <s v="PRD0486"/>
    <x v="154"/>
    <x v="6"/>
    <n v="449"/>
    <n v="429"/>
    <n v="11"/>
    <x v="2"/>
    <x v="1"/>
  </r>
  <r>
    <s v="PRD0327"/>
    <x v="155"/>
    <x v="4"/>
    <n v="221"/>
    <n v="214"/>
    <n v="2"/>
    <x v="1"/>
    <x v="1"/>
  </r>
  <r>
    <s v="PRD0149"/>
    <x v="156"/>
    <x v="3"/>
    <n v="425"/>
    <n v="399"/>
    <n v="7"/>
    <x v="2"/>
    <x v="2"/>
  </r>
  <r>
    <s v="PRD0362"/>
    <x v="157"/>
    <x v="7"/>
    <n v="104"/>
    <n v="99"/>
    <n v="3"/>
    <x v="2"/>
    <x v="3"/>
  </r>
  <r>
    <s v="PRD0385"/>
    <x v="157"/>
    <x v="6"/>
    <n v="425"/>
    <n v="410"/>
    <n v="2"/>
    <x v="2"/>
    <x v="1"/>
  </r>
  <r>
    <s v="PRD0446"/>
    <x v="158"/>
    <x v="8"/>
    <n v="150"/>
    <n v="143"/>
    <n v="2"/>
    <x v="0"/>
    <x v="2"/>
  </r>
  <r>
    <s v="PRD0454"/>
    <x v="158"/>
    <x v="1"/>
    <n v="296"/>
    <n v="280"/>
    <n v="4"/>
    <x v="2"/>
    <x v="0"/>
  </r>
  <r>
    <s v="PRD0114"/>
    <x v="158"/>
    <x v="8"/>
    <n v="364"/>
    <n v="356"/>
    <n v="5"/>
    <x v="0"/>
    <x v="2"/>
  </r>
  <r>
    <s v="PRD0497"/>
    <x v="159"/>
    <x v="4"/>
    <n v="415"/>
    <n v="389"/>
    <n v="13"/>
    <x v="1"/>
    <x v="1"/>
  </r>
  <r>
    <s v="PRD0053"/>
    <x v="159"/>
    <x v="5"/>
    <n v="427"/>
    <n v="407"/>
    <n v="10"/>
    <x v="2"/>
    <x v="1"/>
  </r>
  <r>
    <s v="PRD0090"/>
    <x v="160"/>
    <x v="10"/>
    <n v="205"/>
    <n v="186"/>
    <n v="7"/>
    <x v="0"/>
    <x v="1"/>
  </r>
  <r>
    <s v="PRD0452"/>
    <x v="160"/>
    <x v="4"/>
    <n v="351"/>
    <n v="347"/>
    <n v="1"/>
    <x v="0"/>
    <x v="1"/>
  </r>
  <r>
    <s v="PRD0244"/>
    <x v="161"/>
    <x v="7"/>
    <n v="339"/>
    <n v="337"/>
    <n v="1"/>
    <x v="2"/>
    <x v="3"/>
  </r>
  <r>
    <s v="PRD0370"/>
    <x v="162"/>
    <x v="7"/>
    <n v="284"/>
    <n v="267"/>
    <n v="6"/>
    <x v="2"/>
    <x v="3"/>
  </r>
  <r>
    <s v="PRD0132"/>
    <x v="163"/>
    <x v="11"/>
    <n v="182"/>
    <n v="174"/>
    <n v="1"/>
    <x v="2"/>
    <x v="1"/>
  </r>
  <r>
    <s v="PRD0407"/>
    <x v="163"/>
    <x v="7"/>
    <n v="164"/>
    <n v="160"/>
    <n v="2"/>
    <x v="2"/>
    <x v="3"/>
  </r>
  <r>
    <s v="PRD0450"/>
    <x v="163"/>
    <x v="6"/>
    <n v="137"/>
    <n v="128"/>
    <n v="4"/>
    <x v="2"/>
    <x v="1"/>
  </r>
  <r>
    <s v="PRD0089"/>
    <x v="164"/>
    <x v="8"/>
    <n v="346"/>
    <n v="332"/>
    <n v="3"/>
    <x v="2"/>
    <x v="2"/>
  </r>
  <r>
    <s v="PRD0222"/>
    <x v="164"/>
    <x v="4"/>
    <n v="485"/>
    <n v="456"/>
    <n v="13"/>
    <x v="1"/>
    <x v="1"/>
  </r>
  <r>
    <s v="PRD0380"/>
    <x v="164"/>
    <x v="7"/>
    <n v="470"/>
    <n v="460"/>
    <n v="3"/>
    <x v="0"/>
    <x v="3"/>
  </r>
  <r>
    <s v="PRD0029"/>
    <x v="164"/>
    <x v="10"/>
    <n v="401"/>
    <n v="382"/>
    <n v="3"/>
    <x v="2"/>
    <x v="1"/>
  </r>
  <r>
    <s v="PRD0324"/>
    <x v="165"/>
    <x v="3"/>
    <n v="252"/>
    <n v="240"/>
    <n v="8"/>
    <x v="2"/>
    <x v="2"/>
  </r>
  <r>
    <s v="PRD0310"/>
    <x v="166"/>
    <x v="2"/>
    <n v="214"/>
    <n v="203"/>
    <n v="4"/>
    <x v="2"/>
    <x v="1"/>
  </r>
  <r>
    <s v="PRD0285"/>
    <x v="167"/>
    <x v="2"/>
    <n v="193"/>
    <n v="182"/>
    <n v="5"/>
    <x v="0"/>
    <x v="1"/>
  </r>
  <r>
    <s v="PRD0178"/>
    <x v="167"/>
    <x v="5"/>
    <n v="327"/>
    <n v="316"/>
    <n v="5"/>
    <x v="2"/>
    <x v="1"/>
  </r>
  <r>
    <s v="PRD0045"/>
    <x v="168"/>
    <x v="10"/>
    <n v="329"/>
    <n v="318"/>
    <n v="3"/>
    <x v="1"/>
    <x v="1"/>
  </r>
  <r>
    <s v="PRD0453"/>
    <x v="168"/>
    <x v="5"/>
    <n v="466"/>
    <n v="447"/>
    <n v="15"/>
    <x v="2"/>
    <x v="1"/>
  </r>
  <r>
    <s v="PRD0080"/>
    <x v="168"/>
    <x v="7"/>
    <n v="327"/>
    <n v="309"/>
    <n v="1"/>
    <x v="2"/>
    <x v="3"/>
  </r>
  <r>
    <s v="PRD0051"/>
    <x v="168"/>
    <x v="10"/>
    <n v="84"/>
    <n v="81"/>
    <n v="2"/>
    <x v="0"/>
    <x v="1"/>
  </r>
  <r>
    <s v="PRD0262"/>
    <x v="168"/>
    <x v="6"/>
    <n v="256"/>
    <n v="238"/>
    <n v="6"/>
    <x v="2"/>
    <x v="1"/>
  </r>
  <r>
    <s v="PRD0091"/>
    <x v="168"/>
    <x v="1"/>
    <n v="196"/>
    <n v="186"/>
    <n v="1"/>
    <x v="0"/>
    <x v="0"/>
  </r>
  <r>
    <s v="PRD0216"/>
    <x v="169"/>
    <x v="7"/>
    <n v="128"/>
    <n v="123"/>
    <n v="1"/>
    <x v="0"/>
    <x v="3"/>
  </r>
  <r>
    <s v="PRD0102"/>
    <x v="170"/>
    <x v="10"/>
    <n v="90"/>
    <n v="86"/>
    <n v="3"/>
    <x v="0"/>
    <x v="1"/>
  </r>
  <r>
    <s v="PRD0413"/>
    <x v="171"/>
    <x v="10"/>
    <n v="89"/>
    <n v="86"/>
    <n v="1"/>
    <x v="2"/>
    <x v="1"/>
  </r>
  <r>
    <s v="PRD0283"/>
    <x v="171"/>
    <x v="9"/>
    <n v="430"/>
    <n v="423"/>
    <n v="3"/>
    <x v="1"/>
    <x v="3"/>
  </r>
  <r>
    <s v="PRD0403"/>
    <x v="172"/>
    <x v="1"/>
    <n v="442"/>
    <n v="418"/>
    <n v="13"/>
    <x v="0"/>
    <x v="0"/>
  </r>
  <r>
    <s v="PRD0379"/>
    <x v="172"/>
    <x v="1"/>
    <n v="262"/>
    <n v="255"/>
    <n v="2"/>
    <x v="2"/>
    <x v="0"/>
  </r>
  <r>
    <s v="PRD0358"/>
    <x v="173"/>
    <x v="0"/>
    <n v="137"/>
    <n v="131"/>
    <n v="1"/>
    <x v="2"/>
    <x v="0"/>
  </r>
  <r>
    <s v="PRD0210"/>
    <x v="174"/>
    <x v="10"/>
    <n v="160"/>
    <n v="150"/>
    <n v="1"/>
    <x v="2"/>
    <x v="1"/>
  </r>
  <r>
    <s v="PRD0458"/>
    <x v="174"/>
    <x v="4"/>
    <n v="273"/>
    <n v="254"/>
    <n v="8"/>
    <x v="0"/>
    <x v="1"/>
  </r>
  <r>
    <s v="PRD0369"/>
    <x v="175"/>
    <x v="1"/>
    <n v="245"/>
    <n v="231"/>
    <n v="4"/>
    <x v="0"/>
    <x v="0"/>
  </r>
  <r>
    <s v="PRD0048"/>
    <x v="175"/>
    <x v="2"/>
    <n v="150"/>
    <n v="146"/>
    <n v="1"/>
    <x v="0"/>
    <x v="1"/>
  </r>
  <r>
    <s v="PRD0293"/>
    <x v="176"/>
    <x v="1"/>
    <n v="101"/>
    <n v="99"/>
    <n v="0"/>
    <x v="0"/>
    <x v="0"/>
  </r>
  <r>
    <s v="PRD0476"/>
    <x v="176"/>
    <x v="3"/>
    <n v="396"/>
    <n v="378"/>
    <n v="8"/>
    <x v="2"/>
    <x v="2"/>
  </r>
  <r>
    <s v="PRD0217"/>
    <x v="177"/>
    <x v="5"/>
    <n v="438"/>
    <n v="426"/>
    <n v="3"/>
    <x v="2"/>
    <x v="1"/>
  </r>
  <r>
    <s v="PRD0265"/>
    <x v="177"/>
    <x v="8"/>
    <n v="497"/>
    <n v="489"/>
    <n v="2"/>
    <x v="1"/>
    <x v="2"/>
  </r>
  <r>
    <s v="PRD0468"/>
    <x v="177"/>
    <x v="4"/>
    <n v="186"/>
    <n v="183"/>
    <n v="3"/>
    <x v="0"/>
    <x v="1"/>
  </r>
  <r>
    <s v="PRD0122"/>
    <x v="178"/>
    <x v="0"/>
    <n v="435"/>
    <n v="415"/>
    <n v="11"/>
    <x v="2"/>
    <x v="0"/>
  </r>
  <r>
    <s v="PRD0027"/>
    <x v="178"/>
    <x v="4"/>
    <n v="141"/>
    <n v="136"/>
    <n v="2"/>
    <x v="2"/>
    <x v="1"/>
  </r>
  <r>
    <s v="PRD0430"/>
    <x v="179"/>
    <x v="0"/>
    <n v="330"/>
    <n v="318"/>
    <n v="4"/>
    <x v="0"/>
    <x v="0"/>
  </r>
  <r>
    <s v="PRD0191"/>
    <x v="180"/>
    <x v="9"/>
    <n v="379"/>
    <n v="372"/>
    <n v="6"/>
    <x v="1"/>
    <x v="3"/>
  </r>
  <r>
    <s v="PRD0054"/>
    <x v="181"/>
    <x v="2"/>
    <n v="455"/>
    <n v="431"/>
    <n v="3"/>
    <x v="0"/>
    <x v="1"/>
  </r>
  <r>
    <s v="PRD0383"/>
    <x v="182"/>
    <x v="11"/>
    <n v="411"/>
    <n v="382"/>
    <n v="7"/>
    <x v="0"/>
    <x v="1"/>
  </r>
  <r>
    <s v="PRD0400"/>
    <x v="183"/>
    <x v="10"/>
    <n v="127"/>
    <n v="127"/>
    <n v="0"/>
    <x v="0"/>
    <x v="1"/>
  </r>
  <r>
    <s v="PRD0096"/>
    <x v="183"/>
    <x v="8"/>
    <n v="195"/>
    <n v="192"/>
    <n v="2"/>
    <x v="1"/>
    <x v="2"/>
  </r>
  <r>
    <s v="PRD0306"/>
    <x v="184"/>
    <x v="11"/>
    <n v="349"/>
    <n v="337"/>
    <n v="7"/>
    <x v="1"/>
    <x v="1"/>
  </r>
  <r>
    <s v="PRD0044"/>
    <x v="184"/>
    <x v="2"/>
    <n v="261"/>
    <n v="246"/>
    <n v="3"/>
    <x v="0"/>
    <x v="1"/>
  </r>
  <r>
    <s v="PRD0421"/>
    <x v="184"/>
    <x v="2"/>
    <n v="338"/>
    <n v="324"/>
    <n v="11"/>
    <x v="0"/>
    <x v="1"/>
  </r>
  <r>
    <s v="PRD0007"/>
    <x v="184"/>
    <x v="0"/>
    <n v="246"/>
    <n v="237"/>
    <n v="8"/>
    <x v="2"/>
    <x v="0"/>
  </r>
  <r>
    <s v="PRD0348"/>
    <x v="185"/>
    <x v="5"/>
    <n v="499"/>
    <n v="468"/>
    <n v="6"/>
    <x v="0"/>
    <x v="1"/>
  </r>
  <r>
    <s v="PRD0420"/>
    <x v="185"/>
    <x v="10"/>
    <n v="472"/>
    <n v="467"/>
    <n v="5"/>
    <x v="2"/>
    <x v="1"/>
  </r>
  <r>
    <s v="PRD0267"/>
    <x v="186"/>
    <x v="10"/>
    <n v="355"/>
    <n v="334"/>
    <n v="2"/>
    <x v="2"/>
    <x v="1"/>
  </r>
  <r>
    <s v="PRD0300"/>
    <x v="187"/>
    <x v="6"/>
    <n v="122"/>
    <n v="119"/>
    <n v="1"/>
    <x v="2"/>
    <x v="1"/>
  </r>
  <r>
    <s v="PRD0119"/>
    <x v="188"/>
    <x v="0"/>
    <n v="396"/>
    <n v="383"/>
    <n v="13"/>
    <x v="0"/>
    <x v="0"/>
  </r>
  <r>
    <s v="PRD0314"/>
    <x v="188"/>
    <x v="6"/>
    <n v="494"/>
    <n v="471"/>
    <n v="15"/>
    <x v="1"/>
    <x v="1"/>
  </r>
  <r>
    <s v="PRD0422"/>
    <x v="189"/>
    <x v="10"/>
    <n v="155"/>
    <n v="145"/>
    <n v="1"/>
    <x v="0"/>
    <x v="1"/>
  </r>
  <r>
    <s v="PRD0250"/>
    <x v="189"/>
    <x v="9"/>
    <n v="369"/>
    <n v="358"/>
    <n v="3"/>
    <x v="2"/>
    <x v="3"/>
  </r>
  <r>
    <s v="PRD0081"/>
    <x v="190"/>
    <x v="8"/>
    <n v="205"/>
    <n v="198"/>
    <n v="6"/>
    <x v="2"/>
    <x v="2"/>
  </r>
  <r>
    <s v="PRD0266"/>
    <x v="190"/>
    <x v="8"/>
    <n v="304"/>
    <n v="288"/>
    <n v="9"/>
    <x v="0"/>
    <x v="2"/>
  </r>
  <r>
    <s v="PRD0434"/>
    <x v="191"/>
    <x v="3"/>
    <n v="179"/>
    <n v="177"/>
    <n v="2"/>
    <x v="0"/>
    <x v="2"/>
  </r>
  <r>
    <s v="PRD0087"/>
    <x v="191"/>
    <x v="8"/>
    <n v="216"/>
    <n v="205"/>
    <n v="4"/>
    <x v="0"/>
    <x v="2"/>
  </r>
  <r>
    <s v="PRD0247"/>
    <x v="192"/>
    <x v="5"/>
    <n v="207"/>
    <n v="195"/>
    <n v="5"/>
    <x v="0"/>
    <x v="1"/>
  </r>
  <r>
    <s v="PRD0467"/>
    <x v="192"/>
    <x v="5"/>
    <n v="129"/>
    <n v="126"/>
    <n v="2"/>
    <x v="0"/>
    <x v="1"/>
  </r>
  <r>
    <s v="PRD0371"/>
    <x v="192"/>
    <x v="1"/>
    <n v="304"/>
    <n v="293"/>
    <n v="9"/>
    <x v="2"/>
    <x v="0"/>
  </r>
  <r>
    <s v="PRD0251"/>
    <x v="193"/>
    <x v="2"/>
    <n v="258"/>
    <n v="252"/>
    <n v="6"/>
    <x v="2"/>
    <x v="1"/>
  </r>
  <r>
    <s v="PRD0013"/>
    <x v="194"/>
    <x v="7"/>
    <n v="184"/>
    <n v="179"/>
    <n v="4"/>
    <x v="0"/>
    <x v="3"/>
  </r>
  <r>
    <s v="PRD0365"/>
    <x v="195"/>
    <x v="8"/>
    <n v="108"/>
    <n v="102"/>
    <n v="1"/>
    <x v="2"/>
    <x v="2"/>
  </r>
  <r>
    <s v="PRD0001"/>
    <x v="195"/>
    <x v="7"/>
    <n v="287"/>
    <n v="278"/>
    <n v="4"/>
    <x v="1"/>
    <x v="3"/>
  </r>
  <r>
    <s v="PRD0106"/>
    <x v="195"/>
    <x v="4"/>
    <n v="347"/>
    <n v="329"/>
    <n v="3"/>
    <x v="2"/>
    <x v="1"/>
  </r>
  <r>
    <s v="PRD0228"/>
    <x v="195"/>
    <x v="3"/>
    <n v="281"/>
    <n v="256"/>
    <n v="8"/>
    <x v="2"/>
    <x v="2"/>
  </r>
  <r>
    <s v="PRD0272"/>
    <x v="196"/>
    <x v="0"/>
    <n v="357"/>
    <n v="341"/>
    <n v="8"/>
    <x v="0"/>
    <x v="0"/>
  </r>
  <r>
    <s v="PRD0005"/>
    <x v="197"/>
    <x v="2"/>
    <n v="419"/>
    <n v="392"/>
    <n v="3"/>
    <x v="2"/>
    <x v="1"/>
  </r>
  <r>
    <s v="PRD0474"/>
    <x v="197"/>
    <x v="8"/>
    <n v="121"/>
    <n v="115"/>
    <n v="2"/>
    <x v="2"/>
    <x v="2"/>
  </r>
  <r>
    <s v="PRD0396"/>
    <x v="198"/>
    <x v="9"/>
    <n v="148"/>
    <n v="144"/>
    <n v="1"/>
    <x v="0"/>
    <x v="3"/>
  </r>
  <r>
    <s v="PRD0443"/>
    <x v="198"/>
    <x v="5"/>
    <n v="485"/>
    <n v="453"/>
    <n v="12"/>
    <x v="0"/>
    <x v="1"/>
  </r>
  <r>
    <s v="PRD0231"/>
    <x v="199"/>
    <x v="3"/>
    <n v="393"/>
    <n v="388"/>
    <n v="1"/>
    <x v="2"/>
    <x v="2"/>
  </r>
  <r>
    <s v="PRD0496"/>
    <x v="199"/>
    <x v="0"/>
    <n v="375"/>
    <n v="359"/>
    <n v="12"/>
    <x v="0"/>
    <x v="0"/>
  </r>
  <r>
    <s v="PRD0173"/>
    <x v="199"/>
    <x v="1"/>
    <n v="104"/>
    <n v="100"/>
    <n v="0"/>
    <x v="2"/>
    <x v="0"/>
  </r>
  <r>
    <s v="PRD0357"/>
    <x v="200"/>
    <x v="2"/>
    <n v="455"/>
    <n v="444"/>
    <n v="7"/>
    <x v="2"/>
    <x v="1"/>
  </r>
  <r>
    <s v="PRD0387"/>
    <x v="200"/>
    <x v="4"/>
    <n v="84"/>
    <n v="79"/>
    <n v="1"/>
    <x v="0"/>
    <x v="1"/>
  </r>
  <r>
    <s v="PRD0264"/>
    <x v="201"/>
    <x v="2"/>
    <n v="318"/>
    <n v="298"/>
    <n v="11"/>
    <x v="0"/>
    <x v="1"/>
  </r>
  <r>
    <s v="PRD0350"/>
    <x v="201"/>
    <x v="8"/>
    <n v="255"/>
    <n v="245"/>
    <n v="4"/>
    <x v="2"/>
    <x v="2"/>
  </r>
  <r>
    <s v="PRD0424"/>
    <x v="202"/>
    <x v="3"/>
    <n v="318"/>
    <n v="306"/>
    <n v="6"/>
    <x v="2"/>
    <x v="2"/>
  </r>
  <r>
    <s v="PRD0186"/>
    <x v="202"/>
    <x v="11"/>
    <n v="318"/>
    <n v="305"/>
    <n v="8"/>
    <x v="2"/>
    <x v="1"/>
  </r>
  <r>
    <s v="PRD0316"/>
    <x v="203"/>
    <x v="0"/>
    <n v="304"/>
    <n v="302"/>
    <n v="2"/>
    <x v="2"/>
    <x v="0"/>
  </r>
  <r>
    <s v="PRD0011"/>
    <x v="203"/>
    <x v="10"/>
    <n v="112"/>
    <n v="105"/>
    <n v="4"/>
    <x v="2"/>
    <x v="1"/>
  </r>
  <r>
    <s v="PRD0388"/>
    <x v="204"/>
    <x v="3"/>
    <n v="136"/>
    <n v="126"/>
    <n v="2"/>
    <x v="0"/>
    <x v="2"/>
  </r>
  <r>
    <s v="PRD0146"/>
    <x v="204"/>
    <x v="6"/>
    <n v="500"/>
    <n v="491"/>
    <n v="7"/>
    <x v="1"/>
    <x v="1"/>
  </r>
  <r>
    <s v="PRD0109"/>
    <x v="205"/>
    <x v="1"/>
    <n v="229"/>
    <n v="212"/>
    <n v="5"/>
    <x v="0"/>
    <x v="0"/>
  </r>
  <r>
    <s v="PRD0105"/>
    <x v="206"/>
    <x v="4"/>
    <n v="379"/>
    <n v="366"/>
    <n v="1"/>
    <x v="0"/>
    <x v="1"/>
  </r>
  <r>
    <s v="PRD0464"/>
    <x v="207"/>
    <x v="4"/>
    <n v="347"/>
    <n v="321"/>
    <n v="10"/>
    <x v="0"/>
    <x v="1"/>
  </r>
  <r>
    <s v="PRD0448"/>
    <x v="208"/>
    <x v="7"/>
    <n v="111"/>
    <n v="104"/>
    <n v="1"/>
    <x v="2"/>
    <x v="3"/>
  </r>
  <r>
    <s v="PRD0469"/>
    <x v="208"/>
    <x v="7"/>
    <n v="229"/>
    <n v="213"/>
    <n v="5"/>
    <x v="0"/>
    <x v="3"/>
  </r>
  <r>
    <s v="PRD0194"/>
    <x v="209"/>
    <x v="1"/>
    <n v="352"/>
    <n v="341"/>
    <n v="9"/>
    <x v="1"/>
    <x v="0"/>
  </r>
  <r>
    <s v="PRD0435"/>
    <x v="210"/>
    <x v="8"/>
    <n v="195"/>
    <n v="192"/>
    <n v="3"/>
    <x v="0"/>
    <x v="2"/>
  </r>
  <r>
    <s v="PRD0232"/>
    <x v="211"/>
    <x v="7"/>
    <n v="190"/>
    <n v="174"/>
    <n v="6"/>
    <x v="2"/>
    <x v="3"/>
  </r>
  <r>
    <s v="PRD0151"/>
    <x v="212"/>
    <x v="5"/>
    <n v="207"/>
    <n v="201"/>
    <n v="4"/>
    <x v="0"/>
    <x v="1"/>
  </r>
  <r>
    <s v="PRD0046"/>
    <x v="212"/>
    <x v="0"/>
    <n v="403"/>
    <n v="383"/>
    <n v="2"/>
    <x v="1"/>
    <x v="0"/>
  </r>
  <r>
    <s v="PRD0157"/>
    <x v="212"/>
    <x v="2"/>
    <n v="213"/>
    <n v="204"/>
    <n v="7"/>
    <x v="2"/>
    <x v="1"/>
  </r>
  <r>
    <s v="PRD0242"/>
    <x v="213"/>
    <x v="4"/>
    <n v="320"/>
    <n v="293"/>
    <n v="9"/>
    <x v="1"/>
    <x v="1"/>
  </r>
  <r>
    <s v="PRD0152"/>
    <x v="213"/>
    <x v="7"/>
    <n v="163"/>
    <n v="152"/>
    <n v="2"/>
    <x v="1"/>
    <x v="3"/>
  </r>
  <r>
    <s v="PRD0181"/>
    <x v="214"/>
    <x v="9"/>
    <n v="263"/>
    <n v="243"/>
    <n v="5"/>
    <x v="1"/>
    <x v="3"/>
  </r>
  <r>
    <s v="PRD0295"/>
    <x v="215"/>
    <x v="0"/>
    <n v="390"/>
    <n v="368"/>
    <n v="13"/>
    <x v="0"/>
    <x v="0"/>
  </r>
  <r>
    <s v="PRD0297"/>
    <x v="216"/>
    <x v="5"/>
    <n v="403"/>
    <n v="382"/>
    <n v="7"/>
    <x v="2"/>
    <x v="1"/>
  </r>
  <r>
    <s v="PRD0017"/>
    <x v="216"/>
    <x v="7"/>
    <n v="348"/>
    <n v="329"/>
    <n v="11"/>
    <x v="2"/>
    <x v="3"/>
  </r>
  <r>
    <s v="PRD0254"/>
    <x v="217"/>
    <x v="4"/>
    <n v="323"/>
    <n v="310"/>
    <n v="3"/>
    <x v="0"/>
    <x v="1"/>
  </r>
  <r>
    <s v="PRD0035"/>
    <x v="217"/>
    <x v="7"/>
    <n v="460"/>
    <n v="430"/>
    <n v="14"/>
    <x v="0"/>
    <x v="3"/>
  </r>
  <r>
    <s v="PRD0058"/>
    <x v="218"/>
    <x v="2"/>
    <n v="263"/>
    <n v="255"/>
    <n v="8"/>
    <x v="2"/>
    <x v="1"/>
  </r>
  <r>
    <s v="PRD0355"/>
    <x v="219"/>
    <x v="3"/>
    <n v="167"/>
    <n v="162"/>
    <n v="1"/>
    <x v="2"/>
    <x v="2"/>
  </r>
  <r>
    <s v="PRD0026"/>
    <x v="219"/>
    <x v="4"/>
    <n v="373"/>
    <n v="356"/>
    <n v="12"/>
    <x v="2"/>
    <x v="1"/>
  </r>
  <r>
    <s v="PRD0093"/>
    <x v="219"/>
    <x v="0"/>
    <n v="198"/>
    <n v="189"/>
    <n v="2"/>
    <x v="2"/>
    <x v="0"/>
  </r>
  <r>
    <s v="PRD0423"/>
    <x v="219"/>
    <x v="3"/>
    <n v="300"/>
    <n v="296"/>
    <n v="2"/>
    <x v="1"/>
    <x v="2"/>
  </r>
  <r>
    <s v="PRD0113"/>
    <x v="220"/>
    <x v="2"/>
    <n v="188"/>
    <n v="177"/>
    <n v="3"/>
    <x v="0"/>
    <x v="1"/>
  </r>
  <r>
    <s v="PRD0204"/>
    <x v="220"/>
    <x v="2"/>
    <n v="376"/>
    <n v="359"/>
    <n v="6"/>
    <x v="2"/>
    <x v="1"/>
  </r>
  <r>
    <s v="PRD0025"/>
    <x v="220"/>
    <x v="6"/>
    <n v="132"/>
    <n v="123"/>
    <n v="2"/>
    <x v="0"/>
    <x v="1"/>
  </r>
  <r>
    <s v="PRD0212"/>
    <x v="220"/>
    <x v="2"/>
    <n v="397"/>
    <n v="376"/>
    <n v="3"/>
    <x v="2"/>
    <x v="1"/>
  </r>
  <r>
    <s v="PRD0193"/>
    <x v="220"/>
    <x v="1"/>
    <n v="250"/>
    <n v="234"/>
    <n v="9"/>
    <x v="2"/>
    <x v="0"/>
  </r>
  <r>
    <s v="PRD0088"/>
    <x v="221"/>
    <x v="6"/>
    <n v="186"/>
    <n v="179"/>
    <n v="6"/>
    <x v="0"/>
    <x v="1"/>
  </r>
  <r>
    <s v="PRD0160"/>
    <x v="221"/>
    <x v="9"/>
    <n v="315"/>
    <n v="300"/>
    <n v="5"/>
    <x v="2"/>
    <x v="3"/>
  </r>
  <r>
    <s v="PRD0499"/>
    <x v="221"/>
    <x v="4"/>
    <n v="424"/>
    <n v="410"/>
    <n v="6"/>
    <x v="0"/>
    <x v="1"/>
  </r>
  <r>
    <s v="PRD0198"/>
    <x v="222"/>
    <x v="5"/>
    <n v="308"/>
    <n v="289"/>
    <n v="9"/>
    <x v="1"/>
    <x v="1"/>
  </r>
  <r>
    <s v="PRD0023"/>
    <x v="222"/>
    <x v="3"/>
    <n v="416"/>
    <n v="404"/>
    <n v="5"/>
    <x v="2"/>
    <x v="2"/>
  </r>
  <r>
    <s v="PRD0099"/>
    <x v="222"/>
    <x v="2"/>
    <n v="225"/>
    <n v="211"/>
    <n v="7"/>
    <x v="2"/>
    <x v="1"/>
  </r>
  <r>
    <s v="PRD0373"/>
    <x v="223"/>
    <x v="3"/>
    <n v="173"/>
    <n v="163"/>
    <n v="4"/>
    <x v="2"/>
    <x v="2"/>
  </r>
  <r>
    <s v="PRD0326"/>
    <x v="224"/>
    <x v="9"/>
    <n v="372"/>
    <n v="360"/>
    <n v="7"/>
    <x v="0"/>
    <x v="3"/>
  </r>
  <r>
    <s v="PRD0101"/>
    <x v="224"/>
    <x v="5"/>
    <n v="452"/>
    <n v="413"/>
    <n v="15"/>
    <x v="0"/>
    <x v="1"/>
  </r>
  <r>
    <s v="PRD0351"/>
    <x v="225"/>
    <x v="2"/>
    <n v="113"/>
    <n v="105"/>
    <n v="3"/>
    <x v="2"/>
    <x v="1"/>
  </r>
  <r>
    <s v="PRD0478"/>
    <x v="225"/>
    <x v="10"/>
    <n v="376"/>
    <n v="370"/>
    <n v="3"/>
    <x v="0"/>
    <x v="1"/>
  </r>
  <r>
    <s v="PRD0276"/>
    <x v="226"/>
    <x v="2"/>
    <n v="432"/>
    <n v="423"/>
    <n v="5"/>
    <x v="2"/>
    <x v="1"/>
  </r>
  <r>
    <s v="PRD0259"/>
    <x v="226"/>
    <x v="4"/>
    <n v="287"/>
    <n v="267"/>
    <n v="3"/>
    <x v="2"/>
    <x v="1"/>
  </r>
  <r>
    <s v="PRD0481"/>
    <x v="227"/>
    <x v="3"/>
    <n v="265"/>
    <n v="248"/>
    <n v="7"/>
    <x v="0"/>
    <x v="2"/>
  </r>
  <r>
    <s v="PRD0124"/>
    <x v="228"/>
    <x v="9"/>
    <n v="461"/>
    <n v="450"/>
    <n v="7"/>
    <x v="2"/>
    <x v="3"/>
  </r>
  <r>
    <s v="PRD0226"/>
    <x v="228"/>
    <x v="8"/>
    <n v="174"/>
    <n v="165"/>
    <n v="2"/>
    <x v="1"/>
    <x v="2"/>
  </r>
  <r>
    <s v="PRD0287"/>
    <x v="229"/>
    <x v="1"/>
    <n v="422"/>
    <n v="401"/>
    <n v="15"/>
    <x v="0"/>
    <x v="0"/>
  </r>
  <r>
    <s v="PRD0417"/>
    <x v="230"/>
    <x v="1"/>
    <n v="114"/>
    <n v="108"/>
    <n v="3"/>
    <x v="0"/>
    <x v="0"/>
  </r>
  <r>
    <s v="PRD0036"/>
    <x v="231"/>
    <x v="7"/>
    <n v="169"/>
    <n v="156"/>
    <n v="6"/>
    <x v="1"/>
    <x v="3"/>
  </r>
  <r>
    <s v="PRD0257"/>
    <x v="231"/>
    <x v="2"/>
    <n v="157"/>
    <n v="150"/>
    <n v="5"/>
    <x v="0"/>
    <x v="1"/>
  </r>
  <r>
    <s v="PRD0414"/>
    <x v="232"/>
    <x v="1"/>
    <n v="242"/>
    <n v="223"/>
    <n v="6"/>
    <x v="1"/>
    <x v="0"/>
  </r>
  <r>
    <s v="PRD0169"/>
    <x v="233"/>
    <x v="11"/>
    <n v="458"/>
    <n v="417"/>
    <n v="14"/>
    <x v="2"/>
    <x v="1"/>
  </r>
  <r>
    <s v="PRD0393"/>
    <x v="234"/>
    <x v="9"/>
    <n v="493"/>
    <n v="486"/>
    <n v="5"/>
    <x v="2"/>
    <x v="3"/>
  </r>
  <r>
    <s v="PRD0067"/>
    <x v="234"/>
    <x v="3"/>
    <n v="232"/>
    <n v="223"/>
    <n v="7"/>
    <x v="0"/>
    <x v="2"/>
  </r>
  <r>
    <s v="PRD0213"/>
    <x v="234"/>
    <x v="1"/>
    <n v="324"/>
    <n v="303"/>
    <n v="5"/>
    <x v="2"/>
    <x v="0"/>
  </r>
  <r>
    <s v="PRD0320"/>
    <x v="235"/>
    <x v="11"/>
    <n v="416"/>
    <n v="404"/>
    <n v="5"/>
    <x v="2"/>
    <x v="1"/>
  </r>
  <r>
    <s v="PRD0153"/>
    <x v="235"/>
    <x v="8"/>
    <n v="265"/>
    <n v="255"/>
    <n v="1"/>
    <x v="2"/>
    <x v="2"/>
  </r>
  <r>
    <s v="PRD0174"/>
    <x v="236"/>
    <x v="5"/>
    <n v="231"/>
    <n v="218"/>
    <n v="7"/>
    <x v="0"/>
    <x v="1"/>
  </r>
  <r>
    <s v="PRD0298"/>
    <x v="237"/>
    <x v="0"/>
    <n v="361"/>
    <n v="341"/>
    <n v="6"/>
    <x v="2"/>
    <x v="0"/>
  </r>
  <r>
    <s v="PRD0206"/>
    <x v="238"/>
    <x v="0"/>
    <n v="429"/>
    <n v="419"/>
    <n v="9"/>
    <x v="2"/>
    <x v="0"/>
  </r>
  <r>
    <s v="PRD0281"/>
    <x v="238"/>
    <x v="1"/>
    <n v="292"/>
    <n v="272"/>
    <n v="5"/>
    <x v="0"/>
    <x v="0"/>
  </r>
  <r>
    <s v="PRD0172"/>
    <x v="239"/>
    <x v="4"/>
    <n v="279"/>
    <n v="260"/>
    <n v="5"/>
    <x v="2"/>
    <x v="1"/>
  </r>
  <r>
    <s v="PRD0190"/>
    <x v="239"/>
    <x v="11"/>
    <n v="178"/>
    <n v="170"/>
    <n v="2"/>
    <x v="2"/>
    <x v="1"/>
  </r>
  <r>
    <s v="PRD0280"/>
    <x v="240"/>
    <x v="11"/>
    <n v="105"/>
    <n v="103"/>
    <n v="1"/>
    <x v="1"/>
    <x v="1"/>
  </r>
  <r>
    <s v="PRD0415"/>
    <x v="241"/>
    <x v="3"/>
    <n v="257"/>
    <n v="245"/>
    <n v="5"/>
    <x v="2"/>
    <x v="2"/>
  </r>
  <r>
    <s v="PRD0364"/>
    <x v="242"/>
    <x v="10"/>
    <n v="201"/>
    <n v="194"/>
    <n v="6"/>
    <x v="2"/>
    <x v="1"/>
  </r>
  <r>
    <s v="PRD0291"/>
    <x v="242"/>
    <x v="5"/>
    <n v="212"/>
    <n v="202"/>
    <n v="7"/>
    <x v="2"/>
    <x v="1"/>
  </r>
  <r>
    <s v="PRD0465"/>
    <x v="243"/>
    <x v="2"/>
    <n v="158"/>
    <n v="154"/>
    <n v="3"/>
    <x v="2"/>
    <x v="1"/>
  </r>
  <r>
    <s v="PRD0142"/>
    <x v="243"/>
    <x v="0"/>
    <n v="311"/>
    <n v="286"/>
    <n v="10"/>
    <x v="2"/>
    <x v="0"/>
  </r>
  <r>
    <s v="PRD0377"/>
    <x v="244"/>
    <x v="2"/>
    <n v="429"/>
    <n v="401"/>
    <n v="9"/>
    <x v="2"/>
    <x v="1"/>
  </r>
  <r>
    <s v="PRD0263"/>
    <x v="245"/>
    <x v="4"/>
    <n v="482"/>
    <n v="450"/>
    <n v="11"/>
    <x v="0"/>
    <x v="1"/>
  </r>
  <r>
    <s v="PRD0363"/>
    <x v="245"/>
    <x v="10"/>
    <n v="291"/>
    <n v="274"/>
    <n v="7"/>
    <x v="2"/>
    <x v="1"/>
  </r>
  <r>
    <s v="PRD0182"/>
    <x v="245"/>
    <x v="6"/>
    <n v="191"/>
    <n v="180"/>
    <n v="2"/>
    <x v="2"/>
    <x v="1"/>
  </r>
  <r>
    <s v="PRD0159"/>
    <x v="246"/>
    <x v="6"/>
    <n v="423"/>
    <n v="400"/>
    <n v="15"/>
    <x v="0"/>
    <x v="1"/>
  </r>
  <r>
    <s v="PRD0489"/>
    <x v="246"/>
    <x v="0"/>
    <n v="314"/>
    <n v="289"/>
    <n v="11"/>
    <x v="2"/>
    <x v="0"/>
  </r>
  <r>
    <s v="PRD0493"/>
    <x v="247"/>
    <x v="7"/>
    <n v="493"/>
    <n v="468"/>
    <n v="6"/>
    <x v="0"/>
    <x v="3"/>
  </r>
  <r>
    <s v="PRD0140"/>
    <x v="248"/>
    <x v="5"/>
    <n v="433"/>
    <n v="409"/>
    <n v="7"/>
    <x v="2"/>
    <x v="1"/>
  </r>
  <r>
    <s v="PRD0187"/>
    <x v="249"/>
    <x v="6"/>
    <n v="243"/>
    <n v="233"/>
    <n v="6"/>
    <x v="1"/>
    <x v="1"/>
  </r>
  <r>
    <s v="PRD0108"/>
    <x v="250"/>
    <x v="6"/>
    <n v="423"/>
    <n v="400"/>
    <n v="6"/>
    <x v="2"/>
    <x v="1"/>
  </r>
  <r>
    <s v="PRD0047"/>
    <x v="251"/>
    <x v="9"/>
    <n v="407"/>
    <n v="382"/>
    <n v="4"/>
    <x v="2"/>
    <x v="3"/>
  </r>
  <r>
    <s v="PRD0340"/>
    <x v="252"/>
    <x v="9"/>
    <n v="289"/>
    <n v="273"/>
    <n v="10"/>
    <x v="2"/>
    <x v="3"/>
  </r>
  <r>
    <s v="PRD0472"/>
    <x v="252"/>
    <x v="10"/>
    <n v="364"/>
    <n v="349"/>
    <n v="7"/>
    <x v="2"/>
    <x v="1"/>
  </r>
  <r>
    <s v="PRD0049"/>
    <x v="252"/>
    <x v="8"/>
    <n v="157"/>
    <n v="153"/>
    <n v="2"/>
    <x v="2"/>
    <x v="2"/>
  </r>
  <r>
    <s v="PRD0256"/>
    <x v="252"/>
    <x v="2"/>
    <n v="464"/>
    <n v="450"/>
    <n v="4"/>
    <x v="1"/>
    <x v="1"/>
  </r>
  <r>
    <s v="PRD0075"/>
    <x v="253"/>
    <x v="0"/>
    <n v="212"/>
    <n v="196"/>
    <n v="4"/>
    <x v="2"/>
    <x v="0"/>
  </r>
  <r>
    <s v="PRD0275"/>
    <x v="254"/>
    <x v="9"/>
    <n v="491"/>
    <n v="473"/>
    <n v="6"/>
    <x v="0"/>
    <x v="3"/>
  </r>
  <r>
    <s v="PRD0487"/>
    <x v="255"/>
    <x v="11"/>
    <n v="209"/>
    <n v="196"/>
    <n v="3"/>
    <x v="0"/>
    <x v="1"/>
  </r>
  <r>
    <s v="PRD0278"/>
    <x v="256"/>
    <x v="0"/>
    <n v="404"/>
    <n v="389"/>
    <n v="9"/>
    <x v="2"/>
    <x v="0"/>
  </r>
  <r>
    <s v="PRD0189"/>
    <x v="256"/>
    <x v="2"/>
    <n v="386"/>
    <n v="365"/>
    <n v="5"/>
    <x v="0"/>
    <x v="1"/>
  </r>
  <r>
    <s v="PRD0095"/>
    <x v="256"/>
    <x v="6"/>
    <n v="322"/>
    <n v="298"/>
    <n v="11"/>
    <x v="1"/>
    <x v="1"/>
  </r>
  <r>
    <s v="PRD0127"/>
    <x v="256"/>
    <x v="4"/>
    <n v="415"/>
    <n v="403"/>
    <n v="6"/>
    <x v="2"/>
    <x v="1"/>
  </r>
  <r>
    <s v="PRD0164"/>
    <x v="257"/>
    <x v="8"/>
    <n v="398"/>
    <n v="378"/>
    <n v="11"/>
    <x v="2"/>
    <x v="2"/>
  </r>
  <r>
    <s v="PRD0185"/>
    <x v="257"/>
    <x v="8"/>
    <n v="247"/>
    <n v="232"/>
    <n v="8"/>
    <x v="2"/>
    <x v="2"/>
  </r>
  <r>
    <s v="PRD0436"/>
    <x v="258"/>
    <x v="8"/>
    <n v="227"/>
    <n v="216"/>
    <n v="3"/>
    <x v="0"/>
    <x v="2"/>
  </r>
  <r>
    <s v="PRD0463"/>
    <x v="259"/>
    <x v="5"/>
    <n v="151"/>
    <n v="139"/>
    <n v="4"/>
    <x v="2"/>
    <x v="1"/>
  </r>
  <r>
    <s v="PRD0302"/>
    <x v="259"/>
    <x v="0"/>
    <n v="262"/>
    <n v="258"/>
    <n v="2"/>
    <x v="2"/>
    <x v="0"/>
  </r>
  <r>
    <s v="PRD0018"/>
    <x v="260"/>
    <x v="5"/>
    <n v="100"/>
    <n v="97"/>
    <n v="0"/>
    <x v="1"/>
    <x v="1"/>
  </r>
  <r>
    <s v="PRD0411"/>
    <x v="261"/>
    <x v="0"/>
    <n v="260"/>
    <n v="250"/>
    <n v="9"/>
    <x v="0"/>
    <x v="0"/>
  </r>
  <r>
    <s v="PRD0111"/>
    <x v="261"/>
    <x v="3"/>
    <n v="353"/>
    <n v="322"/>
    <n v="11"/>
    <x v="2"/>
    <x v="2"/>
  </r>
  <r>
    <s v="PRD0128"/>
    <x v="262"/>
    <x v="6"/>
    <n v="353"/>
    <n v="333"/>
    <n v="9"/>
    <x v="0"/>
    <x v="1"/>
  </r>
  <r>
    <s v="PRD0466"/>
    <x v="263"/>
    <x v="3"/>
    <n v="362"/>
    <n v="352"/>
    <n v="9"/>
    <x v="1"/>
    <x v="2"/>
  </r>
  <r>
    <s v="PRD0381"/>
    <x v="263"/>
    <x v="3"/>
    <n v="445"/>
    <n v="429"/>
    <n v="13"/>
    <x v="0"/>
    <x v="2"/>
  </r>
  <r>
    <s v="PRD0268"/>
    <x v="263"/>
    <x v="1"/>
    <n v="422"/>
    <n v="399"/>
    <n v="10"/>
    <x v="2"/>
    <x v="0"/>
  </r>
  <r>
    <s v="PRD0071"/>
    <x v="264"/>
    <x v="0"/>
    <n v="221"/>
    <n v="218"/>
    <n v="3"/>
    <x v="1"/>
    <x v="0"/>
  </r>
  <r>
    <s v="PRD0274"/>
    <x v="264"/>
    <x v="11"/>
    <n v="122"/>
    <n v="115"/>
    <n v="1"/>
    <x v="2"/>
    <x v="1"/>
  </r>
  <r>
    <s v="PRD0255"/>
    <x v="265"/>
    <x v="0"/>
    <n v="390"/>
    <n v="379"/>
    <n v="10"/>
    <x v="0"/>
    <x v="0"/>
  </r>
  <r>
    <s v="PRD0033"/>
    <x v="266"/>
    <x v="9"/>
    <n v="371"/>
    <n v="341"/>
    <n v="8"/>
    <x v="0"/>
    <x v="3"/>
  </r>
  <r>
    <s v="PRD0110"/>
    <x v="266"/>
    <x v="5"/>
    <n v="149"/>
    <n v="145"/>
    <n v="1"/>
    <x v="1"/>
    <x v="1"/>
  </r>
  <r>
    <s v="PRD0296"/>
    <x v="267"/>
    <x v="7"/>
    <n v="98"/>
    <n v="91"/>
    <n v="2"/>
    <x v="0"/>
    <x v="3"/>
  </r>
  <r>
    <s v="PRD0315"/>
    <x v="268"/>
    <x v="9"/>
    <n v="266"/>
    <n v="248"/>
    <n v="5"/>
    <x v="2"/>
    <x v="3"/>
  </r>
  <r>
    <s v="PRD0134"/>
    <x v="268"/>
    <x v="4"/>
    <n v="180"/>
    <n v="171"/>
    <n v="4"/>
    <x v="2"/>
    <x v="1"/>
  </r>
  <r>
    <s v="PRD0145"/>
    <x v="269"/>
    <x v="5"/>
    <n v="102"/>
    <n v="97"/>
    <n v="2"/>
    <x v="2"/>
    <x v="1"/>
  </r>
  <r>
    <s v="PRD0195"/>
    <x v="269"/>
    <x v="0"/>
    <n v="435"/>
    <n v="408"/>
    <n v="9"/>
    <x v="0"/>
    <x v="0"/>
  </r>
  <r>
    <s v="PRD0495"/>
    <x v="269"/>
    <x v="9"/>
    <n v="334"/>
    <n v="329"/>
    <n v="4"/>
    <x v="2"/>
    <x v="3"/>
  </r>
  <r>
    <s v="PRD0456"/>
    <x v="269"/>
    <x v="3"/>
    <n v="292"/>
    <n v="266"/>
    <n v="10"/>
    <x v="0"/>
    <x v="2"/>
  </r>
  <r>
    <s v="PRD0440"/>
    <x v="270"/>
    <x v="8"/>
    <n v="232"/>
    <n v="222"/>
    <n v="4"/>
    <x v="1"/>
    <x v="2"/>
  </r>
  <r>
    <s v="PRD0449"/>
    <x v="271"/>
    <x v="0"/>
    <n v="447"/>
    <n v="415"/>
    <n v="8"/>
    <x v="2"/>
    <x v="0"/>
  </r>
  <r>
    <s v="PRD0201"/>
    <x v="271"/>
    <x v="7"/>
    <n v="233"/>
    <n v="220"/>
    <n v="8"/>
    <x v="2"/>
    <x v="3"/>
  </r>
  <r>
    <s v="PRD0234"/>
    <x v="271"/>
    <x v="6"/>
    <n v="474"/>
    <n v="439"/>
    <n v="9"/>
    <x v="2"/>
    <x v="1"/>
  </r>
  <r>
    <s v="PRD0299"/>
    <x v="271"/>
    <x v="4"/>
    <n v="274"/>
    <n v="269"/>
    <n v="3"/>
    <x v="1"/>
    <x v="1"/>
  </r>
  <r>
    <s v="PRD0288"/>
    <x v="272"/>
    <x v="4"/>
    <n v="118"/>
    <n v="108"/>
    <n v="3"/>
    <x v="1"/>
    <x v="1"/>
  </r>
  <r>
    <s v="PRD0063"/>
    <x v="273"/>
    <x v="0"/>
    <n v="190"/>
    <n v="182"/>
    <n v="4"/>
    <x v="2"/>
    <x v="0"/>
  </r>
  <r>
    <s v="PRD0462"/>
    <x v="273"/>
    <x v="7"/>
    <n v="292"/>
    <n v="278"/>
    <n v="7"/>
    <x v="0"/>
    <x v="3"/>
  </r>
  <r>
    <s v="PRD0167"/>
    <x v="273"/>
    <x v="5"/>
    <n v="208"/>
    <n v="197"/>
    <n v="5"/>
    <x v="1"/>
    <x v="1"/>
  </r>
  <r>
    <s v="PRD0072"/>
    <x v="274"/>
    <x v="11"/>
    <n v="170"/>
    <n v="164"/>
    <n v="3"/>
    <x v="2"/>
    <x v="1"/>
  </r>
  <r>
    <s v="PRD0372"/>
    <x v="274"/>
    <x v="4"/>
    <n v="294"/>
    <n v="279"/>
    <n v="7"/>
    <x v="1"/>
    <x v="1"/>
  </r>
  <r>
    <s v="PRD0083"/>
    <x v="274"/>
    <x v="1"/>
    <n v="288"/>
    <n v="268"/>
    <n v="7"/>
    <x v="0"/>
    <x v="0"/>
  </r>
  <r>
    <s v="PRD0343"/>
    <x v="275"/>
    <x v="4"/>
    <n v="434"/>
    <n v="416"/>
    <n v="11"/>
    <x v="2"/>
    <x v="1"/>
  </r>
  <r>
    <s v="PRD0438"/>
    <x v="276"/>
    <x v="7"/>
    <n v="297"/>
    <n v="294"/>
    <n v="1"/>
    <x v="1"/>
    <x v="3"/>
  </r>
  <r>
    <s v="PRD0221"/>
    <x v="276"/>
    <x v="7"/>
    <n v="183"/>
    <n v="171"/>
    <n v="4"/>
    <x v="2"/>
    <x v="3"/>
  </r>
  <r>
    <s v="PRD0197"/>
    <x v="277"/>
    <x v="4"/>
    <n v="141"/>
    <n v="138"/>
    <n v="3"/>
    <x v="2"/>
    <x v="1"/>
  </r>
  <r>
    <s v="PRD0433"/>
    <x v="278"/>
    <x v="8"/>
    <n v="209"/>
    <n v="204"/>
    <n v="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0D0A6-5DDF-41FA-8FDC-5E64672BF79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O2:P30" firstHeaderRow="1" firstDataRow="1" firstDataCol="1"/>
  <pivotFields count="12">
    <pivotField showAll="0"/>
    <pivotField numFmtId="164"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axis="axisRow" showAll="0" sortType="descending">
      <items count="29">
        <item x="18"/>
        <item x="20"/>
        <item x="9"/>
        <item x="5"/>
        <item x="1"/>
        <item x="0"/>
        <item x="13"/>
        <item x="8"/>
        <item x="17"/>
        <item x="21"/>
        <item x="7"/>
        <item x="27"/>
        <item x="15"/>
        <item x="22"/>
        <item x="14"/>
        <item x="3"/>
        <item x="2"/>
        <item x="25"/>
        <item x="10"/>
        <item x="16"/>
        <item x="19"/>
        <item x="26"/>
        <item x="23"/>
        <item x="24"/>
        <item x="6"/>
        <item x="12"/>
        <item x="4"/>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28">
    <i>
      <x v="12"/>
    </i>
    <i>
      <x v="21"/>
    </i>
    <i>
      <x v="14"/>
    </i>
    <i>
      <x v="7"/>
    </i>
    <i>
      <x v="5"/>
    </i>
    <i>
      <x v="1"/>
    </i>
    <i>
      <x v="13"/>
    </i>
    <i>
      <x v="23"/>
    </i>
    <i>
      <x v="17"/>
    </i>
    <i>
      <x v="27"/>
    </i>
    <i>
      <x v="18"/>
    </i>
    <i>
      <x v="6"/>
    </i>
    <i>
      <x v="15"/>
    </i>
    <i>
      <x v="4"/>
    </i>
    <i>
      <x v="3"/>
    </i>
    <i>
      <x v="20"/>
    </i>
    <i>
      <x v="25"/>
    </i>
    <i>
      <x v="26"/>
    </i>
    <i>
      <x v="10"/>
    </i>
    <i>
      <x v="2"/>
    </i>
    <i>
      <x v="24"/>
    </i>
    <i>
      <x v="16"/>
    </i>
    <i>
      <x v="22"/>
    </i>
    <i>
      <x v="19"/>
    </i>
    <i>
      <x v="11"/>
    </i>
    <i>
      <x v="8"/>
    </i>
    <i>
      <x/>
    </i>
    <i>
      <x v="9"/>
    </i>
  </rowItems>
  <colItems count="1">
    <i/>
  </colItems>
  <dataFields count="1">
    <dataField name="Sum of Purchase_Quantity" fld="4"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DC7EBF-0769-4283-99EE-82EC5E79002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8:B31" firstHeaderRow="1" firstDataRow="1" firstDataCol="1"/>
  <pivotFields count="12">
    <pivotField showAll="0"/>
    <pivotField axis="axisRow" numFmtId="164"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pivotField dataField="1" showAll="0"/>
    <pivotField showAll="0"/>
    <pivotField showAll="0"/>
    <pivotField showAll="0"/>
    <pivotField showAll="0"/>
    <pivotField showAll="0"/>
    <pivotField axis="axisRow" showAll="0">
      <items count="15">
        <item x="0"/>
        <item sd="0" x="1"/>
        <item sd="0" x="2"/>
        <item sd="0" x="3"/>
        <item sd="0" x="4"/>
        <item sd="0" x="5"/>
        <item sd="0" x="6"/>
        <item sd="0" x="7"/>
        <item sd="0" x="8"/>
        <item sd="0" x="9"/>
        <item sd="0" x="10"/>
        <item sd="0" x="11"/>
        <item sd="0" x="12"/>
        <item x="13"/>
        <item t="default"/>
      </items>
    </pivotField>
    <pivotField axis="axisRow" showAll="0">
      <items count="5">
        <item x="0"/>
        <item x="1"/>
        <item x="2"/>
        <item x="3"/>
        <item t="default"/>
      </items>
    </pivotField>
  </pivotFields>
  <rowFields count="3">
    <field x="11"/>
    <field x="10"/>
    <field x="1"/>
  </rowFields>
  <rowItems count="13">
    <i>
      <x v="1"/>
    </i>
    <i r="1">
      <x v="1"/>
    </i>
    <i r="1">
      <x v="2"/>
    </i>
    <i r="1">
      <x v="3"/>
    </i>
    <i r="1">
      <x v="4"/>
    </i>
    <i r="1">
      <x v="5"/>
    </i>
    <i r="1">
      <x v="6"/>
    </i>
    <i r="1">
      <x v="7"/>
    </i>
    <i r="1">
      <x v="8"/>
    </i>
    <i r="1">
      <x v="9"/>
    </i>
    <i r="1">
      <x v="10"/>
    </i>
    <i r="1">
      <x v="11"/>
    </i>
    <i r="1">
      <x v="12"/>
    </i>
  </rowItems>
  <colItems count="1">
    <i/>
  </colItems>
  <dataFields count="1">
    <dataField name="Sum of Purchase_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055BF-4BA9-48B1-9378-359FDE5DB8C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S90:T115" firstHeaderRow="1" firstDataRow="1" firstDataCol="1"/>
  <pivotFields count="12">
    <pivotField showAll="0"/>
    <pivotField numFmtId="164"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axis="axisRow" showAll="0" sortType="descending">
      <items count="26">
        <item x="23"/>
        <item x="20"/>
        <item x="9"/>
        <item x="13"/>
        <item x="0"/>
        <item x="11"/>
        <item x="21"/>
        <item x="15"/>
        <item x="22"/>
        <item x="8"/>
        <item x="6"/>
        <item x="7"/>
        <item x="17"/>
        <item x="1"/>
        <item x="12"/>
        <item x="24"/>
        <item x="14"/>
        <item x="10"/>
        <item x="16"/>
        <item x="2"/>
        <item x="4"/>
        <item x="19"/>
        <item x="18"/>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3"/>
  </rowFields>
  <rowItems count="25">
    <i>
      <x v="13"/>
    </i>
    <i>
      <x v="9"/>
    </i>
    <i>
      <x v="17"/>
    </i>
    <i>
      <x v="12"/>
    </i>
    <i>
      <x v="19"/>
    </i>
    <i>
      <x v="18"/>
    </i>
    <i>
      <x v="14"/>
    </i>
    <i>
      <x v="4"/>
    </i>
    <i>
      <x v="2"/>
    </i>
    <i>
      <x v="3"/>
    </i>
    <i>
      <x/>
    </i>
    <i>
      <x v="16"/>
    </i>
    <i>
      <x v="10"/>
    </i>
    <i>
      <x v="1"/>
    </i>
    <i>
      <x v="11"/>
    </i>
    <i>
      <x v="22"/>
    </i>
    <i>
      <x v="6"/>
    </i>
    <i>
      <x v="21"/>
    </i>
    <i>
      <x v="5"/>
    </i>
    <i>
      <x v="20"/>
    </i>
    <i>
      <x v="8"/>
    </i>
    <i>
      <x v="15"/>
    </i>
    <i>
      <x v="24"/>
    </i>
    <i>
      <x v="7"/>
    </i>
    <i>
      <x v="23"/>
    </i>
  </rowItems>
  <colItems count="1">
    <i/>
  </colItems>
  <dataFields count="1">
    <dataField name="Sum of Purchase_Value" fld="9"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7C7B6D-445F-4BF2-8988-30C14FFC6BE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O90:P118" firstHeaderRow="1" firstDataRow="1" firstDataCol="1"/>
  <pivotFields count="12">
    <pivotField showAll="0"/>
    <pivotField numFmtId="164"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axis="axisRow" showAll="0" sortType="descending">
      <items count="29">
        <item x="18"/>
        <item x="20"/>
        <item x="9"/>
        <item x="5"/>
        <item x="1"/>
        <item x="0"/>
        <item x="13"/>
        <item x="8"/>
        <item x="17"/>
        <item x="21"/>
        <item x="7"/>
        <item x="27"/>
        <item x="15"/>
        <item x="22"/>
        <item x="14"/>
        <item x="3"/>
        <item x="2"/>
        <item x="25"/>
        <item x="10"/>
        <item x="16"/>
        <item x="19"/>
        <item x="26"/>
        <item x="23"/>
        <item x="24"/>
        <item x="6"/>
        <item x="12"/>
        <item x="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2"/>
  </rowFields>
  <rowItems count="28">
    <i>
      <x v="7"/>
    </i>
    <i>
      <x v="5"/>
    </i>
    <i>
      <x v="4"/>
    </i>
    <i>
      <x v="18"/>
    </i>
    <i>
      <x v="17"/>
    </i>
    <i>
      <x v="15"/>
    </i>
    <i>
      <x v="27"/>
    </i>
    <i>
      <x v="6"/>
    </i>
    <i>
      <x v="19"/>
    </i>
    <i>
      <x v="12"/>
    </i>
    <i>
      <x v="13"/>
    </i>
    <i>
      <x v="16"/>
    </i>
    <i>
      <x v="22"/>
    </i>
    <i>
      <x v="10"/>
    </i>
    <i>
      <x v="14"/>
    </i>
    <i>
      <x/>
    </i>
    <i>
      <x v="20"/>
    </i>
    <i>
      <x v="1"/>
    </i>
    <i>
      <x v="8"/>
    </i>
    <i>
      <x v="3"/>
    </i>
    <i>
      <x v="9"/>
    </i>
    <i>
      <x v="2"/>
    </i>
    <i>
      <x v="11"/>
    </i>
    <i>
      <x v="23"/>
    </i>
    <i>
      <x v="21"/>
    </i>
    <i>
      <x v="26"/>
    </i>
    <i>
      <x v="24"/>
    </i>
    <i>
      <x v="25"/>
    </i>
  </rowItems>
  <colItems count="1">
    <i/>
  </colItems>
  <dataFields count="1">
    <dataField name="Sum of Purchase_Value" fld="9" baseField="2" baseItem="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E25453-A389-41C4-8C4B-8D414F8D04D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O68:P81" firstHeaderRow="1" firstDataRow="1" firstDataCol="1"/>
  <pivotFields count="12">
    <pivotField showAll="0"/>
    <pivotField numFmtId="164"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1"/>
    <field x="10"/>
  </rowFields>
  <rowItems count="13">
    <i>
      <x v="1"/>
    </i>
    <i r="1">
      <x v="1"/>
    </i>
    <i r="1">
      <x v="2"/>
    </i>
    <i r="1">
      <x v="3"/>
    </i>
    <i r="1">
      <x v="4"/>
    </i>
    <i r="1">
      <x v="5"/>
    </i>
    <i r="1">
      <x v="6"/>
    </i>
    <i r="1">
      <x v="7"/>
    </i>
    <i r="1">
      <x v="8"/>
    </i>
    <i r="1">
      <x v="9"/>
    </i>
    <i r="1">
      <x v="10"/>
    </i>
    <i r="1">
      <x v="11"/>
    </i>
    <i r="1">
      <x v="12"/>
    </i>
  </rowItems>
  <colItems count="1">
    <i/>
  </colItems>
  <dataFields count="1">
    <dataField name="Sum of Purchase_Value" fld="9" baseField="11"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F1B2C8-4876-410F-98D9-53ABEC706E9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O35:P60" firstHeaderRow="1" firstDataRow="1" firstDataCol="1"/>
  <pivotFields count="12">
    <pivotField showAll="0"/>
    <pivotField numFmtId="164"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axis="axisRow" showAll="0" sortType="descending">
      <items count="26">
        <item x="23"/>
        <item x="20"/>
        <item x="9"/>
        <item x="13"/>
        <item x="0"/>
        <item x="11"/>
        <item x="21"/>
        <item x="15"/>
        <item x="22"/>
        <item x="8"/>
        <item x="6"/>
        <item x="7"/>
        <item x="17"/>
        <item x="1"/>
        <item x="12"/>
        <item x="24"/>
        <item x="14"/>
        <item x="10"/>
        <item x="16"/>
        <item x="2"/>
        <item x="4"/>
        <item x="19"/>
        <item x="18"/>
        <item x="5"/>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25">
    <i>
      <x v="18"/>
    </i>
    <i>
      <x v="22"/>
    </i>
    <i>
      <x v="10"/>
    </i>
    <i>
      <x v="13"/>
    </i>
    <i>
      <x v="12"/>
    </i>
    <i>
      <x v="11"/>
    </i>
    <i>
      <x v="14"/>
    </i>
    <i>
      <x v="23"/>
    </i>
    <i>
      <x v="20"/>
    </i>
    <i>
      <x v="9"/>
    </i>
    <i>
      <x v="3"/>
    </i>
    <i>
      <x v="19"/>
    </i>
    <i>
      <x v="17"/>
    </i>
    <i>
      <x v="21"/>
    </i>
    <i>
      <x v="2"/>
    </i>
    <i>
      <x v="16"/>
    </i>
    <i>
      <x v="24"/>
    </i>
    <i>
      <x v="4"/>
    </i>
    <i>
      <x v="6"/>
    </i>
    <i>
      <x v="1"/>
    </i>
    <i>
      <x v="7"/>
    </i>
    <i>
      <x v="5"/>
    </i>
    <i>
      <x v="8"/>
    </i>
    <i>
      <x/>
    </i>
    <i>
      <x v="15"/>
    </i>
  </rowItems>
  <colItems count="1">
    <i/>
  </colItems>
  <dataFields count="1">
    <dataField name="Sum of Purchase_Quantity" fld="4"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1A7028-4278-4292-B7D9-09E0CB07DFBA}"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C22" firstHeaderRow="1" firstDataRow="1" firstDataCol="1"/>
  <pivotFields count="10">
    <pivotField showAll="0"/>
    <pivotField axis="axisRow" numFmtId="164"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13">
        <item x="6"/>
        <item x="4"/>
        <item x="1"/>
        <item h="1" x="2"/>
        <item h="1" x="0"/>
        <item h="1" x="10"/>
        <item h="1" x="5"/>
        <item h="1" x="11"/>
        <item h="1" x="9"/>
        <item h="1" x="7"/>
        <item h="1" x="3"/>
        <item h="1" x="8"/>
        <item t="default"/>
      </items>
    </pivotField>
    <pivotField showAll="0"/>
    <pivotField dataField="1"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13">
    <i>
      <x v="1"/>
    </i>
    <i>
      <x v="2"/>
    </i>
    <i>
      <x v="3"/>
    </i>
    <i>
      <x v="4"/>
    </i>
    <i>
      <x v="5"/>
    </i>
    <i>
      <x v="6"/>
    </i>
    <i>
      <x v="7"/>
    </i>
    <i>
      <x v="8"/>
    </i>
    <i>
      <x v="9"/>
    </i>
    <i>
      <x v="10"/>
    </i>
    <i>
      <x v="11"/>
    </i>
    <i>
      <x v="12"/>
    </i>
    <i t="grand">
      <x/>
    </i>
  </rowItems>
  <colItems count="1">
    <i/>
  </colItems>
  <dataFields count="1">
    <dataField name="Sum of Produced_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9459B5-3870-4DD5-993F-7A5391CBD295}"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41:I45" firstHeaderRow="0" firstDataRow="1" firstDataCol="1"/>
  <pivotFields count="10">
    <pivotField showAll="0"/>
    <pivotField numFmtId="164"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items count="13">
        <item x="6"/>
        <item x="4"/>
        <item x="1"/>
        <item h="1" x="2"/>
        <item h="1" x="0"/>
        <item h="1" x="10"/>
        <item h="1" x="5"/>
        <item h="1" x="11"/>
        <item h="1" x="9"/>
        <item h="1" x="7"/>
        <item h="1" x="3"/>
        <item h="1" x="8"/>
        <item t="default"/>
      </items>
    </pivotField>
    <pivotField dataField="1"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Fields count="1">
    <field x="-2"/>
  </colFields>
  <colItems count="2">
    <i>
      <x/>
    </i>
    <i i="1">
      <x v="1"/>
    </i>
  </colItems>
  <dataFields count="2">
    <dataField name="Sum of Planned_Quantity" fld="3" baseField="0" baseItem="0"/>
    <dataField name="Sum of Produced_Quantity"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AA2BBD-AC46-4B5B-9037-DEAE2637E127}"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1:B45" firstHeaderRow="1" firstDataRow="1" firstDataCol="1"/>
  <pivotFields count="10">
    <pivotField showAll="0"/>
    <pivotField numFmtId="164"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items count="13">
        <item x="6"/>
        <item x="4"/>
        <item x="1"/>
        <item h="1" x="2"/>
        <item h="1" x="0"/>
        <item h="1" x="10"/>
        <item h="1" x="5"/>
        <item h="1" x="11"/>
        <item h="1" x="9"/>
        <item h="1" x="7"/>
        <item h="1" x="3"/>
        <item h="1" x="8"/>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Rejected_Quantity"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8A0519-2260-4622-8A22-40A49D02CEFC}"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25:I28" firstHeaderRow="1" firstDataRow="1" firstDataCol="1"/>
  <pivotFields count="10">
    <pivotField showAll="0"/>
    <pivotField numFmtId="164"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13">
        <item x="6"/>
        <item x="4"/>
        <item x="1"/>
        <item h="1" x="2"/>
        <item h="1" x="0"/>
        <item h="1" x="10"/>
        <item h="1" x="5"/>
        <item h="1" x="11"/>
        <item h="1" x="9"/>
        <item h="1" x="7"/>
        <item h="1" x="3"/>
        <item h="1" x="8"/>
        <item t="default"/>
      </items>
    </pivotField>
    <pivotField showAll="0"/>
    <pivotField dataField="1" showAll="0"/>
    <pivotField showAll="0"/>
    <pivotField showAll="0"/>
    <pivotField axis="axisRow" showAll="0">
      <items count="5">
        <item x="1"/>
        <item x="0"/>
        <item x="3"/>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t="grand">
      <x/>
    </i>
  </rowItems>
  <colItems count="1">
    <i/>
  </colItems>
  <dataFields count="1">
    <dataField name="Sum of Produced_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910911-6CCD-4F23-9AB9-4D86269C526F}"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B29" firstHeaderRow="1" firstDataRow="1" firstDataCol="1"/>
  <pivotFields count="10">
    <pivotField showAll="0"/>
    <pivotField numFmtId="164"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items count="13">
        <item x="6"/>
        <item x="4"/>
        <item x="1"/>
        <item h="1" x="2"/>
        <item h="1" x="0"/>
        <item h="1" x="10"/>
        <item h="1" x="5"/>
        <item h="1" x="11"/>
        <item h="1" x="9"/>
        <item h="1" x="7"/>
        <item h="1" x="3"/>
        <item h="1" x="8"/>
        <item t="default"/>
      </items>
    </pivotField>
    <pivotField showAll="0"/>
    <pivotField dataField="1" showAll="0"/>
    <pivotField showAll="0"/>
    <pivotField axis="axisRow" showAll="0">
      <items count="4">
        <item x="0"/>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Sum of Produced_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B861B8-E087-40F5-9525-3012C17CAB84}"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9:I13" firstHeaderRow="1" firstDataRow="1" firstDataCol="1"/>
  <pivotFields count="10">
    <pivotField showAll="0"/>
    <pivotField numFmtId="164"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items count="13">
        <item x="6"/>
        <item x="4"/>
        <item x="1"/>
        <item h="1" x="2"/>
        <item h="1" x="0"/>
        <item h="1" x="10"/>
        <item h="1" x="5"/>
        <item h="1" x="11"/>
        <item h="1" x="9"/>
        <item h="1" x="7"/>
        <item h="1" x="3"/>
        <item h="1" x="8"/>
        <item t="default"/>
      </items>
    </pivotField>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Produced_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665DECFC-6661-414E-8AE0-4D97FDB84DBD}" sourceName="Product_ID">
  <pivotTables>
    <pivotTable tabId="19" name="PivotTable3"/>
    <pivotTable tabId="19" name="PivotTable4"/>
    <pivotTable tabId="19" name="PivotTable6"/>
    <pivotTable tabId="19" name="PivotTable7"/>
    <pivotTable tabId="19" name="PivotTable8"/>
    <pivotTable tabId="19" name="PivotTable9"/>
  </pivotTables>
  <data>
    <tabular pivotCacheId="1035513231">
      <items count="12">
        <i x="6" s="1"/>
        <i x="4" s="1"/>
        <i x="1" s="1"/>
        <i x="2"/>
        <i x="0"/>
        <i x="10"/>
        <i x="5"/>
        <i x="11"/>
        <i x="9"/>
        <i x="7"/>
        <i x="3"/>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566E1306-EA6F-4706-B7B3-865500ED6BFD}" cache="Slicer_Product_ID" caption="Product_I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174292-742C-4987-9D3B-07C864F484C0}" name="tblProducts" displayName="tblProducts" ref="A1:H13" totalsRowShown="0">
  <autoFilter ref="A1:H13" xr:uid="{94174292-742C-4987-9D3B-07C864F484C0}"/>
  <tableColumns count="8">
    <tableColumn id="1" xr3:uid="{6AC82341-8275-425C-9347-9E790523BB14}" name="Product_ID"/>
    <tableColumn id="2" xr3:uid="{8C56C9F7-0BA7-48C3-8CAD-6521B752ECC3}" name="Product_Name"/>
    <tableColumn id="3" xr3:uid="{98C51C59-63AF-4AE3-AD4A-DF4802E07731}" name="Product_Category"/>
    <tableColumn id="4" xr3:uid="{C95BF2B7-4F0D-49A1-9096-4170085993BA}" name="Model_Name"/>
    <tableColumn id="5" xr3:uid="{CD3D809B-8F4E-4251-9963-0CF52015118E}" name="Unit_Price"/>
    <tableColumn id="6" xr3:uid="{81ADEAC5-53C7-4EC4-9F92-7069FCD64795}" name="Standard_Production_Cost"/>
    <tableColumn id="7" xr3:uid="{981439BB-8E98-4FF8-AD10-39614B7C0E6C}" name="Reorder_Level"/>
    <tableColumn id="8" xr3:uid="{FBB61F16-1F3C-41ED-93DA-4F4DFE897319}" name="Product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BE69C5-CBC5-4914-8507-E22615224295}" name="tblRawMaterials" displayName="tblRawMaterials" ref="A1:G26" totalsRowShown="0">
  <autoFilter ref="A1:G26" xr:uid="{F8BE69C5-CBC5-4914-8507-E22615224295}"/>
  <tableColumns count="7">
    <tableColumn id="1" xr3:uid="{A2D99EA0-90EB-4BC2-A906-F1AA24F294B7}" name="Material_ID"/>
    <tableColumn id="2" xr3:uid="{17148B4E-E061-49D8-8F87-EC1FF72B04AC}" name="Material_Name"/>
    <tableColumn id="3" xr3:uid="{C290C2D3-5DEC-46C0-96E4-A2EF9071CEA8}" name="Material_Category"/>
    <tableColumn id="4" xr3:uid="{92B4BD8E-90FC-4521-99C2-9E407B5224DC}" name="Unit_of_Measure"/>
    <tableColumn id="5" xr3:uid="{B4FBAD99-ED1B-4E49-A1CC-7587FCF853A4}" name="Standard_Unit_Cost"/>
    <tableColumn id="6" xr3:uid="{F6B3AD07-1477-4891-B49F-81256ADC22E4}" name="Reorder_Level"/>
    <tableColumn id="7" xr3:uid="{A8F635EB-4176-4A25-9BF8-C8CA644969A8}" name="Material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7FB1FE-553A-48F8-9E38-2F9015D7870F}" name="tblSuppliers" displayName="tblSuppliers" ref="A1:G29" totalsRowShown="0">
  <autoFilter ref="A1:G29" xr:uid="{477FB1FE-553A-48F8-9E38-2F9015D7870F}"/>
  <tableColumns count="7">
    <tableColumn id="1" xr3:uid="{F97FCB64-0EE9-4203-8D8B-D089AE88B3DB}" name="Supplier_ID"/>
    <tableColumn id="2" xr3:uid="{40171CDB-1F3A-44EB-A4DF-7FFD1884D750}" name="Supplier_Name"/>
    <tableColumn id="3" xr3:uid="{20D7D056-12FB-4545-AE26-F74C55DED77F}" name="Supplier_Category"/>
    <tableColumn id="4" xr3:uid="{CDB70C2C-3103-4455-A05D-013F45C98239}" name="City"/>
    <tableColumn id="5" xr3:uid="{3FC7D486-8140-4341-A09C-636E31A20E9A}" name="State"/>
    <tableColumn id="6" xr3:uid="{6A82EA2C-043C-4E43-9E49-F253348B989A}" name="Payment_Terms_Days"/>
    <tableColumn id="7" xr3:uid="{C0D6DADA-762B-4AF5-8E11-6FAAAB62055A}" name="Supplier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D87A86-B9E9-4C47-BAFF-D0E731A3B8C3}" name="tblBOM" displayName="tblBOM" ref="A1:G134" totalsRowShown="0">
  <autoFilter ref="A1:G134" xr:uid="{81D87A86-B9E9-4C47-BAFF-D0E731A3B8C3}"/>
  <tableColumns count="7">
    <tableColumn id="1" xr3:uid="{0F803311-34BF-4A77-A591-92FDF362B39E}" name="BOM_ID"/>
    <tableColumn id="2" xr3:uid="{B684258F-FC89-46ED-845E-85341F3D6EE9}" name="Product_ID"/>
    <tableColumn id="3" xr3:uid="{D8482F88-89AD-48C6-BB41-97E71150C6D0}" name="Material_ID"/>
    <tableColumn id="4" xr3:uid="{14E33D64-23E1-4F43-AF72-946C295A171C}" name="Quantity_Required"/>
    <tableColumn id="5" xr3:uid="{89631CB3-02FE-4033-92E6-E949FDB5E136}" name="Wastage_Percent"/>
    <tableColumn id="6" xr3:uid="{BE1B28EC-436A-46A1-8CE7-1AF321432516}" name="Effective_From" dataDxfId="13"/>
    <tableColumn id="7" xr3:uid="{F95959FC-65A4-43AE-8759-C9E069ABB8A5}" name="BOM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C36A18-7196-444C-B20C-7CA1837E9E86}" name="tblPurchases" displayName="tblPurchases" ref="A1:J701" totalsRowShown="0" headerRowDxfId="12" headerRowBorderDxfId="11" tableBorderDxfId="10">
  <autoFilter ref="A1:J701" xr:uid="{BDC36A18-7196-444C-B20C-7CA1837E9E86}"/>
  <tableColumns count="10">
    <tableColumn id="1" xr3:uid="{9F543EED-3AC4-4EF6-B362-C35483A7194F}" name="Purchase_ID"/>
    <tableColumn id="2" xr3:uid="{D4C2297D-F2F6-46F7-B06E-D3976A5F76C9}" name="Purchase_Date" dataDxfId="9"/>
    <tableColumn id="3" xr3:uid="{87AA2A07-F36D-49FD-952B-F1FDF5CB2A18}" name="Supplier_ID"/>
    <tableColumn id="4" xr3:uid="{967B795B-CAA8-4ED6-9412-B1875191F247}" name="Material_ID"/>
    <tableColumn id="5" xr3:uid="{1908B58E-7C79-497F-89BB-5CBC6668AD7D}" name="Purchase_Quantity"/>
    <tableColumn id="6" xr3:uid="{2BE992DA-AD4F-41CF-AAEF-34A9904B2F38}" name="Unit_Cost"/>
    <tableColumn id="7" xr3:uid="{AC6DC4E9-C4BE-49DF-8636-B6D3C7742CEF}" name="Discount_Percent"/>
    <tableColumn id="8" xr3:uid="{E0C69A73-F255-46FA-8DDE-D829DF24B89A}" name="GST_Percent"/>
    <tableColumn id="9" xr3:uid="{CB8C2693-6180-40F1-BB84-4468D29EC8A3}" name="Delivery_Status"/>
    <tableColumn id="10" xr3:uid="{3F86FDBD-D5F6-4634-83C5-B06F13267329}" name="Purchase_Value"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D0B889-ED0F-4D50-AC7F-E4078BF1A113}" name="tblProduction" displayName="tblProduction" ref="A1:H501" totalsRowShown="0" headerRowDxfId="7" headerRowBorderDxfId="6" tableBorderDxfId="5">
  <autoFilter ref="A1:H501" xr:uid="{D8D0B889-ED0F-4D50-AC7F-E4078BF1A113}"/>
  <tableColumns count="8">
    <tableColumn id="1" xr3:uid="{D6E93035-A45F-4436-92E0-5798F2252923}" name="Production_ID"/>
    <tableColumn id="2" xr3:uid="{3210EA96-5177-42B8-BD75-FD65069B55BB}" name="Production_Date" dataDxfId="4"/>
    <tableColumn id="3" xr3:uid="{A57AFFB1-0709-4781-8DE6-AAA4DFE51F69}" name="Product_ID"/>
    <tableColumn id="4" xr3:uid="{B615F23D-982D-40E3-82A2-358D5ADC2F47}" name="Planned_Quantity"/>
    <tableColumn id="5" xr3:uid="{8F9AD8B2-82BB-4D37-A22C-8BA750357780}" name="Produced_Quantity"/>
    <tableColumn id="6" xr3:uid="{A66A48E7-1F36-4B6E-8F8C-656E5A2458E1}" name="Rejected_Quantity"/>
    <tableColumn id="7" xr3:uid="{FF101D56-7B04-407E-B980-1FEE68E6335B}" name="Shift"/>
    <tableColumn id="8" xr3:uid="{11304D47-4569-4B32-8562-C3335819A5E6}" name="Production_Lin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3600B1-B40E-4A42-8340-8B15965A6545}" name="tblInventory" displayName="tblInventory" ref="A1:G6230" totalsRowShown="0" headerRowDxfId="3" headerRowBorderDxfId="2" tableBorderDxfId="1">
  <autoFilter ref="A1:G6230" xr:uid="{F63600B1-B40E-4A42-8340-8B15965A6545}"/>
  <tableColumns count="7">
    <tableColumn id="1" xr3:uid="{6AA7DD97-8964-416D-87DE-F9373ED8332C}" name="Inventory_Transaction_ID"/>
    <tableColumn id="2" xr3:uid="{F43E27DF-8BDD-4ACB-9690-CC99B74AFA1C}" name="Transaction_Date" dataDxfId="0"/>
    <tableColumn id="3" xr3:uid="{F465D446-7AB7-4017-9A25-905B0474D122}" name="Material_ID"/>
    <tableColumn id="4" xr3:uid="{1BB92BA6-F233-4198-AE24-2C6A5CF6BE33}" name="Transaction_Type"/>
    <tableColumn id="5" xr3:uid="{FDE5A59D-85BA-4358-AD9E-9BB4DBE491CC}" name="Quantity"/>
    <tableColumn id="6" xr3:uid="{58F5E1A4-EDA2-4B3D-9CC1-F61AE219E2B4}" name="Warehouse"/>
    <tableColumn id="7" xr3:uid="{0FEA1E39-BB1E-4DB6-9EF0-CA8648BA1D78}" name="Reference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rinterSettings" Target="../printerSettings/printerSettings2.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E5008-DF82-476A-ADE3-EAC65365A574}">
  <dimension ref="A1:H13"/>
  <sheetViews>
    <sheetView workbookViewId="0">
      <selection activeCell="B13" sqref="B13"/>
    </sheetView>
  </sheetViews>
  <sheetFormatPr defaultRowHeight="14.4"/>
  <cols>
    <col min="1" max="1" width="12" customWidth="1"/>
    <col min="2" max="2" width="21" bestFit="1" customWidth="1"/>
    <col min="3" max="3" width="17.5546875" customWidth="1"/>
    <col min="4" max="4" width="13.77734375" customWidth="1"/>
    <col min="5" max="5" width="11.44140625" customWidth="1"/>
    <col min="6" max="6" width="25" customWidth="1"/>
    <col min="7" max="7" width="14.5546875" customWidth="1"/>
    <col min="8" max="8" width="15.5546875" customWidth="1"/>
  </cols>
  <sheetData>
    <row r="1" spans="1:8">
      <c r="A1" t="s">
        <v>0</v>
      </c>
      <c r="B1" t="s">
        <v>1</v>
      </c>
      <c r="C1" t="s">
        <v>2</v>
      </c>
      <c r="D1" t="s">
        <v>3</v>
      </c>
      <c r="E1" t="s">
        <v>4</v>
      </c>
      <c r="F1" t="s">
        <v>5</v>
      </c>
      <c r="G1" t="s">
        <v>6</v>
      </c>
      <c r="H1" t="s">
        <v>7</v>
      </c>
    </row>
    <row r="2" spans="1:8">
      <c r="A2" t="s">
        <v>8</v>
      </c>
      <c r="B2" t="s">
        <v>9</v>
      </c>
      <c r="C2" t="s">
        <v>10</v>
      </c>
      <c r="D2" t="s">
        <v>11</v>
      </c>
      <c r="E2">
        <v>3299</v>
      </c>
      <c r="F2">
        <v>2180</v>
      </c>
      <c r="G2">
        <v>60</v>
      </c>
      <c r="H2" t="s">
        <v>12</v>
      </c>
    </row>
    <row r="3" spans="1:8">
      <c r="A3" t="s">
        <v>13</v>
      </c>
      <c r="B3" t="s">
        <v>14</v>
      </c>
      <c r="C3" t="s">
        <v>15</v>
      </c>
      <c r="D3" t="s">
        <v>16</v>
      </c>
      <c r="E3">
        <v>1899</v>
      </c>
      <c r="F3">
        <v>1220</v>
      </c>
      <c r="G3">
        <v>80</v>
      </c>
      <c r="H3" t="s">
        <v>12</v>
      </c>
    </row>
    <row r="4" spans="1:8">
      <c r="A4" t="s">
        <v>17</v>
      </c>
      <c r="B4" t="s">
        <v>18</v>
      </c>
      <c r="C4" t="s">
        <v>19</v>
      </c>
      <c r="D4" t="s">
        <v>20</v>
      </c>
      <c r="E4">
        <v>2799</v>
      </c>
      <c r="F4">
        <v>1840</v>
      </c>
      <c r="G4">
        <v>70</v>
      </c>
      <c r="H4" t="s">
        <v>12</v>
      </c>
    </row>
    <row r="5" spans="1:8">
      <c r="A5" t="s">
        <v>21</v>
      </c>
      <c r="B5" t="s">
        <v>22</v>
      </c>
      <c r="C5" t="s">
        <v>23</v>
      </c>
      <c r="D5" t="s">
        <v>24</v>
      </c>
      <c r="E5">
        <v>2599</v>
      </c>
      <c r="F5">
        <v>1690</v>
      </c>
      <c r="G5">
        <v>75</v>
      </c>
      <c r="H5" t="s">
        <v>12</v>
      </c>
    </row>
    <row r="6" spans="1:8">
      <c r="A6" t="s">
        <v>25</v>
      </c>
      <c r="B6" t="s">
        <v>26</v>
      </c>
      <c r="C6" t="s">
        <v>27</v>
      </c>
      <c r="D6" t="s">
        <v>28</v>
      </c>
      <c r="E6">
        <v>3499</v>
      </c>
      <c r="F6">
        <v>2310</v>
      </c>
      <c r="G6">
        <v>50</v>
      </c>
      <c r="H6" t="s">
        <v>12</v>
      </c>
    </row>
    <row r="7" spans="1:8">
      <c r="A7" t="s">
        <v>29</v>
      </c>
      <c r="B7" t="s">
        <v>30</v>
      </c>
      <c r="C7" t="s">
        <v>31</v>
      </c>
      <c r="D7" t="s">
        <v>32</v>
      </c>
      <c r="E7">
        <v>2299</v>
      </c>
      <c r="F7">
        <v>1480</v>
      </c>
      <c r="G7">
        <v>65</v>
      </c>
      <c r="H7" t="s">
        <v>12</v>
      </c>
    </row>
    <row r="8" spans="1:8">
      <c r="A8" t="s">
        <v>33</v>
      </c>
      <c r="B8" t="s">
        <v>34</v>
      </c>
      <c r="C8" t="s">
        <v>35</v>
      </c>
      <c r="D8" t="s">
        <v>36</v>
      </c>
      <c r="E8">
        <v>1999</v>
      </c>
      <c r="F8">
        <v>1270</v>
      </c>
      <c r="G8">
        <v>70</v>
      </c>
      <c r="H8" t="s">
        <v>12</v>
      </c>
    </row>
    <row r="9" spans="1:8">
      <c r="A9" t="s">
        <v>37</v>
      </c>
      <c r="B9" t="s">
        <v>38</v>
      </c>
      <c r="C9" t="s">
        <v>39</v>
      </c>
      <c r="D9" t="s">
        <v>40</v>
      </c>
      <c r="E9">
        <v>5499</v>
      </c>
      <c r="F9">
        <v>3710</v>
      </c>
      <c r="G9">
        <v>30</v>
      </c>
      <c r="H9" t="s">
        <v>12</v>
      </c>
    </row>
    <row r="10" spans="1:8">
      <c r="A10" t="s">
        <v>41</v>
      </c>
      <c r="B10" t="s">
        <v>42</v>
      </c>
      <c r="C10" t="s">
        <v>43</v>
      </c>
      <c r="D10" t="s">
        <v>44</v>
      </c>
      <c r="E10">
        <v>4499</v>
      </c>
      <c r="F10">
        <v>3020</v>
      </c>
      <c r="G10">
        <v>40</v>
      </c>
      <c r="H10" t="s">
        <v>12</v>
      </c>
    </row>
    <row r="11" spans="1:8">
      <c r="A11" t="s">
        <v>45</v>
      </c>
      <c r="B11" t="s">
        <v>46</v>
      </c>
      <c r="C11" t="s">
        <v>43</v>
      </c>
      <c r="D11" t="s">
        <v>47</v>
      </c>
      <c r="E11">
        <v>7499</v>
      </c>
      <c r="F11">
        <v>5140</v>
      </c>
      <c r="G11">
        <v>30</v>
      </c>
      <c r="H11" t="s">
        <v>12</v>
      </c>
    </row>
    <row r="12" spans="1:8">
      <c r="A12" t="s">
        <v>48</v>
      </c>
      <c r="B12" t="s">
        <v>49</v>
      </c>
      <c r="C12" t="s">
        <v>50</v>
      </c>
      <c r="D12" t="s">
        <v>51</v>
      </c>
      <c r="E12">
        <v>2199</v>
      </c>
      <c r="F12">
        <v>1390</v>
      </c>
      <c r="G12">
        <v>60</v>
      </c>
      <c r="H12" t="s">
        <v>12</v>
      </c>
    </row>
    <row r="13" spans="1:8">
      <c r="A13" t="s">
        <v>52</v>
      </c>
      <c r="B13" t="s">
        <v>53</v>
      </c>
      <c r="C13" t="s">
        <v>50</v>
      </c>
      <c r="D13" t="s">
        <v>54</v>
      </c>
      <c r="E13">
        <v>3799</v>
      </c>
      <c r="F13">
        <v>2480</v>
      </c>
      <c r="G13">
        <v>45</v>
      </c>
      <c r="H13"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179CD-141F-4873-B0A2-85F87F80AE07}">
  <dimension ref="A1:G26"/>
  <sheetViews>
    <sheetView workbookViewId="0">
      <selection activeCell="C26" sqref="C26"/>
    </sheetView>
  </sheetViews>
  <sheetFormatPr defaultRowHeight="14.4"/>
  <cols>
    <col min="1" max="1" width="12.33203125" customWidth="1"/>
    <col min="2" max="2" width="24.88671875" bestFit="1" customWidth="1"/>
    <col min="3" max="3" width="17.88671875" customWidth="1"/>
    <col min="4" max="4" width="16.44140625" customWidth="1"/>
    <col min="5" max="5" width="19.33203125" customWidth="1"/>
    <col min="6" max="6" width="14.5546875" customWidth="1"/>
    <col min="7" max="7" width="15.88671875" customWidth="1"/>
  </cols>
  <sheetData>
    <row r="1" spans="1:7">
      <c r="A1" t="s">
        <v>55</v>
      </c>
      <c r="B1" t="s">
        <v>56</v>
      </c>
      <c r="C1" t="s">
        <v>57</v>
      </c>
      <c r="D1" t="s">
        <v>58</v>
      </c>
      <c r="E1" t="s">
        <v>59</v>
      </c>
      <c r="F1" t="s">
        <v>6</v>
      </c>
      <c r="G1" t="s">
        <v>60</v>
      </c>
    </row>
    <row r="2" spans="1:7">
      <c r="A2" t="s">
        <v>61</v>
      </c>
      <c r="B2" t="s">
        <v>62</v>
      </c>
      <c r="C2" t="s">
        <v>63</v>
      </c>
      <c r="D2" t="s">
        <v>64</v>
      </c>
      <c r="E2">
        <v>650</v>
      </c>
      <c r="F2">
        <v>100</v>
      </c>
      <c r="G2" t="s">
        <v>12</v>
      </c>
    </row>
    <row r="3" spans="1:7">
      <c r="A3" t="s">
        <v>65</v>
      </c>
      <c r="B3" t="s">
        <v>66</v>
      </c>
      <c r="C3" t="s">
        <v>67</v>
      </c>
      <c r="D3" t="s">
        <v>64</v>
      </c>
      <c r="E3">
        <v>180</v>
      </c>
      <c r="F3">
        <v>150</v>
      </c>
      <c r="G3" t="s">
        <v>12</v>
      </c>
    </row>
    <row r="4" spans="1:7">
      <c r="A4" t="s">
        <v>68</v>
      </c>
      <c r="B4" t="s">
        <v>69</v>
      </c>
      <c r="C4" t="s">
        <v>67</v>
      </c>
      <c r="D4" t="s">
        <v>64</v>
      </c>
      <c r="E4">
        <v>320</v>
      </c>
      <c r="F4">
        <v>100</v>
      </c>
      <c r="G4" t="s">
        <v>12</v>
      </c>
    </row>
    <row r="5" spans="1:7">
      <c r="A5" t="s">
        <v>70</v>
      </c>
      <c r="B5" t="s">
        <v>71</v>
      </c>
      <c r="C5" t="s">
        <v>72</v>
      </c>
      <c r="D5" t="s">
        <v>64</v>
      </c>
      <c r="E5">
        <v>240</v>
      </c>
      <c r="F5">
        <v>100</v>
      </c>
      <c r="G5" t="s">
        <v>12</v>
      </c>
    </row>
    <row r="6" spans="1:7">
      <c r="A6" t="s">
        <v>73</v>
      </c>
      <c r="B6" t="s">
        <v>74</v>
      </c>
      <c r="C6" t="s">
        <v>72</v>
      </c>
      <c r="D6" t="s">
        <v>64</v>
      </c>
      <c r="E6">
        <v>420</v>
      </c>
      <c r="F6">
        <v>60</v>
      </c>
      <c r="G6" t="s">
        <v>12</v>
      </c>
    </row>
    <row r="7" spans="1:7">
      <c r="A7" t="s">
        <v>75</v>
      </c>
      <c r="B7" t="s">
        <v>76</v>
      </c>
      <c r="C7" t="s">
        <v>63</v>
      </c>
      <c r="D7" t="s">
        <v>64</v>
      </c>
      <c r="E7">
        <v>85</v>
      </c>
      <c r="F7">
        <v>200</v>
      </c>
      <c r="G7" t="s">
        <v>12</v>
      </c>
    </row>
    <row r="8" spans="1:7">
      <c r="A8" t="s">
        <v>77</v>
      </c>
      <c r="B8" t="s">
        <v>78</v>
      </c>
      <c r="C8" t="s">
        <v>63</v>
      </c>
      <c r="D8" t="s">
        <v>64</v>
      </c>
      <c r="E8">
        <v>110</v>
      </c>
      <c r="F8">
        <v>150</v>
      </c>
      <c r="G8" t="s">
        <v>12</v>
      </c>
    </row>
    <row r="9" spans="1:7">
      <c r="A9" t="s">
        <v>79</v>
      </c>
      <c r="B9" t="s">
        <v>80</v>
      </c>
      <c r="C9" t="s">
        <v>63</v>
      </c>
      <c r="D9" t="s">
        <v>64</v>
      </c>
      <c r="E9">
        <v>45</v>
      </c>
      <c r="F9">
        <v>300</v>
      </c>
      <c r="G9" t="s">
        <v>12</v>
      </c>
    </row>
    <row r="10" spans="1:7">
      <c r="A10" t="s">
        <v>81</v>
      </c>
      <c r="B10" t="s">
        <v>82</v>
      </c>
      <c r="C10" t="s">
        <v>83</v>
      </c>
      <c r="D10" t="s">
        <v>64</v>
      </c>
      <c r="E10">
        <v>70</v>
      </c>
      <c r="F10">
        <v>250</v>
      </c>
      <c r="G10" t="s">
        <v>12</v>
      </c>
    </row>
    <row r="11" spans="1:7">
      <c r="A11" t="s">
        <v>84</v>
      </c>
      <c r="B11" t="s">
        <v>85</v>
      </c>
      <c r="C11" t="s">
        <v>63</v>
      </c>
      <c r="D11" t="s">
        <v>86</v>
      </c>
      <c r="E11">
        <v>780</v>
      </c>
      <c r="F11">
        <v>50</v>
      </c>
      <c r="G11" t="s">
        <v>12</v>
      </c>
    </row>
    <row r="12" spans="1:7">
      <c r="A12" t="s">
        <v>87</v>
      </c>
      <c r="B12" t="s">
        <v>88</v>
      </c>
      <c r="C12" t="s">
        <v>67</v>
      </c>
      <c r="D12" t="s">
        <v>86</v>
      </c>
      <c r="E12">
        <v>125</v>
      </c>
      <c r="F12">
        <v>200</v>
      </c>
      <c r="G12" t="s">
        <v>12</v>
      </c>
    </row>
    <row r="13" spans="1:7">
      <c r="A13" t="s">
        <v>89</v>
      </c>
      <c r="B13" t="s">
        <v>90</v>
      </c>
      <c r="C13" t="s">
        <v>72</v>
      </c>
      <c r="D13" t="s">
        <v>86</v>
      </c>
      <c r="E13">
        <v>95</v>
      </c>
      <c r="F13">
        <v>300</v>
      </c>
      <c r="G13" t="s">
        <v>12</v>
      </c>
    </row>
    <row r="14" spans="1:7">
      <c r="A14" t="s">
        <v>91</v>
      </c>
      <c r="B14" t="s">
        <v>92</v>
      </c>
      <c r="C14" t="s">
        <v>63</v>
      </c>
      <c r="D14" t="s">
        <v>64</v>
      </c>
      <c r="E14">
        <v>480</v>
      </c>
      <c r="F14">
        <v>100</v>
      </c>
      <c r="G14" t="s">
        <v>12</v>
      </c>
    </row>
    <row r="15" spans="1:7">
      <c r="A15" t="s">
        <v>93</v>
      </c>
      <c r="B15" t="s">
        <v>94</v>
      </c>
      <c r="C15" t="s">
        <v>72</v>
      </c>
      <c r="D15" t="s">
        <v>64</v>
      </c>
      <c r="E15">
        <v>1450</v>
      </c>
      <c r="F15">
        <v>50</v>
      </c>
      <c r="G15" t="s">
        <v>12</v>
      </c>
    </row>
    <row r="16" spans="1:7">
      <c r="A16" t="s">
        <v>95</v>
      </c>
      <c r="B16" t="s">
        <v>96</v>
      </c>
      <c r="C16" t="s">
        <v>63</v>
      </c>
      <c r="D16" t="s">
        <v>64</v>
      </c>
      <c r="E16">
        <v>260</v>
      </c>
      <c r="F16">
        <v>100</v>
      </c>
      <c r="G16" t="s">
        <v>12</v>
      </c>
    </row>
    <row r="17" spans="1:7">
      <c r="A17" t="s">
        <v>97</v>
      </c>
      <c r="B17" t="s">
        <v>98</v>
      </c>
      <c r="C17" t="s">
        <v>83</v>
      </c>
      <c r="D17" t="s">
        <v>64</v>
      </c>
      <c r="E17">
        <v>180</v>
      </c>
      <c r="F17">
        <v>100</v>
      </c>
      <c r="G17" t="s">
        <v>12</v>
      </c>
    </row>
    <row r="18" spans="1:7">
      <c r="A18" t="s">
        <v>99</v>
      </c>
      <c r="B18" t="s">
        <v>100</v>
      </c>
      <c r="C18" t="s">
        <v>101</v>
      </c>
      <c r="D18" t="s">
        <v>86</v>
      </c>
      <c r="E18">
        <v>210</v>
      </c>
      <c r="F18">
        <v>80</v>
      </c>
      <c r="G18" t="s">
        <v>12</v>
      </c>
    </row>
    <row r="19" spans="1:7">
      <c r="A19" t="s">
        <v>102</v>
      </c>
      <c r="B19" t="s">
        <v>103</v>
      </c>
      <c r="C19" t="s">
        <v>72</v>
      </c>
      <c r="D19" t="s">
        <v>64</v>
      </c>
      <c r="E19">
        <v>620</v>
      </c>
      <c r="F19">
        <v>60</v>
      </c>
      <c r="G19" t="s">
        <v>12</v>
      </c>
    </row>
    <row r="20" spans="1:7">
      <c r="A20" t="s">
        <v>104</v>
      </c>
      <c r="B20" t="s">
        <v>105</v>
      </c>
      <c r="C20" t="s">
        <v>63</v>
      </c>
      <c r="D20" t="s">
        <v>64</v>
      </c>
      <c r="E20">
        <v>190</v>
      </c>
      <c r="F20">
        <v>150</v>
      </c>
      <c r="G20" t="s">
        <v>12</v>
      </c>
    </row>
    <row r="21" spans="1:7">
      <c r="A21" t="s">
        <v>106</v>
      </c>
      <c r="B21" t="s">
        <v>107</v>
      </c>
      <c r="C21" t="s">
        <v>63</v>
      </c>
      <c r="D21" t="s">
        <v>64</v>
      </c>
      <c r="E21">
        <v>350</v>
      </c>
      <c r="F21">
        <v>100</v>
      </c>
      <c r="G21" t="s">
        <v>12</v>
      </c>
    </row>
    <row r="22" spans="1:7">
      <c r="A22" t="s">
        <v>108</v>
      </c>
      <c r="B22" t="s">
        <v>109</v>
      </c>
      <c r="C22" t="s">
        <v>67</v>
      </c>
      <c r="D22" t="s">
        <v>64</v>
      </c>
      <c r="E22">
        <v>35</v>
      </c>
      <c r="F22">
        <v>300</v>
      </c>
      <c r="G22" t="s">
        <v>12</v>
      </c>
    </row>
    <row r="23" spans="1:7">
      <c r="A23" t="s">
        <v>110</v>
      </c>
      <c r="B23" t="s">
        <v>111</v>
      </c>
      <c r="C23" t="s">
        <v>112</v>
      </c>
      <c r="D23" t="s">
        <v>113</v>
      </c>
      <c r="E23">
        <v>55</v>
      </c>
      <c r="F23">
        <v>300</v>
      </c>
      <c r="G23" t="s">
        <v>12</v>
      </c>
    </row>
    <row r="24" spans="1:7">
      <c r="A24" t="s">
        <v>114</v>
      </c>
      <c r="B24" t="s">
        <v>115</v>
      </c>
      <c r="C24" t="s">
        <v>116</v>
      </c>
      <c r="D24" t="s">
        <v>64</v>
      </c>
      <c r="E24">
        <v>65</v>
      </c>
      <c r="F24">
        <v>250</v>
      </c>
      <c r="G24" t="s">
        <v>12</v>
      </c>
    </row>
    <row r="25" spans="1:7">
      <c r="A25" t="s">
        <v>117</v>
      </c>
      <c r="B25" t="s">
        <v>118</v>
      </c>
      <c r="C25" t="s">
        <v>116</v>
      </c>
      <c r="D25" t="s">
        <v>113</v>
      </c>
      <c r="E25">
        <v>18</v>
      </c>
      <c r="F25">
        <v>500</v>
      </c>
      <c r="G25" t="s">
        <v>12</v>
      </c>
    </row>
    <row r="26" spans="1:7">
      <c r="A26" t="s">
        <v>119</v>
      </c>
      <c r="B26" t="s">
        <v>120</v>
      </c>
      <c r="C26" t="s">
        <v>116</v>
      </c>
      <c r="D26" t="s">
        <v>64</v>
      </c>
      <c r="E26">
        <v>32</v>
      </c>
      <c r="F26">
        <v>300</v>
      </c>
      <c r="G26"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C5B97-6FEE-407D-A8BE-CB180F199B72}">
  <dimension ref="A1:G29"/>
  <sheetViews>
    <sheetView topLeftCell="A3" workbookViewId="0">
      <selection activeCell="C29" sqref="C29"/>
    </sheetView>
  </sheetViews>
  <sheetFormatPr defaultRowHeight="14.4"/>
  <cols>
    <col min="1" max="1" width="12.5546875" customWidth="1"/>
    <col min="2" max="2" width="24" bestFit="1" customWidth="1"/>
    <col min="3" max="3" width="28.6640625" bestFit="1" customWidth="1"/>
    <col min="4" max="5" width="12" bestFit="1" customWidth="1"/>
    <col min="6" max="6" width="20.88671875" customWidth="1"/>
    <col min="7" max="7" width="16.109375" customWidth="1"/>
  </cols>
  <sheetData>
    <row r="1" spans="1:7">
      <c r="A1" t="s">
        <v>259</v>
      </c>
      <c r="B1" t="s">
        <v>260</v>
      </c>
      <c r="C1" t="s">
        <v>261</v>
      </c>
      <c r="D1" t="s">
        <v>262</v>
      </c>
      <c r="E1" t="s">
        <v>263</v>
      </c>
      <c r="F1" t="s">
        <v>264</v>
      </c>
      <c r="G1" t="s">
        <v>265</v>
      </c>
    </row>
    <row r="2" spans="1:7">
      <c r="A2" t="s">
        <v>266</v>
      </c>
      <c r="B2" t="s">
        <v>267</v>
      </c>
      <c r="C2" t="s">
        <v>268</v>
      </c>
      <c r="D2" t="s">
        <v>269</v>
      </c>
      <c r="E2" t="s">
        <v>270</v>
      </c>
      <c r="F2">
        <v>30</v>
      </c>
      <c r="G2" t="s">
        <v>12</v>
      </c>
    </row>
    <row r="3" spans="1:7">
      <c r="A3" t="s">
        <v>271</v>
      </c>
      <c r="B3" t="s">
        <v>272</v>
      </c>
      <c r="C3" t="s">
        <v>273</v>
      </c>
      <c r="D3" t="s">
        <v>270</v>
      </c>
      <c r="E3" t="s">
        <v>270</v>
      </c>
      <c r="F3">
        <v>30</v>
      </c>
      <c r="G3" t="s">
        <v>12</v>
      </c>
    </row>
    <row r="4" spans="1:7">
      <c r="A4" t="s">
        <v>274</v>
      </c>
      <c r="B4" t="s">
        <v>275</v>
      </c>
      <c r="C4" t="s">
        <v>273</v>
      </c>
      <c r="D4" t="s">
        <v>276</v>
      </c>
      <c r="E4" t="s">
        <v>277</v>
      </c>
      <c r="F4">
        <v>45</v>
      </c>
      <c r="G4" t="s">
        <v>12</v>
      </c>
    </row>
    <row r="5" spans="1:7">
      <c r="A5" t="s">
        <v>278</v>
      </c>
      <c r="B5" t="s">
        <v>279</v>
      </c>
      <c r="C5" t="s">
        <v>273</v>
      </c>
      <c r="D5" t="s">
        <v>270</v>
      </c>
      <c r="E5" t="s">
        <v>270</v>
      </c>
      <c r="F5">
        <v>30</v>
      </c>
      <c r="G5" t="s">
        <v>12</v>
      </c>
    </row>
    <row r="6" spans="1:7">
      <c r="A6" t="s">
        <v>280</v>
      </c>
      <c r="B6" t="s">
        <v>281</v>
      </c>
      <c r="C6" t="s">
        <v>282</v>
      </c>
      <c r="D6" t="s">
        <v>270</v>
      </c>
      <c r="E6" t="s">
        <v>270</v>
      </c>
      <c r="F6">
        <v>30</v>
      </c>
      <c r="G6" t="s">
        <v>12</v>
      </c>
    </row>
    <row r="7" spans="1:7">
      <c r="A7" t="s">
        <v>283</v>
      </c>
      <c r="B7" t="s">
        <v>284</v>
      </c>
      <c r="C7" t="s">
        <v>282</v>
      </c>
      <c r="D7" t="s">
        <v>270</v>
      </c>
      <c r="E7" t="s">
        <v>270</v>
      </c>
      <c r="F7">
        <v>30</v>
      </c>
      <c r="G7" t="s">
        <v>12</v>
      </c>
    </row>
    <row r="8" spans="1:7">
      <c r="A8" t="s">
        <v>285</v>
      </c>
      <c r="B8" t="s">
        <v>286</v>
      </c>
      <c r="C8" t="s">
        <v>282</v>
      </c>
      <c r="D8" t="s">
        <v>270</v>
      </c>
      <c r="E8" t="s">
        <v>270</v>
      </c>
      <c r="F8">
        <v>45</v>
      </c>
      <c r="G8" t="s">
        <v>12</v>
      </c>
    </row>
    <row r="9" spans="1:7">
      <c r="A9" t="s">
        <v>287</v>
      </c>
      <c r="B9" t="s">
        <v>288</v>
      </c>
      <c r="C9" t="s">
        <v>282</v>
      </c>
      <c r="D9" t="s">
        <v>289</v>
      </c>
      <c r="E9" t="s">
        <v>290</v>
      </c>
      <c r="F9">
        <v>45</v>
      </c>
      <c r="G9" t="s">
        <v>12</v>
      </c>
    </row>
    <row r="10" spans="1:7">
      <c r="A10" t="s">
        <v>291</v>
      </c>
      <c r="B10" t="s">
        <v>292</v>
      </c>
      <c r="C10" t="s">
        <v>268</v>
      </c>
      <c r="D10" t="s">
        <v>270</v>
      </c>
      <c r="E10" t="s">
        <v>270</v>
      </c>
      <c r="F10">
        <v>30</v>
      </c>
      <c r="G10" t="s">
        <v>12</v>
      </c>
    </row>
    <row r="11" spans="1:7">
      <c r="A11" t="s">
        <v>293</v>
      </c>
      <c r="B11" t="s">
        <v>294</v>
      </c>
      <c r="C11" t="s">
        <v>268</v>
      </c>
      <c r="D11" t="s">
        <v>270</v>
      </c>
      <c r="E11" t="s">
        <v>270</v>
      </c>
      <c r="F11">
        <v>30</v>
      </c>
      <c r="G11" t="s">
        <v>12</v>
      </c>
    </row>
    <row r="12" spans="1:7">
      <c r="A12" t="s">
        <v>295</v>
      </c>
      <c r="B12" t="s">
        <v>296</v>
      </c>
      <c r="C12" t="s">
        <v>297</v>
      </c>
      <c r="D12" t="s">
        <v>270</v>
      </c>
      <c r="E12" t="s">
        <v>270</v>
      </c>
      <c r="F12">
        <v>45</v>
      </c>
      <c r="G12" t="s">
        <v>12</v>
      </c>
    </row>
    <row r="13" spans="1:7">
      <c r="A13" t="s">
        <v>298</v>
      </c>
      <c r="B13" t="s">
        <v>299</v>
      </c>
      <c r="C13" t="s">
        <v>300</v>
      </c>
      <c r="D13" t="s">
        <v>301</v>
      </c>
      <c r="E13" t="s">
        <v>277</v>
      </c>
      <c r="F13">
        <v>30</v>
      </c>
      <c r="G13" t="s">
        <v>12</v>
      </c>
    </row>
    <row r="14" spans="1:7">
      <c r="A14" t="s">
        <v>302</v>
      </c>
      <c r="B14" t="s">
        <v>303</v>
      </c>
      <c r="C14" t="s">
        <v>268</v>
      </c>
      <c r="D14" t="s">
        <v>304</v>
      </c>
      <c r="E14" t="s">
        <v>290</v>
      </c>
      <c r="F14">
        <v>45</v>
      </c>
      <c r="G14" t="s">
        <v>12</v>
      </c>
    </row>
    <row r="15" spans="1:7">
      <c r="A15" t="s">
        <v>305</v>
      </c>
      <c r="B15" t="s">
        <v>306</v>
      </c>
      <c r="C15" t="s">
        <v>268</v>
      </c>
      <c r="D15" t="s">
        <v>304</v>
      </c>
      <c r="E15" t="s">
        <v>290</v>
      </c>
      <c r="F15">
        <v>30</v>
      </c>
      <c r="G15" t="s">
        <v>12</v>
      </c>
    </row>
    <row r="16" spans="1:7">
      <c r="A16" t="s">
        <v>307</v>
      </c>
      <c r="B16" t="s">
        <v>308</v>
      </c>
      <c r="C16" t="s">
        <v>309</v>
      </c>
      <c r="D16" t="s">
        <v>270</v>
      </c>
      <c r="E16" t="s">
        <v>270</v>
      </c>
      <c r="F16">
        <v>30</v>
      </c>
      <c r="G16" t="s">
        <v>12</v>
      </c>
    </row>
    <row r="17" spans="1:7">
      <c r="A17" t="s">
        <v>310</v>
      </c>
      <c r="B17" t="s">
        <v>311</v>
      </c>
      <c r="C17" t="s">
        <v>312</v>
      </c>
      <c r="D17" t="s">
        <v>313</v>
      </c>
      <c r="E17" t="s">
        <v>270</v>
      </c>
      <c r="F17">
        <v>45</v>
      </c>
      <c r="G17" t="s">
        <v>12</v>
      </c>
    </row>
    <row r="18" spans="1:7">
      <c r="A18" t="s">
        <v>314</v>
      </c>
      <c r="B18" t="s">
        <v>315</v>
      </c>
      <c r="C18" t="s">
        <v>316</v>
      </c>
      <c r="D18" t="s">
        <v>276</v>
      </c>
      <c r="E18" t="s">
        <v>277</v>
      </c>
      <c r="F18">
        <v>45</v>
      </c>
      <c r="G18" t="s">
        <v>12</v>
      </c>
    </row>
    <row r="19" spans="1:7">
      <c r="A19" t="s">
        <v>317</v>
      </c>
      <c r="B19" t="s">
        <v>318</v>
      </c>
      <c r="C19" t="s">
        <v>319</v>
      </c>
      <c r="D19" t="s">
        <v>270</v>
      </c>
      <c r="E19" t="s">
        <v>270</v>
      </c>
      <c r="F19">
        <v>60</v>
      </c>
      <c r="G19" t="s">
        <v>12</v>
      </c>
    </row>
    <row r="20" spans="1:7">
      <c r="A20" t="s">
        <v>320</v>
      </c>
      <c r="B20" t="s">
        <v>321</v>
      </c>
      <c r="C20" t="s">
        <v>319</v>
      </c>
      <c r="D20" t="s">
        <v>270</v>
      </c>
      <c r="E20" t="s">
        <v>270</v>
      </c>
      <c r="F20">
        <v>30</v>
      </c>
      <c r="G20" t="s">
        <v>12</v>
      </c>
    </row>
    <row r="21" spans="1:7">
      <c r="A21" t="s">
        <v>322</v>
      </c>
      <c r="B21" t="s">
        <v>323</v>
      </c>
      <c r="C21" t="s">
        <v>319</v>
      </c>
      <c r="D21" t="s">
        <v>324</v>
      </c>
      <c r="E21" t="s">
        <v>277</v>
      </c>
      <c r="F21">
        <v>45</v>
      </c>
      <c r="G21" t="s">
        <v>12</v>
      </c>
    </row>
    <row r="22" spans="1:7">
      <c r="A22" t="s">
        <v>325</v>
      </c>
      <c r="B22" t="s">
        <v>326</v>
      </c>
      <c r="C22" t="s">
        <v>100</v>
      </c>
      <c r="D22" t="s">
        <v>270</v>
      </c>
      <c r="E22" t="s">
        <v>270</v>
      </c>
      <c r="F22">
        <v>30</v>
      </c>
      <c r="G22" t="s">
        <v>12</v>
      </c>
    </row>
    <row r="23" spans="1:7">
      <c r="A23" t="s">
        <v>327</v>
      </c>
      <c r="B23" t="s">
        <v>328</v>
      </c>
      <c r="C23" t="s">
        <v>329</v>
      </c>
      <c r="D23" t="s">
        <v>276</v>
      </c>
      <c r="E23" t="s">
        <v>277</v>
      </c>
      <c r="F23">
        <v>30</v>
      </c>
      <c r="G23" t="s">
        <v>12</v>
      </c>
    </row>
    <row r="24" spans="1:7">
      <c r="A24" t="s">
        <v>330</v>
      </c>
      <c r="B24" t="s">
        <v>331</v>
      </c>
      <c r="C24" t="s">
        <v>316</v>
      </c>
      <c r="D24" t="s">
        <v>290</v>
      </c>
      <c r="E24" t="s">
        <v>290</v>
      </c>
      <c r="F24">
        <v>45</v>
      </c>
      <c r="G24" t="s">
        <v>12</v>
      </c>
    </row>
    <row r="25" spans="1:7">
      <c r="A25" t="s">
        <v>332</v>
      </c>
      <c r="B25" t="s">
        <v>333</v>
      </c>
      <c r="C25" t="s">
        <v>334</v>
      </c>
      <c r="D25" t="s">
        <v>335</v>
      </c>
      <c r="E25" t="s">
        <v>335</v>
      </c>
      <c r="F25">
        <v>30</v>
      </c>
      <c r="G25" t="s">
        <v>12</v>
      </c>
    </row>
    <row r="26" spans="1:7">
      <c r="A26" t="s">
        <v>336</v>
      </c>
      <c r="B26" t="s">
        <v>337</v>
      </c>
      <c r="C26" t="s">
        <v>338</v>
      </c>
      <c r="D26" t="s">
        <v>276</v>
      </c>
      <c r="E26" t="s">
        <v>277</v>
      </c>
      <c r="F26">
        <v>30</v>
      </c>
      <c r="G26" t="s">
        <v>12</v>
      </c>
    </row>
    <row r="27" spans="1:7">
      <c r="A27" t="s">
        <v>339</v>
      </c>
      <c r="B27" t="s">
        <v>340</v>
      </c>
      <c r="C27" t="s">
        <v>341</v>
      </c>
      <c r="D27" t="s">
        <v>270</v>
      </c>
      <c r="E27" t="s">
        <v>270</v>
      </c>
      <c r="F27">
        <v>30</v>
      </c>
      <c r="G27" t="s">
        <v>12</v>
      </c>
    </row>
    <row r="28" spans="1:7">
      <c r="A28" t="s">
        <v>342</v>
      </c>
      <c r="B28" t="s">
        <v>343</v>
      </c>
      <c r="C28" t="s">
        <v>338</v>
      </c>
      <c r="D28" t="s">
        <v>270</v>
      </c>
      <c r="E28" t="s">
        <v>270</v>
      </c>
      <c r="F28">
        <v>30</v>
      </c>
      <c r="G28" t="s">
        <v>12</v>
      </c>
    </row>
    <row r="29" spans="1:7">
      <c r="A29" t="s">
        <v>344</v>
      </c>
      <c r="B29" t="s">
        <v>345</v>
      </c>
      <c r="C29" t="s">
        <v>316</v>
      </c>
      <c r="D29" t="s">
        <v>269</v>
      </c>
      <c r="E29" t="s">
        <v>270</v>
      </c>
      <c r="F29">
        <v>30</v>
      </c>
      <c r="G29" t="s">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D076-4F98-48A8-8CD2-1C64F0C46FFD}">
  <dimension ref="A1:G134"/>
  <sheetViews>
    <sheetView topLeftCell="A108" workbookViewId="0">
      <selection activeCell="D134" sqref="D134"/>
    </sheetView>
  </sheetViews>
  <sheetFormatPr defaultRowHeight="14.4"/>
  <cols>
    <col min="1" max="1" width="9.33203125" customWidth="1"/>
    <col min="2" max="2" width="12" customWidth="1"/>
    <col min="3" max="3" width="12.33203125" customWidth="1"/>
    <col min="4" max="4" width="18.33203125" customWidth="1"/>
    <col min="5" max="5" width="17.21875" customWidth="1"/>
    <col min="6" max="6" width="15.21875" customWidth="1"/>
    <col min="7" max="7" width="12.88671875" customWidth="1"/>
  </cols>
  <sheetData>
    <row r="1" spans="1:7">
      <c r="A1" t="s">
        <v>121</v>
      </c>
      <c r="B1" t="s">
        <v>0</v>
      </c>
      <c r="C1" t="s">
        <v>55</v>
      </c>
      <c r="D1" t="s">
        <v>122</v>
      </c>
      <c r="E1" t="s">
        <v>123</v>
      </c>
      <c r="F1" t="s">
        <v>124</v>
      </c>
      <c r="G1" t="s">
        <v>125</v>
      </c>
    </row>
    <row r="2" spans="1:7">
      <c r="A2" t="s">
        <v>126</v>
      </c>
      <c r="B2" t="s">
        <v>8</v>
      </c>
      <c r="C2" t="s">
        <v>61</v>
      </c>
      <c r="D2">
        <v>1</v>
      </c>
      <c r="E2">
        <v>2</v>
      </c>
      <c r="F2" s="1">
        <v>45658</v>
      </c>
      <c r="G2" t="s">
        <v>12</v>
      </c>
    </row>
    <row r="3" spans="1:7">
      <c r="A3" t="s">
        <v>127</v>
      </c>
      <c r="B3" t="s">
        <v>8</v>
      </c>
      <c r="C3" t="s">
        <v>65</v>
      </c>
      <c r="D3">
        <v>1</v>
      </c>
      <c r="E3">
        <v>1.5</v>
      </c>
      <c r="F3" s="1">
        <v>45658</v>
      </c>
      <c r="G3" t="s">
        <v>12</v>
      </c>
    </row>
    <row r="4" spans="1:7">
      <c r="A4" t="s">
        <v>128</v>
      </c>
      <c r="B4" t="s">
        <v>8</v>
      </c>
      <c r="C4" t="s">
        <v>68</v>
      </c>
      <c r="D4">
        <v>1</v>
      </c>
      <c r="E4">
        <v>2</v>
      </c>
      <c r="F4" s="1">
        <v>45658</v>
      </c>
      <c r="G4" t="s">
        <v>12</v>
      </c>
    </row>
    <row r="5" spans="1:7">
      <c r="A5" t="s">
        <v>129</v>
      </c>
      <c r="B5" t="s">
        <v>8</v>
      </c>
      <c r="C5" t="s">
        <v>70</v>
      </c>
      <c r="D5">
        <v>1</v>
      </c>
      <c r="E5">
        <v>1</v>
      </c>
      <c r="F5" s="1">
        <v>45658</v>
      </c>
      <c r="G5" t="s">
        <v>12</v>
      </c>
    </row>
    <row r="6" spans="1:7">
      <c r="A6" t="s">
        <v>130</v>
      </c>
      <c r="B6" t="s">
        <v>8</v>
      </c>
      <c r="C6" t="s">
        <v>75</v>
      </c>
      <c r="D6">
        <v>1</v>
      </c>
      <c r="E6">
        <v>1</v>
      </c>
      <c r="F6" s="1">
        <v>45658</v>
      </c>
      <c r="G6" t="s">
        <v>12</v>
      </c>
    </row>
    <row r="7" spans="1:7">
      <c r="A7" t="s">
        <v>131</v>
      </c>
      <c r="B7" t="s">
        <v>8</v>
      </c>
      <c r="C7" t="s">
        <v>77</v>
      </c>
      <c r="D7">
        <v>1</v>
      </c>
      <c r="E7">
        <v>1</v>
      </c>
      <c r="F7" s="1">
        <v>45658</v>
      </c>
      <c r="G7" t="s">
        <v>12</v>
      </c>
    </row>
    <row r="8" spans="1:7">
      <c r="A8" t="s">
        <v>132</v>
      </c>
      <c r="B8" t="s">
        <v>8</v>
      </c>
      <c r="C8" t="s">
        <v>79</v>
      </c>
      <c r="D8">
        <v>1</v>
      </c>
      <c r="E8">
        <v>2</v>
      </c>
      <c r="F8" s="1">
        <v>45658</v>
      </c>
      <c r="G8" t="s">
        <v>12</v>
      </c>
    </row>
    <row r="9" spans="1:7">
      <c r="A9" t="s">
        <v>133</v>
      </c>
      <c r="B9" t="s">
        <v>8</v>
      </c>
      <c r="C9" t="s">
        <v>81</v>
      </c>
      <c r="D9">
        <v>2</v>
      </c>
      <c r="E9">
        <v>1</v>
      </c>
      <c r="F9" s="1">
        <v>45658</v>
      </c>
      <c r="G9" t="s">
        <v>12</v>
      </c>
    </row>
    <row r="10" spans="1:7">
      <c r="A10" t="s">
        <v>134</v>
      </c>
      <c r="B10" t="s">
        <v>8</v>
      </c>
      <c r="C10" t="s">
        <v>110</v>
      </c>
      <c r="D10">
        <v>1</v>
      </c>
      <c r="E10">
        <v>2</v>
      </c>
      <c r="F10" s="1">
        <v>45658</v>
      </c>
      <c r="G10" t="s">
        <v>12</v>
      </c>
    </row>
    <row r="11" spans="1:7">
      <c r="A11" t="s">
        <v>135</v>
      </c>
      <c r="B11" t="s">
        <v>8</v>
      </c>
      <c r="C11" t="s">
        <v>114</v>
      </c>
      <c r="D11">
        <v>1</v>
      </c>
      <c r="E11">
        <v>1</v>
      </c>
      <c r="F11" s="1">
        <v>45658</v>
      </c>
      <c r="G11" t="s">
        <v>12</v>
      </c>
    </row>
    <row r="12" spans="1:7">
      <c r="A12" t="s">
        <v>136</v>
      </c>
      <c r="B12" t="s">
        <v>8</v>
      </c>
      <c r="C12" t="s">
        <v>117</v>
      </c>
      <c r="D12">
        <v>1</v>
      </c>
      <c r="E12">
        <v>0.5</v>
      </c>
      <c r="F12" s="1">
        <v>45658</v>
      </c>
      <c r="G12" t="s">
        <v>12</v>
      </c>
    </row>
    <row r="13" spans="1:7">
      <c r="A13" t="s">
        <v>137</v>
      </c>
      <c r="B13" t="s">
        <v>8</v>
      </c>
      <c r="C13" t="s">
        <v>119</v>
      </c>
      <c r="D13">
        <v>1</v>
      </c>
      <c r="E13">
        <v>1</v>
      </c>
      <c r="F13" s="1">
        <v>45658</v>
      </c>
      <c r="G13" t="s">
        <v>12</v>
      </c>
    </row>
    <row r="14" spans="1:7">
      <c r="A14" t="s">
        <v>138</v>
      </c>
      <c r="B14" t="s">
        <v>13</v>
      </c>
      <c r="C14" t="s">
        <v>61</v>
      </c>
      <c r="D14">
        <v>1</v>
      </c>
      <c r="E14">
        <v>2</v>
      </c>
      <c r="F14" s="1">
        <v>45658</v>
      </c>
      <c r="G14" t="s">
        <v>12</v>
      </c>
    </row>
    <row r="15" spans="1:7">
      <c r="A15" t="s">
        <v>139</v>
      </c>
      <c r="B15" t="s">
        <v>13</v>
      </c>
      <c r="C15" t="s">
        <v>65</v>
      </c>
      <c r="D15">
        <v>1</v>
      </c>
      <c r="E15">
        <v>1.5</v>
      </c>
      <c r="F15" s="1">
        <v>45658</v>
      </c>
      <c r="G15" t="s">
        <v>12</v>
      </c>
    </row>
    <row r="16" spans="1:7">
      <c r="A16" t="s">
        <v>140</v>
      </c>
      <c r="B16" t="s">
        <v>13</v>
      </c>
      <c r="C16" t="s">
        <v>68</v>
      </c>
      <c r="D16">
        <v>1</v>
      </c>
      <c r="E16">
        <v>2</v>
      </c>
      <c r="F16" s="1">
        <v>45658</v>
      </c>
      <c r="G16" t="s">
        <v>12</v>
      </c>
    </row>
    <row r="17" spans="1:7">
      <c r="A17" t="s">
        <v>141</v>
      </c>
      <c r="B17" t="s">
        <v>13</v>
      </c>
      <c r="C17" t="s">
        <v>70</v>
      </c>
      <c r="D17">
        <v>1</v>
      </c>
      <c r="E17">
        <v>1</v>
      </c>
      <c r="F17" s="1">
        <v>45658</v>
      </c>
      <c r="G17" t="s">
        <v>12</v>
      </c>
    </row>
    <row r="18" spans="1:7">
      <c r="A18" t="s">
        <v>142</v>
      </c>
      <c r="B18" t="s">
        <v>13</v>
      </c>
      <c r="C18" t="s">
        <v>75</v>
      </c>
      <c r="D18">
        <v>1</v>
      </c>
      <c r="E18">
        <v>1</v>
      </c>
      <c r="F18" s="1">
        <v>45658</v>
      </c>
      <c r="G18" t="s">
        <v>12</v>
      </c>
    </row>
    <row r="19" spans="1:7">
      <c r="A19" t="s">
        <v>143</v>
      </c>
      <c r="B19" t="s">
        <v>13</v>
      </c>
      <c r="C19" t="s">
        <v>77</v>
      </c>
      <c r="D19">
        <v>1</v>
      </c>
      <c r="E19">
        <v>1</v>
      </c>
      <c r="F19" s="1">
        <v>45658</v>
      </c>
      <c r="G19" t="s">
        <v>12</v>
      </c>
    </row>
    <row r="20" spans="1:7">
      <c r="A20" t="s">
        <v>144</v>
      </c>
      <c r="B20" t="s">
        <v>13</v>
      </c>
      <c r="C20" t="s">
        <v>79</v>
      </c>
      <c r="D20">
        <v>1</v>
      </c>
      <c r="E20">
        <v>2</v>
      </c>
      <c r="F20" s="1">
        <v>45658</v>
      </c>
      <c r="G20" t="s">
        <v>12</v>
      </c>
    </row>
    <row r="21" spans="1:7">
      <c r="A21" t="s">
        <v>145</v>
      </c>
      <c r="B21" t="s">
        <v>13</v>
      </c>
      <c r="C21" t="s">
        <v>81</v>
      </c>
      <c r="D21">
        <v>2</v>
      </c>
      <c r="E21">
        <v>1</v>
      </c>
      <c r="F21" s="1">
        <v>45658</v>
      </c>
      <c r="G21" t="s">
        <v>12</v>
      </c>
    </row>
    <row r="22" spans="1:7">
      <c r="A22" t="s">
        <v>146</v>
      </c>
      <c r="B22" t="s">
        <v>13</v>
      </c>
      <c r="C22" t="s">
        <v>110</v>
      </c>
      <c r="D22">
        <v>1</v>
      </c>
      <c r="E22">
        <v>2</v>
      </c>
      <c r="F22" s="1">
        <v>45658</v>
      </c>
      <c r="G22" t="s">
        <v>12</v>
      </c>
    </row>
    <row r="23" spans="1:7">
      <c r="A23" t="s">
        <v>147</v>
      </c>
      <c r="B23" t="s">
        <v>13</v>
      </c>
      <c r="C23" t="s">
        <v>114</v>
      </c>
      <c r="D23">
        <v>1</v>
      </c>
      <c r="E23">
        <v>1</v>
      </c>
      <c r="F23" s="1">
        <v>45658</v>
      </c>
      <c r="G23" t="s">
        <v>12</v>
      </c>
    </row>
    <row r="24" spans="1:7">
      <c r="A24" t="s">
        <v>148</v>
      </c>
      <c r="B24" t="s">
        <v>13</v>
      </c>
      <c r="C24" t="s">
        <v>117</v>
      </c>
      <c r="D24">
        <v>1</v>
      </c>
      <c r="E24">
        <v>0.5</v>
      </c>
      <c r="F24" s="1">
        <v>45658</v>
      </c>
      <c r="G24" t="s">
        <v>12</v>
      </c>
    </row>
    <row r="25" spans="1:7">
      <c r="A25" t="s">
        <v>149</v>
      </c>
      <c r="B25" t="s">
        <v>13</v>
      </c>
      <c r="C25" t="s">
        <v>119</v>
      </c>
      <c r="D25">
        <v>1</v>
      </c>
      <c r="E25">
        <v>1</v>
      </c>
      <c r="F25" s="1">
        <v>45658</v>
      </c>
      <c r="G25" t="s">
        <v>12</v>
      </c>
    </row>
    <row r="26" spans="1:7">
      <c r="A26" t="s">
        <v>150</v>
      </c>
      <c r="B26" t="s">
        <v>17</v>
      </c>
      <c r="C26" t="s">
        <v>61</v>
      </c>
      <c r="D26">
        <v>1</v>
      </c>
      <c r="E26">
        <v>2</v>
      </c>
      <c r="F26" s="1">
        <v>45658</v>
      </c>
      <c r="G26" t="s">
        <v>12</v>
      </c>
    </row>
    <row r="27" spans="1:7">
      <c r="A27" t="s">
        <v>151</v>
      </c>
      <c r="B27" t="s">
        <v>17</v>
      </c>
      <c r="C27" t="s">
        <v>65</v>
      </c>
      <c r="D27">
        <v>1</v>
      </c>
      <c r="E27">
        <v>1.5</v>
      </c>
      <c r="F27" s="1">
        <v>45658</v>
      </c>
      <c r="G27" t="s">
        <v>12</v>
      </c>
    </row>
    <row r="28" spans="1:7">
      <c r="A28" t="s">
        <v>152</v>
      </c>
      <c r="B28" t="s">
        <v>17</v>
      </c>
      <c r="C28" t="s">
        <v>68</v>
      </c>
      <c r="D28">
        <v>1</v>
      </c>
      <c r="E28">
        <v>2</v>
      </c>
      <c r="F28" s="1">
        <v>45658</v>
      </c>
      <c r="G28" t="s">
        <v>12</v>
      </c>
    </row>
    <row r="29" spans="1:7">
      <c r="A29" t="s">
        <v>153</v>
      </c>
      <c r="B29" t="s">
        <v>17</v>
      </c>
      <c r="C29" t="s">
        <v>70</v>
      </c>
      <c r="D29">
        <v>1</v>
      </c>
      <c r="E29">
        <v>1</v>
      </c>
      <c r="F29" s="1">
        <v>45658</v>
      </c>
      <c r="G29" t="s">
        <v>12</v>
      </c>
    </row>
    <row r="30" spans="1:7">
      <c r="A30" t="s">
        <v>154</v>
      </c>
      <c r="B30" t="s">
        <v>17</v>
      </c>
      <c r="C30" t="s">
        <v>75</v>
      </c>
      <c r="D30">
        <v>1</v>
      </c>
      <c r="E30">
        <v>1</v>
      </c>
      <c r="F30" s="1">
        <v>45658</v>
      </c>
      <c r="G30" t="s">
        <v>12</v>
      </c>
    </row>
    <row r="31" spans="1:7">
      <c r="A31" t="s">
        <v>155</v>
      </c>
      <c r="B31" t="s">
        <v>17</v>
      </c>
      <c r="C31" t="s">
        <v>77</v>
      </c>
      <c r="D31">
        <v>1</v>
      </c>
      <c r="E31">
        <v>1</v>
      </c>
      <c r="F31" s="1">
        <v>45658</v>
      </c>
      <c r="G31" t="s">
        <v>12</v>
      </c>
    </row>
    <row r="32" spans="1:7">
      <c r="A32" t="s">
        <v>156</v>
      </c>
      <c r="B32" t="s">
        <v>17</v>
      </c>
      <c r="C32" t="s">
        <v>79</v>
      </c>
      <c r="D32">
        <v>1</v>
      </c>
      <c r="E32">
        <v>2</v>
      </c>
      <c r="F32" s="1">
        <v>45658</v>
      </c>
      <c r="G32" t="s">
        <v>12</v>
      </c>
    </row>
    <row r="33" spans="1:7">
      <c r="A33" t="s">
        <v>157</v>
      </c>
      <c r="B33" t="s">
        <v>17</v>
      </c>
      <c r="C33" t="s">
        <v>81</v>
      </c>
      <c r="D33">
        <v>2</v>
      </c>
      <c r="E33">
        <v>1</v>
      </c>
      <c r="F33" s="1">
        <v>45658</v>
      </c>
      <c r="G33" t="s">
        <v>12</v>
      </c>
    </row>
    <row r="34" spans="1:7">
      <c r="A34" t="s">
        <v>158</v>
      </c>
      <c r="B34" t="s">
        <v>17</v>
      </c>
      <c r="C34" t="s">
        <v>110</v>
      </c>
      <c r="D34">
        <v>1</v>
      </c>
      <c r="E34">
        <v>2</v>
      </c>
      <c r="F34" s="1">
        <v>45658</v>
      </c>
      <c r="G34" t="s">
        <v>12</v>
      </c>
    </row>
    <row r="35" spans="1:7">
      <c r="A35" t="s">
        <v>159</v>
      </c>
      <c r="B35" t="s">
        <v>17</v>
      </c>
      <c r="C35" t="s">
        <v>114</v>
      </c>
      <c r="D35">
        <v>1</v>
      </c>
      <c r="E35">
        <v>1</v>
      </c>
      <c r="F35" s="1">
        <v>45658</v>
      </c>
      <c r="G35" t="s">
        <v>12</v>
      </c>
    </row>
    <row r="36" spans="1:7">
      <c r="A36" t="s">
        <v>160</v>
      </c>
      <c r="B36" t="s">
        <v>17</v>
      </c>
      <c r="C36" t="s">
        <v>117</v>
      </c>
      <c r="D36">
        <v>1</v>
      </c>
      <c r="E36">
        <v>0.5</v>
      </c>
      <c r="F36" s="1">
        <v>45658</v>
      </c>
      <c r="G36" t="s">
        <v>12</v>
      </c>
    </row>
    <row r="37" spans="1:7">
      <c r="A37" t="s">
        <v>161</v>
      </c>
      <c r="B37" t="s">
        <v>17</v>
      </c>
      <c r="C37" t="s">
        <v>119</v>
      </c>
      <c r="D37">
        <v>1</v>
      </c>
      <c r="E37">
        <v>1</v>
      </c>
      <c r="F37" s="1">
        <v>45658</v>
      </c>
      <c r="G37" t="s">
        <v>12</v>
      </c>
    </row>
    <row r="38" spans="1:7">
      <c r="A38" t="s">
        <v>162</v>
      </c>
      <c r="B38" t="s">
        <v>21</v>
      </c>
      <c r="C38" t="s">
        <v>61</v>
      </c>
      <c r="D38">
        <v>1</v>
      </c>
      <c r="E38">
        <v>2</v>
      </c>
      <c r="F38" s="1">
        <v>45658</v>
      </c>
      <c r="G38" t="s">
        <v>12</v>
      </c>
    </row>
    <row r="39" spans="1:7">
      <c r="A39" t="s">
        <v>163</v>
      </c>
      <c r="B39" t="s">
        <v>21</v>
      </c>
      <c r="C39" t="s">
        <v>65</v>
      </c>
      <c r="D39">
        <v>1</v>
      </c>
      <c r="E39">
        <v>1.5</v>
      </c>
      <c r="F39" s="1">
        <v>45658</v>
      </c>
      <c r="G39" t="s">
        <v>12</v>
      </c>
    </row>
    <row r="40" spans="1:7">
      <c r="A40" t="s">
        <v>164</v>
      </c>
      <c r="B40" t="s">
        <v>21</v>
      </c>
      <c r="C40" t="s">
        <v>68</v>
      </c>
      <c r="D40">
        <v>1</v>
      </c>
      <c r="E40">
        <v>2</v>
      </c>
      <c r="F40" s="1">
        <v>45658</v>
      </c>
      <c r="G40" t="s">
        <v>12</v>
      </c>
    </row>
    <row r="41" spans="1:7">
      <c r="A41" t="s">
        <v>165</v>
      </c>
      <c r="B41" t="s">
        <v>21</v>
      </c>
      <c r="C41" t="s">
        <v>70</v>
      </c>
      <c r="D41">
        <v>1</v>
      </c>
      <c r="E41">
        <v>1</v>
      </c>
      <c r="F41" s="1">
        <v>45658</v>
      </c>
      <c r="G41" t="s">
        <v>12</v>
      </c>
    </row>
    <row r="42" spans="1:7">
      <c r="A42" t="s">
        <v>166</v>
      </c>
      <c r="B42" t="s">
        <v>21</v>
      </c>
      <c r="C42" t="s">
        <v>75</v>
      </c>
      <c r="D42">
        <v>1</v>
      </c>
      <c r="E42">
        <v>1</v>
      </c>
      <c r="F42" s="1">
        <v>45658</v>
      </c>
      <c r="G42" t="s">
        <v>12</v>
      </c>
    </row>
    <row r="43" spans="1:7">
      <c r="A43" t="s">
        <v>167</v>
      </c>
      <c r="B43" t="s">
        <v>21</v>
      </c>
      <c r="C43" t="s">
        <v>77</v>
      </c>
      <c r="D43">
        <v>1</v>
      </c>
      <c r="E43">
        <v>1</v>
      </c>
      <c r="F43" s="1">
        <v>45658</v>
      </c>
      <c r="G43" t="s">
        <v>12</v>
      </c>
    </row>
    <row r="44" spans="1:7">
      <c r="A44" t="s">
        <v>168</v>
      </c>
      <c r="B44" t="s">
        <v>21</v>
      </c>
      <c r="C44" t="s">
        <v>79</v>
      </c>
      <c r="D44">
        <v>1</v>
      </c>
      <c r="E44">
        <v>2</v>
      </c>
      <c r="F44" s="1">
        <v>45658</v>
      </c>
      <c r="G44" t="s">
        <v>12</v>
      </c>
    </row>
    <row r="45" spans="1:7">
      <c r="A45" t="s">
        <v>169</v>
      </c>
      <c r="B45" t="s">
        <v>21</v>
      </c>
      <c r="C45" t="s">
        <v>81</v>
      </c>
      <c r="D45">
        <v>2</v>
      </c>
      <c r="E45">
        <v>1</v>
      </c>
      <c r="F45" s="1">
        <v>45658</v>
      </c>
      <c r="G45" t="s">
        <v>12</v>
      </c>
    </row>
    <row r="46" spans="1:7">
      <c r="A46" t="s">
        <v>170</v>
      </c>
      <c r="B46" t="s">
        <v>21</v>
      </c>
      <c r="C46" t="s">
        <v>108</v>
      </c>
      <c r="D46">
        <v>2</v>
      </c>
      <c r="E46">
        <v>1.5</v>
      </c>
      <c r="F46" s="1">
        <v>45658</v>
      </c>
      <c r="G46" t="s">
        <v>12</v>
      </c>
    </row>
    <row r="47" spans="1:7">
      <c r="A47" t="s">
        <v>171</v>
      </c>
      <c r="B47" t="s">
        <v>21</v>
      </c>
      <c r="C47" t="s">
        <v>110</v>
      </c>
      <c r="D47">
        <v>1</v>
      </c>
      <c r="E47">
        <v>2</v>
      </c>
      <c r="F47" s="1">
        <v>45658</v>
      </c>
      <c r="G47" t="s">
        <v>12</v>
      </c>
    </row>
    <row r="48" spans="1:7">
      <c r="A48" t="s">
        <v>172</v>
      </c>
      <c r="B48" t="s">
        <v>21</v>
      </c>
      <c r="C48" t="s">
        <v>114</v>
      </c>
      <c r="D48">
        <v>1</v>
      </c>
      <c r="E48">
        <v>1</v>
      </c>
      <c r="F48" s="1">
        <v>45658</v>
      </c>
      <c r="G48" t="s">
        <v>12</v>
      </c>
    </row>
    <row r="49" spans="1:7">
      <c r="A49" t="s">
        <v>173</v>
      </c>
      <c r="B49" t="s">
        <v>21</v>
      </c>
      <c r="C49" t="s">
        <v>117</v>
      </c>
      <c r="D49">
        <v>1</v>
      </c>
      <c r="E49">
        <v>0.5</v>
      </c>
      <c r="F49" s="1">
        <v>45658</v>
      </c>
      <c r="G49" t="s">
        <v>12</v>
      </c>
    </row>
    <row r="50" spans="1:7">
      <c r="A50" t="s">
        <v>174</v>
      </c>
      <c r="B50" t="s">
        <v>21</v>
      </c>
      <c r="C50" t="s">
        <v>119</v>
      </c>
      <c r="D50">
        <v>1</v>
      </c>
      <c r="E50">
        <v>1</v>
      </c>
      <c r="F50" s="1">
        <v>45658</v>
      </c>
      <c r="G50" t="s">
        <v>12</v>
      </c>
    </row>
    <row r="51" spans="1:7">
      <c r="A51" t="s">
        <v>175</v>
      </c>
      <c r="B51" t="s">
        <v>25</v>
      </c>
      <c r="C51" t="s">
        <v>61</v>
      </c>
      <c r="D51">
        <v>1</v>
      </c>
      <c r="E51">
        <v>2</v>
      </c>
      <c r="F51" s="1">
        <v>45658</v>
      </c>
      <c r="G51" t="s">
        <v>12</v>
      </c>
    </row>
    <row r="52" spans="1:7">
      <c r="A52" t="s">
        <v>176</v>
      </c>
      <c r="B52" t="s">
        <v>25</v>
      </c>
      <c r="C52" t="s">
        <v>65</v>
      </c>
      <c r="D52">
        <v>1</v>
      </c>
      <c r="E52">
        <v>1.5</v>
      </c>
      <c r="F52" s="1">
        <v>45658</v>
      </c>
      <c r="G52" t="s">
        <v>12</v>
      </c>
    </row>
    <row r="53" spans="1:7">
      <c r="A53" t="s">
        <v>177</v>
      </c>
      <c r="B53" t="s">
        <v>25</v>
      </c>
      <c r="C53" t="s">
        <v>68</v>
      </c>
      <c r="D53">
        <v>1</v>
      </c>
      <c r="E53">
        <v>2</v>
      </c>
      <c r="F53" s="1">
        <v>45658</v>
      </c>
      <c r="G53" t="s">
        <v>12</v>
      </c>
    </row>
    <row r="54" spans="1:7">
      <c r="A54" t="s">
        <v>178</v>
      </c>
      <c r="B54" t="s">
        <v>25</v>
      </c>
      <c r="C54" t="s">
        <v>70</v>
      </c>
      <c r="D54">
        <v>1</v>
      </c>
      <c r="E54">
        <v>1</v>
      </c>
      <c r="F54" s="1">
        <v>45658</v>
      </c>
      <c r="G54" t="s">
        <v>12</v>
      </c>
    </row>
    <row r="55" spans="1:7">
      <c r="A55" t="s">
        <v>179</v>
      </c>
      <c r="B55" t="s">
        <v>25</v>
      </c>
      <c r="C55" t="s">
        <v>73</v>
      </c>
      <c r="D55">
        <v>1</v>
      </c>
      <c r="E55">
        <v>2</v>
      </c>
      <c r="F55" s="1">
        <v>45658</v>
      </c>
      <c r="G55" t="s">
        <v>12</v>
      </c>
    </row>
    <row r="56" spans="1:7">
      <c r="A56" t="s">
        <v>180</v>
      </c>
      <c r="B56" t="s">
        <v>25</v>
      </c>
      <c r="C56" t="s">
        <v>75</v>
      </c>
      <c r="D56">
        <v>1</v>
      </c>
      <c r="E56">
        <v>1</v>
      </c>
      <c r="F56" s="1">
        <v>45658</v>
      </c>
      <c r="G56" t="s">
        <v>12</v>
      </c>
    </row>
    <row r="57" spans="1:7">
      <c r="A57" t="s">
        <v>181</v>
      </c>
      <c r="B57" t="s">
        <v>25</v>
      </c>
      <c r="C57" t="s">
        <v>77</v>
      </c>
      <c r="D57">
        <v>1</v>
      </c>
      <c r="E57">
        <v>1</v>
      </c>
      <c r="F57" s="1">
        <v>45658</v>
      </c>
      <c r="G57" t="s">
        <v>12</v>
      </c>
    </row>
    <row r="58" spans="1:7">
      <c r="A58" t="s">
        <v>182</v>
      </c>
      <c r="B58" t="s">
        <v>25</v>
      </c>
      <c r="C58" t="s">
        <v>79</v>
      </c>
      <c r="D58">
        <v>1</v>
      </c>
      <c r="E58">
        <v>2</v>
      </c>
      <c r="F58" s="1">
        <v>45658</v>
      </c>
      <c r="G58" t="s">
        <v>12</v>
      </c>
    </row>
    <row r="59" spans="1:7">
      <c r="A59" t="s">
        <v>183</v>
      </c>
      <c r="B59" t="s">
        <v>25</v>
      </c>
      <c r="C59" t="s">
        <v>81</v>
      </c>
      <c r="D59">
        <v>2</v>
      </c>
      <c r="E59">
        <v>1</v>
      </c>
      <c r="F59" s="1">
        <v>45658</v>
      </c>
      <c r="G59" t="s">
        <v>12</v>
      </c>
    </row>
    <row r="60" spans="1:7">
      <c r="A60" t="s">
        <v>184</v>
      </c>
      <c r="B60" t="s">
        <v>25</v>
      </c>
      <c r="C60" t="s">
        <v>108</v>
      </c>
      <c r="D60">
        <v>2</v>
      </c>
      <c r="E60">
        <v>1.5</v>
      </c>
      <c r="F60" s="1">
        <v>45658</v>
      </c>
      <c r="G60" t="s">
        <v>12</v>
      </c>
    </row>
    <row r="61" spans="1:7">
      <c r="A61" t="s">
        <v>185</v>
      </c>
      <c r="B61" t="s">
        <v>25</v>
      </c>
      <c r="C61" t="s">
        <v>110</v>
      </c>
      <c r="D61">
        <v>1</v>
      </c>
      <c r="E61">
        <v>2</v>
      </c>
      <c r="F61" s="1">
        <v>45658</v>
      </c>
      <c r="G61" t="s">
        <v>12</v>
      </c>
    </row>
    <row r="62" spans="1:7">
      <c r="A62" t="s">
        <v>186</v>
      </c>
      <c r="B62" t="s">
        <v>25</v>
      </c>
      <c r="C62" t="s">
        <v>114</v>
      </c>
      <c r="D62">
        <v>1</v>
      </c>
      <c r="E62">
        <v>1</v>
      </c>
      <c r="F62" s="1">
        <v>45658</v>
      </c>
      <c r="G62" t="s">
        <v>12</v>
      </c>
    </row>
    <row r="63" spans="1:7">
      <c r="A63" t="s">
        <v>187</v>
      </c>
      <c r="B63" t="s">
        <v>25</v>
      </c>
      <c r="C63" t="s">
        <v>117</v>
      </c>
      <c r="D63">
        <v>1</v>
      </c>
      <c r="E63">
        <v>0.5</v>
      </c>
      <c r="F63" s="1">
        <v>45658</v>
      </c>
      <c r="G63" t="s">
        <v>12</v>
      </c>
    </row>
    <row r="64" spans="1:7">
      <c r="A64" t="s">
        <v>188</v>
      </c>
      <c r="B64" t="s">
        <v>25</v>
      </c>
      <c r="C64" t="s">
        <v>119</v>
      </c>
      <c r="D64">
        <v>1</v>
      </c>
      <c r="E64">
        <v>1</v>
      </c>
      <c r="F64" s="1">
        <v>45658</v>
      </c>
      <c r="G64" t="s">
        <v>12</v>
      </c>
    </row>
    <row r="65" spans="1:7">
      <c r="A65" t="s">
        <v>189</v>
      </c>
      <c r="B65" t="s">
        <v>29</v>
      </c>
      <c r="C65" t="s">
        <v>61</v>
      </c>
      <c r="D65">
        <v>1</v>
      </c>
      <c r="E65">
        <v>2</v>
      </c>
      <c r="F65" s="1">
        <v>45658</v>
      </c>
      <c r="G65" t="s">
        <v>12</v>
      </c>
    </row>
    <row r="66" spans="1:7">
      <c r="A66" t="s">
        <v>190</v>
      </c>
      <c r="B66" t="s">
        <v>29</v>
      </c>
      <c r="C66" t="s">
        <v>65</v>
      </c>
      <c r="D66">
        <v>1</v>
      </c>
      <c r="E66">
        <v>1.5</v>
      </c>
      <c r="F66" s="1">
        <v>45658</v>
      </c>
      <c r="G66" t="s">
        <v>12</v>
      </c>
    </row>
    <row r="67" spans="1:7">
      <c r="A67" t="s">
        <v>191</v>
      </c>
      <c r="B67" t="s">
        <v>29</v>
      </c>
      <c r="C67" t="s">
        <v>68</v>
      </c>
      <c r="D67">
        <v>1</v>
      </c>
      <c r="E67">
        <v>2</v>
      </c>
      <c r="F67" s="1">
        <v>45658</v>
      </c>
      <c r="G67" t="s">
        <v>12</v>
      </c>
    </row>
    <row r="68" spans="1:7">
      <c r="A68" t="s">
        <v>192</v>
      </c>
      <c r="B68" t="s">
        <v>29</v>
      </c>
      <c r="C68" t="s">
        <v>75</v>
      </c>
      <c r="D68">
        <v>1</v>
      </c>
      <c r="E68">
        <v>1</v>
      </c>
      <c r="F68" s="1">
        <v>45658</v>
      </c>
      <c r="G68" t="s">
        <v>12</v>
      </c>
    </row>
    <row r="69" spans="1:7">
      <c r="A69" t="s">
        <v>193</v>
      </c>
      <c r="B69" t="s">
        <v>29</v>
      </c>
      <c r="C69" t="s">
        <v>79</v>
      </c>
      <c r="D69">
        <v>1</v>
      </c>
      <c r="E69">
        <v>2</v>
      </c>
      <c r="F69" s="1">
        <v>45658</v>
      </c>
      <c r="G69" t="s">
        <v>12</v>
      </c>
    </row>
    <row r="70" spans="1:7">
      <c r="A70" t="s">
        <v>194</v>
      </c>
      <c r="B70" t="s">
        <v>29</v>
      </c>
      <c r="C70" t="s">
        <v>81</v>
      </c>
      <c r="D70">
        <v>2</v>
      </c>
      <c r="E70">
        <v>1</v>
      </c>
      <c r="F70" s="1">
        <v>45658</v>
      </c>
      <c r="G70" t="s">
        <v>12</v>
      </c>
    </row>
    <row r="71" spans="1:7">
      <c r="A71" t="s">
        <v>195</v>
      </c>
      <c r="B71" t="s">
        <v>29</v>
      </c>
      <c r="C71" t="s">
        <v>97</v>
      </c>
      <c r="D71">
        <v>1</v>
      </c>
      <c r="E71">
        <v>2</v>
      </c>
      <c r="F71" s="1">
        <v>45658</v>
      </c>
      <c r="G71" t="s">
        <v>12</v>
      </c>
    </row>
    <row r="72" spans="1:7">
      <c r="A72" t="s">
        <v>196</v>
      </c>
      <c r="B72" t="s">
        <v>29</v>
      </c>
      <c r="C72" t="s">
        <v>110</v>
      </c>
      <c r="D72">
        <v>1</v>
      </c>
      <c r="E72">
        <v>2</v>
      </c>
      <c r="F72" s="1">
        <v>45658</v>
      </c>
      <c r="G72" t="s">
        <v>12</v>
      </c>
    </row>
    <row r="73" spans="1:7">
      <c r="A73" t="s">
        <v>197</v>
      </c>
      <c r="B73" t="s">
        <v>29</v>
      </c>
      <c r="C73" t="s">
        <v>114</v>
      </c>
      <c r="D73">
        <v>1</v>
      </c>
      <c r="E73">
        <v>1</v>
      </c>
      <c r="F73" s="1">
        <v>45658</v>
      </c>
      <c r="G73" t="s">
        <v>12</v>
      </c>
    </row>
    <row r="74" spans="1:7">
      <c r="A74" t="s">
        <v>198</v>
      </c>
      <c r="B74" t="s">
        <v>29</v>
      </c>
      <c r="C74" t="s">
        <v>117</v>
      </c>
      <c r="D74">
        <v>1</v>
      </c>
      <c r="E74">
        <v>0.5</v>
      </c>
      <c r="F74" s="1">
        <v>45658</v>
      </c>
      <c r="G74" t="s">
        <v>12</v>
      </c>
    </row>
    <row r="75" spans="1:7">
      <c r="A75" t="s">
        <v>199</v>
      </c>
      <c r="B75" t="s">
        <v>29</v>
      </c>
      <c r="C75" t="s">
        <v>119</v>
      </c>
      <c r="D75">
        <v>1</v>
      </c>
      <c r="E75">
        <v>1</v>
      </c>
      <c r="F75" s="1">
        <v>45658</v>
      </c>
      <c r="G75" t="s">
        <v>12</v>
      </c>
    </row>
    <row r="76" spans="1:7">
      <c r="A76" t="s">
        <v>200</v>
      </c>
      <c r="B76" t="s">
        <v>33</v>
      </c>
      <c r="C76" t="s">
        <v>61</v>
      </c>
      <c r="D76">
        <v>1</v>
      </c>
      <c r="E76">
        <v>2</v>
      </c>
      <c r="F76" s="1">
        <v>45658</v>
      </c>
      <c r="G76" t="s">
        <v>12</v>
      </c>
    </row>
    <row r="77" spans="1:7">
      <c r="A77" t="s">
        <v>201</v>
      </c>
      <c r="B77" t="s">
        <v>33</v>
      </c>
      <c r="C77" t="s">
        <v>65</v>
      </c>
      <c r="D77">
        <v>1</v>
      </c>
      <c r="E77">
        <v>1.5</v>
      </c>
      <c r="F77" s="1">
        <v>45658</v>
      </c>
      <c r="G77" t="s">
        <v>12</v>
      </c>
    </row>
    <row r="78" spans="1:7">
      <c r="A78" t="s">
        <v>202</v>
      </c>
      <c r="B78" t="s">
        <v>33</v>
      </c>
      <c r="C78" t="s">
        <v>68</v>
      </c>
      <c r="D78">
        <v>1</v>
      </c>
      <c r="E78">
        <v>2</v>
      </c>
      <c r="F78" s="1">
        <v>45658</v>
      </c>
      <c r="G78" t="s">
        <v>12</v>
      </c>
    </row>
    <row r="79" spans="1:7">
      <c r="A79" t="s">
        <v>203</v>
      </c>
      <c r="B79" t="s">
        <v>33</v>
      </c>
      <c r="C79" t="s">
        <v>75</v>
      </c>
      <c r="D79">
        <v>1</v>
      </c>
      <c r="E79">
        <v>1</v>
      </c>
      <c r="F79" s="1">
        <v>45658</v>
      </c>
      <c r="G79" t="s">
        <v>12</v>
      </c>
    </row>
    <row r="80" spans="1:7">
      <c r="A80" t="s">
        <v>204</v>
      </c>
      <c r="B80" t="s">
        <v>33</v>
      </c>
      <c r="C80" t="s">
        <v>79</v>
      </c>
      <c r="D80">
        <v>1</v>
      </c>
      <c r="E80">
        <v>2</v>
      </c>
      <c r="F80" s="1">
        <v>45658</v>
      </c>
      <c r="G80" t="s">
        <v>12</v>
      </c>
    </row>
    <row r="81" spans="1:7">
      <c r="A81" t="s">
        <v>205</v>
      </c>
      <c r="B81" t="s">
        <v>33</v>
      </c>
      <c r="C81" t="s">
        <v>81</v>
      </c>
      <c r="D81">
        <v>2</v>
      </c>
      <c r="E81">
        <v>1</v>
      </c>
      <c r="F81" s="1">
        <v>45658</v>
      </c>
      <c r="G81" t="s">
        <v>12</v>
      </c>
    </row>
    <row r="82" spans="1:7">
      <c r="A82" t="s">
        <v>206</v>
      </c>
      <c r="B82" t="s">
        <v>33</v>
      </c>
      <c r="C82" t="s">
        <v>110</v>
      </c>
      <c r="D82">
        <v>1</v>
      </c>
      <c r="E82">
        <v>2</v>
      </c>
      <c r="F82" s="1">
        <v>45658</v>
      </c>
      <c r="G82" t="s">
        <v>12</v>
      </c>
    </row>
    <row r="83" spans="1:7">
      <c r="A83" t="s">
        <v>207</v>
      </c>
      <c r="B83" t="s">
        <v>33</v>
      </c>
      <c r="C83" t="s">
        <v>114</v>
      </c>
      <c r="D83">
        <v>1</v>
      </c>
      <c r="E83">
        <v>1</v>
      </c>
      <c r="F83" s="1">
        <v>45658</v>
      </c>
      <c r="G83" t="s">
        <v>12</v>
      </c>
    </row>
    <row r="84" spans="1:7">
      <c r="A84" t="s">
        <v>208</v>
      </c>
      <c r="B84" t="s">
        <v>33</v>
      </c>
      <c r="C84" t="s">
        <v>117</v>
      </c>
      <c r="D84">
        <v>1</v>
      </c>
      <c r="E84">
        <v>0.5</v>
      </c>
      <c r="F84" s="1">
        <v>45658</v>
      </c>
      <c r="G84" t="s">
        <v>12</v>
      </c>
    </row>
    <row r="85" spans="1:7">
      <c r="A85" t="s">
        <v>209</v>
      </c>
      <c r="B85" t="s">
        <v>33</v>
      </c>
      <c r="C85" t="s">
        <v>119</v>
      </c>
      <c r="D85">
        <v>1</v>
      </c>
      <c r="E85">
        <v>1</v>
      </c>
      <c r="F85" s="1">
        <v>45658</v>
      </c>
      <c r="G85" t="s">
        <v>12</v>
      </c>
    </row>
    <row r="86" spans="1:7">
      <c r="A86" t="s">
        <v>210</v>
      </c>
      <c r="B86" t="s">
        <v>37</v>
      </c>
      <c r="C86" t="s">
        <v>61</v>
      </c>
      <c r="D86">
        <v>1</v>
      </c>
      <c r="E86">
        <v>2</v>
      </c>
      <c r="F86" s="1">
        <v>45658</v>
      </c>
      <c r="G86" t="s">
        <v>12</v>
      </c>
    </row>
    <row r="87" spans="1:7">
      <c r="A87" t="s">
        <v>211</v>
      </c>
      <c r="B87" t="s">
        <v>37</v>
      </c>
      <c r="C87" t="s">
        <v>65</v>
      </c>
      <c r="D87">
        <v>1</v>
      </c>
      <c r="E87">
        <v>1.5</v>
      </c>
      <c r="F87" s="1">
        <v>45658</v>
      </c>
      <c r="G87" t="s">
        <v>12</v>
      </c>
    </row>
    <row r="88" spans="1:7">
      <c r="A88" t="s">
        <v>212</v>
      </c>
      <c r="B88" t="s">
        <v>37</v>
      </c>
      <c r="C88" t="s">
        <v>75</v>
      </c>
      <c r="D88">
        <v>1</v>
      </c>
      <c r="E88">
        <v>1</v>
      </c>
      <c r="F88" s="1">
        <v>45658</v>
      </c>
      <c r="G88" t="s">
        <v>12</v>
      </c>
    </row>
    <row r="89" spans="1:7">
      <c r="A89" t="s">
        <v>213</v>
      </c>
      <c r="B89" t="s">
        <v>37</v>
      </c>
      <c r="C89" t="s">
        <v>79</v>
      </c>
      <c r="D89">
        <v>1</v>
      </c>
      <c r="E89">
        <v>2</v>
      </c>
      <c r="F89" s="1">
        <v>45658</v>
      </c>
      <c r="G89" t="s">
        <v>12</v>
      </c>
    </row>
    <row r="90" spans="1:7">
      <c r="A90" t="s">
        <v>214</v>
      </c>
      <c r="B90" t="s">
        <v>37</v>
      </c>
      <c r="C90" t="s">
        <v>81</v>
      </c>
      <c r="D90">
        <v>2</v>
      </c>
      <c r="E90">
        <v>1</v>
      </c>
      <c r="F90" s="1">
        <v>45658</v>
      </c>
      <c r="G90" t="s">
        <v>12</v>
      </c>
    </row>
    <row r="91" spans="1:7">
      <c r="A91" t="s">
        <v>215</v>
      </c>
      <c r="B91" t="s">
        <v>37</v>
      </c>
      <c r="C91" t="s">
        <v>84</v>
      </c>
      <c r="D91">
        <v>0.35</v>
      </c>
      <c r="E91">
        <v>3</v>
      </c>
      <c r="F91" s="1">
        <v>45658</v>
      </c>
      <c r="G91" t="s">
        <v>12</v>
      </c>
    </row>
    <row r="92" spans="1:7">
      <c r="A92" t="s">
        <v>216</v>
      </c>
      <c r="B92" t="s">
        <v>37</v>
      </c>
      <c r="C92" t="s">
        <v>89</v>
      </c>
      <c r="D92">
        <v>1.5</v>
      </c>
      <c r="E92">
        <v>2.5</v>
      </c>
      <c r="F92" s="1">
        <v>45658</v>
      </c>
      <c r="G92" t="s">
        <v>12</v>
      </c>
    </row>
    <row r="93" spans="1:7">
      <c r="A93" t="s">
        <v>217</v>
      </c>
      <c r="B93" t="s">
        <v>37</v>
      </c>
      <c r="C93" t="s">
        <v>110</v>
      </c>
      <c r="D93">
        <v>1</v>
      </c>
      <c r="E93">
        <v>2</v>
      </c>
      <c r="F93" s="1">
        <v>45658</v>
      </c>
      <c r="G93" t="s">
        <v>12</v>
      </c>
    </row>
    <row r="94" spans="1:7">
      <c r="A94" t="s">
        <v>218</v>
      </c>
      <c r="B94" t="s">
        <v>37</v>
      </c>
      <c r="C94" t="s">
        <v>114</v>
      </c>
      <c r="D94">
        <v>1</v>
      </c>
      <c r="E94">
        <v>1</v>
      </c>
      <c r="F94" s="1">
        <v>45658</v>
      </c>
      <c r="G94" t="s">
        <v>12</v>
      </c>
    </row>
    <row r="95" spans="1:7">
      <c r="A95" t="s">
        <v>219</v>
      </c>
      <c r="B95" t="s">
        <v>37</v>
      </c>
      <c r="C95" t="s">
        <v>117</v>
      </c>
      <c r="D95">
        <v>1</v>
      </c>
      <c r="E95">
        <v>0.5</v>
      </c>
      <c r="F95" s="1">
        <v>45658</v>
      </c>
      <c r="G95" t="s">
        <v>12</v>
      </c>
    </row>
    <row r="96" spans="1:7">
      <c r="A96" t="s">
        <v>220</v>
      </c>
      <c r="B96" t="s">
        <v>37</v>
      </c>
      <c r="C96" t="s">
        <v>119</v>
      </c>
      <c r="D96">
        <v>1</v>
      </c>
      <c r="E96">
        <v>1</v>
      </c>
      <c r="F96" s="1">
        <v>45658</v>
      </c>
      <c r="G96" t="s">
        <v>12</v>
      </c>
    </row>
    <row r="97" spans="1:7">
      <c r="A97" t="s">
        <v>221</v>
      </c>
      <c r="B97" t="s">
        <v>41</v>
      </c>
      <c r="C97" t="s">
        <v>75</v>
      </c>
      <c r="D97">
        <v>1</v>
      </c>
      <c r="E97">
        <v>1</v>
      </c>
      <c r="F97" s="1">
        <v>45658</v>
      </c>
      <c r="G97" t="s">
        <v>12</v>
      </c>
    </row>
    <row r="98" spans="1:7">
      <c r="A98" t="s">
        <v>222</v>
      </c>
      <c r="B98" t="s">
        <v>41</v>
      </c>
      <c r="C98" t="s">
        <v>91</v>
      </c>
      <c r="D98">
        <v>1</v>
      </c>
      <c r="E98">
        <v>2.5</v>
      </c>
      <c r="F98" s="1">
        <v>45658</v>
      </c>
      <c r="G98" t="s">
        <v>12</v>
      </c>
    </row>
    <row r="99" spans="1:7">
      <c r="A99" t="s">
        <v>223</v>
      </c>
      <c r="B99" t="s">
        <v>41</v>
      </c>
      <c r="C99" t="s">
        <v>93</v>
      </c>
      <c r="D99">
        <v>1</v>
      </c>
      <c r="E99">
        <v>2</v>
      </c>
      <c r="F99" s="1">
        <v>45658</v>
      </c>
      <c r="G99" t="s">
        <v>12</v>
      </c>
    </row>
    <row r="100" spans="1:7">
      <c r="A100" t="s">
        <v>224</v>
      </c>
      <c r="B100" t="s">
        <v>41</v>
      </c>
      <c r="C100" t="s">
        <v>95</v>
      </c>
      <c r="D100">
        <v>1</v>
      </c>
      <c r="E100">
        <v>1.5</v>
      </c>
      <c r="F100" s="1">
        <v>45658</v>
      </c>
      <c r="G100" t="s">
        <v>12</v>
      </c>
    </row>
    <row r="101" spans="1:7">
      <c r="A101" t="s">
        <v>225</v>
      </c>
      <c r="B101" t="s">
        <v>41</v>
      </c>
      <c r="C101" t="s">
        <v>97</v>
      </c>
      <c r="D101">
        <v>1</v>
      </c>
      <c r="E101">
        <v>1</v>
      </c>
      <c r="F101" s="1">
        <v>45658</v>
      </c>
      <c r="G101" t="s">
        <v>12</v>
      </c>
    </row>
    <row r="102" spans="1:7">
      <c r="A102" t="s">
        <v>226</v>
      </c>
      <c r="B102" t="s">
        <v>41</v>
      </c>
      <c r="C102" t="s">
        <v>99</v>
      </c>
      <c r="D102">
        <v>0.5</v>
      </c>
      <c r="E102">
        <v>3</v>
      </c>
      <c r="F102" s="1">
        <v>45658</v>
      </c>
      <c r="G102" t="s">
        <v>12</v>
      </c>
    </row>
    <row r="103" spans="1:7">
      <c r="A103" t="s">
        <v>227</v>
      </c>
      <c r="B103" t="s">
        <v>41</v>
      </c>
      <c r="C103" t="s">
        <v>102</v>
      </c>
      <c r="D103">
        <v>1</v>
      </c>
      <c r="E103">
        <v>2</v>
      </c>
      <c r="F103" s="1">
        <v>45658</v>
      </c>
      <c r="G103" t="s">
        <v>12</v>
      </c>
    </row>
    <row r="104" spans="1:7">
      <c r="A104" t="s">
        <v>228</v>
      </c>
      <c r="B104" t="s">
        <v>41</v>
      </c>
      <c r="C104" t="s">
        <v>108</v>
      </c>
      <c r="D104">
        <v>2</v>
      </c>
      <c r="E104">
        <v>1.5</v>
      </c>
      <c r="F104" s="1">
        <v>45658</v>
      </c>
      <c r="G104" t="s">
        <v>12</v>
      </c>
    </row>
    <row r="105" spans="1:7">
      <c r="A105" t="s">
        <v>229</v>
      </c>
      <c r="B105" t="s">
        <v>41</v>
      </c>
      <c r="C105" t="s">
        <v>110</v>
      </c>
      <c r="D105">
        <v>1</v>
      </c>
      <c r="E105">
        <v>2</v>
      </c>
      <c r="F105" s="1">
        <v>45658</v>
      </c>
      <c r="G105" t="s">
        <v>12</v>
      </c>
    </row>
    <row r="106" spans="1:7">
      <c r="A106" t="s">
        <v>230</v>
      </c>
      <c r="B106" t="s">
        <v>41</v>
      </c>
      <c r="C106" t="s">
        <v>114</v>
      </c>
      <c r="D106">
        <v>1</v>
      </c>
      <c r="E106">
        <v>1</v>
      </c>
      <c r="F106" s="1">
        <v>45658</v>
      </c>
      <c r="G106" t="s">
        <v>12</v>
      </c>
    </row>
    <row r="107" spans="1:7">
      <c r="A107" t="s">
        <v>231</v>
      </c>
      <c r="B107" t="s">
        <v>41</v>
      </c>
      <c r="C107" t="s">
        <v>117</v>
      </c>
      <c r="D107">
        <v>1</v>
      </c>
      <c r="E107">
        <v>0.5</v>
      </c>
      <c r="F107" s="1">
        <v>45658</v>
      </c>
      <c r="G107" t="s">
        <v>12</v>
      </c>
    </row>
    <row r="108" spans="1:7">
      <c r="A108" t="s">
        <v>232</v>
      </c>
      <c r="B108" t="s">
        <v>41</v>
      </c>
      <c r="C108" t="s">
        <v>119</v>
      </c>
      <c r="D108">
        <v>1</v>
      </c>
      <c r="E108">
        <v>1</v>
      </c>
      <c r="F108" s="1">
        <v>45658</v>
      </c>
      <c r="G108" t="s">
        <v>12</v>
      </c>
    </row>
    <row r="109" spans="1:7">
      <c r="A109" t="s">
        <v>233</v>
      </c>
      <c r="B109" t="s">
        <v>45</v>
      </c>
      <c r="C109" t="s">
        <v>75</v>
      </c>
      <c r="D109">
        <v>1</v>
      </c>
      <c r="E109">
        <v>1</v>
      </c>
      <c r="F109" s="1">
        <v>45658</v>
      </c>
      <c r="G109" t="s">
        <v>12</v>
      </c>
    </row>
    <row r="110" spans="1:7">
      <c r="A110" t="s">
        <v>234</v>
      </c>
      <c r="B110" t="s">
        <v>45</v>
      </c>
      <c r="C110" t="s">
        <v>91</v>
      </c>
      <c r="D110">
        <v>1</v>
      </c>
      <c r="E110">
        <v>2.5</v>
      </c>
      <c r="F110" s="1">
        <v>45658</v>
      </c>
      <c r="G110" t="s">
        <v>12</v>
      </c>
    </row>
    <row r="111" spans="1:7">
      <c r="A111" t="s">
        <v>235</v>
      </c>
      <c r="B111" t="s">
        <v>45</v>
      </c>
      <c r="C111" t="s">
        <v>93</v>
      </c>
      <c r="D111">
        <v>1</v>
      </c>
      <c r="E111">
        <v>2</v>
      </c>
      <c r="F111" s="1">
        <v>45658</v>
      </c>
      <c r="G111" t="s">
        <v>12</v>
      </c>
    </row>
    <row r="112" spans="1:7">
      <c r="A112" t="s">
        <v>236</v>
      </c>
      <c r="B112" t="s">
        <v>45</v>
      </c>
      <c r="C112" t="s">
        <v>95</v>
      </c>
      <c r="D112">
        <v>1</v>
      </c>
      <c r="E112">
        <v>1.5</v>
      </c>
      <c r="F112" s="1">
        <v>45658</v>
      </c>
      <c r="G112" t="s">
        <v>12</v>
      </c>
    </row>
    <row r="113" spans="1:7">
      <c r="A113" t="s">
        <v>237</v>
      </c>
      <c r="B113" t="s">
        <v>45</v>
      </c>
      <c r="C113" t="s">
        <v>97</v>
      </c>
      <c r="D113">
        <v>1</v>
      </c>
      <c r="E113">
        <v>1</v>
      </c>
      <c r="F113" s="1">
        <v>45658</v>
      </c>
      <c r="G113" t="s">
        <v>12</v>
      </c>
    </row>
    <row r="114" spans="1:7">
      <c r="A114" t="s">
        <v>238</v>
      </c>
      <c r="B114" t="s">
        <v>45</v>
      </c>
      <c r="C114" t="s">
        <v>99</v>
      </c>
      <c r="D114">
        <v>1.2</v>
      </c>
      <c r="E114">
        <v>3</v>
      </c>
      <c r="F114" s="1">
        <v>45658</v>
      </c>
      <c r="G114" t="s">
        <v>12</v>
      </c>
    </row>
    <row r="115" spans="1:7">
      <c r="A115" t="s">
        <v>239</v>
      </c>
      <c r="B115" t="s">
        <v>45</v>
      </c>
      <c r="C115" t="s">
        <v>102</v>
      </c>
      <c r="D115">
        <v>1</v>
      </c>
      <c r="E115">
        <v>2</v>
      </c>
      <c r="F115" s="1">
        <v>45658</v>
      </c>
      <c r="G115" t="s">
        <v>12</v>
      </c>
    </row>
    <row r="116" spans="1:7">
      <c r="A116" t="s">
        <v>240</v>
      </c>
      <c r="B116" t="s">
        <v>45</v>
      </c>
      <c r="C116" t="s">
        <v>108</v>
      </c>
      <c r="D116">
        <v>2</v>
      </c>
      <c r="E116">
        <v>1.5</v>
      </c>
      <c r="F116" s="1">
        <v>45658</v>
      </c>
      <c r="G116" t="s">
        <v>12</v>
      </c>
    </row>
    <row r="117" spans="1:7">
      <c r="A117" t="s">
        <v>241</v>
      </c>
      <c r="B117" t="s">
        <v>45</v>
      </c>
      <c r="C117" t="s">
        <v>110</v>
      </c>
      <c r="D117">
        <v>1</v>
      </c>
      <c r="E117">
        <v>2</v>
      </c>
      <c r="F117" s="1">
        <v>45658</v>
      </c>
      <c r="G117" t="s">
        <v>12</v>
      </c>
    </row>
    <row r="118" spans="1:7">
      <c r="A118" t="s">
        <v>242</v>
      </c>
      <c r="B118" t="s">
        <v>45</v>
      </c>
      <c r="C118" t="s">
        <v>114</v>
      </c>
      <c r="D118">
        <v>1</v>
      </c>
      <c r="E118">
        <v>1</v>
      </c>
      <c r="F118" s="1">
        <v>45658</v>
      </c>
      <c r="G118" t="s">
        <v>12</v>
      </c>
    </row>
    <row r="119" spans="1:7">
      <c r="A119" t="s">
        <v>243</v>
      </c>
      <c r="B119" t="s">
        <v>45</v>
      </c>
      <c r="C119" t="s">
        <v>117</v>
      </c>
      <c r="D119">
        <v>1</v>
      </c>
      <c r="E119">
        <v>0.5</v>
      </c>
      <c r="F119" s="1">
        <v>45658</v>
      </c>
      <c r="G119" t="s">
        <v>12</v>
      </c>
    </row>
    <row r="120" spans="1:7">
      <c r="A120" t="s">
        <v>244</v>
      </c>
      <c r="B120" t="s">
        <v>45</v>
      </c>
      <c r="C120" t="s">
        <v>119</v>
      </c>
      <c r="D120">
        <v>1</v>
      </c>
      <c r="E120">
        <v>1</v>
      </c>
      <c r="F120" s="1">
        <v>45658</v>
      </c>
      <c r="G120" t="s">
        <v>12</v>
      </c>
    </row>
    <row r="121" spans="1:7">
      <c r="A121" t="s">
        <v>245</v>
      </c>
      <c r="B121" t="s">
        <v>48</v>
      </c>
      <c r="C121" t="s">
        <v>75</v>
      </c>
      <c r="D121">
        <v>1</v>
      </c>
      <c r="E121">
        <v>1</v>
      </c>
      <c r="F121" s="1">
        <v>45658</v>
      </c>
      <c r="G121" t="s">
        <v>12</v>
      </c>
    </row>
    <row r="122" spans="1:7">
      <c r="A122" t="s">
        <v>246</v>
      </c>
      <c r="B122" t="s">
        <v>48</v>
      </c>
      <c r="C122" t="s">
        <v>104</v>
      </c>
      <c r="D122">
        <v>2</v>
      </c>
      <c r="E122">
        <v>3</v>
      </c>
      <c r="F122" s="1">
        <v>45658</v>
      </c>
      <c r="G122" t="s">
        <v>12</v>
      </c>
    </row>
    <row r="123" spans="1:7">
      <c r="A123" t="s">
        <v>247</v>
      </c>
      <c r="B123" t="s">
        <v>48</v>
      </c>
      <c r="C123" t="s">
        <v>108</v>
      </c>
      <c r="D123">
        <v>2</v>
      </c>
      <c r="E123">
        <v>1.5</v>
      </c>
      <c r="F123" s="1">
        <v>45658</v>
      </c>
      <c r="G123" t="s">
        <v>12</v>
      </c>
    </row>
    <row r="124" spans="1:7">
      <c r="A124" t="s">
        <v>248</v>
      </c>
      <c r="B124" t="s">
        <v>48</v>
      </c>
      <c r="C124" t="s">
        <v>110</v>
      </c>
      <c r="D124">
        <v>1</v>
      </c>
      <c r="E124">
        <v>2</v>
      </c>
      <c r="F124" s="1">
        <v>45658</v>
      </c>
      <c r="G124" t="s">
        <v>12</v>
      </c>
    </row>
    <row r="125" spans="1:7">
      <c r="A125" t="s">
        <v>249</v>
      </c>
      <c r="B125" t="s">
        <v>48</v>
      </c>
      <c r="C125" t="s">
        <v>114</v>
      </c>
      <c r="D125">
        <v>1</v>
      </c>
      <c r="E125">
        <v>1</v>
      </c>
      <c r="F125" s="1">
        <v>45658</v>
      </c>
      <c r="G125" t="s">
        <v>12</v>
      </c>
    </row>
    <row r="126" spans="1:7">
      <c r="A126" t="s">
        <v>250</v>
      </c>
      <c r="B126" t="s">
        <v>48</v>
      </c>
      <c r="C126" t="s">
        <v>117</v>
      </c>
      <c r="D126">
        <v>1</v>
      </c>
      <c r="E126">
        <v>0.5</v>
      </c>
      <c r="F126" s="1">
        <v>45658</v>
      </c>
      <c r="G126" t="s">
        <v>12</v>
      </c>
    </row>
    <row r="127" spans="1:7">
      <c r="A127" t="s">
        <v>251</v>
      </c>
      <c r="B127" t="s">
        <v>48</v>
      </c>
      <c r="C127" t="s">
        <v>119</v>
      </c>
      <c r="D127">
        <v>1</v>
      </c>
      <c r="E127">
        <v>1</v>
      </c>
      <c r="F127" s="1">
        <v>45658</v>
      </c>
      <c r="G127" t="s">
        <v>12</v>
      </c>
    </row>
    <row r="128" spans="1:7">
      <c r="A128" t="s">
        <v>252</v>
      </c>
      <c r="B128" t="s">
        <v>52</v>
      </c>
      <c r="C128" t="s">
        <v>75</v>
      </c>
      <c r="D128">
        <v>1</v>
      </c>
      <c r="E128">
        <v>1</v>
      </c>
      <c r="F128" s="1">
        <v>45658</v>
      </c>
      <c r="G128" t="s">
        <v>12</v>
      </c>
    </row>
    <row r="129" spans="1:7">
      <c r="A129" t="s">
        <v>253</v>
      </c>
      <c r="B129" t="s">
        <v>52</v>
      </c>
      <c r="C129" t="s">
        <v>106</v>
      </c>
      <c r="D129">
        <v>1</v>
      </c>
      <c r="E129">
        <v>3</v>
      </c>
      <c r="F129" s="1">
        <v>45658</v>
      </c>
      <c r="G129" t="s">
        <v>12</v>
      </c>
    </row>
    <row r="130" spans="1:7">
      <c r="A130" t="s">
        <v>254</v>
      </c>
      <c r="B130" t="s">
        <v>52</v>
      </c>
      <c r="C130" t="s">
        <v>108</v>
      </c>
      <c r="D130">
        <v>2</v>
      </c>
      <c r="E130">
        <v>1.5</v>
      </c>
      <c r="F130" s="1">
        <v>45658</v>
      </c>
      <c r="G130" t="s">
        <v>12</v>
      </c>
    </row>
    <row r="131" spans="1:7">
      <c r="A131" t="s">
        <v>255</v>
      </c>
      <c r="B131" t="s">
        <v>52</v>
      </c>
      <c r="C131" t="s">
        <v>110</v>
      </c>
      <c r="D131">
        <v>1</v>
      </c>
      <c r="E131">
        <v>2</v>
      </c>
      <c r="F131" s="1">
        <v>45658</v>
      </c>
      <c r="G131" t="s">
        <v>12</v>
      </c>
    </row>
    <row r="132" spans="1:7">
      <c r="A132" t="s">
        <v>256</v>
      </c>
      <c r="B132" t="s">
        <v>52</v>
      </c>
      <c r="C132" t="s">
        <v>114</v>
      </c>
      <c r="D132">
        <v>1</v>
      </c>
      <c r="E132">
        <v>1</v>
      </c>
      <c r="F132" s="1">
        <v>45658</v>
      </c>
      <c r="G132" t="s">
        <v>12</v>
      </c>
    </row>
    <row r="133" spans="1:7">
      <c r="A133" t="s">
        <v>257</v>
      </c>
      <c r="B133" t="s">
        <v>52</v>
      </c>
      <c r="C133" t="s">
        <v>117</v>
      </c>
      <c r="D133">
        <v>1</v>
      </c>
      <c r="E133">
        <v>0.5</v>
      </c>
      <c r="F133" s="1">
        <v>45658</v>
      </c>
      <c r="G133" t="s">
        <v>12</v>
      </c>
    </row>
    <row r="134" spans="1:7">
      <c r="A134" t="s">
        <v>258</v>
      </c>
      <c r="B134" t="s">
        <v>52</v>
      </c>
      <c r="C134" t="s">
        <v>119</v>
      </c>
      <c r="D134">
        <v>1</v>
      </c>
      <c r="E134">
        <v>1</v>
      </c>
      <c r="F134" s="1">
        <v>45658</v>
      </c>
      <c r="G134" t="s">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B19FF-FA43-4EB5-B279-3D9EBD3A5475}">
  <dimension ref="A1:J701"/>
  <sheetViews>
    <sheetView topLeftCell="A675" workbookViewId="0">
      <selection activeCell="J1" sqref="J1:J1048576"/>
    </sheetView>
  </sheetViews>
  <sheetFormatPr defaultRowHeight="14.4"/>
  <cols>
    <col min="1" max="1" width="15.88671875" bestFit="1" customWidth="1"/>
    <col min="2" max="2" width="18.109375" bestFit="1" customWidth="1"/>
    <col min="3" max="3" width="15.109375" bestFit="1" customWidth="1"/>
    <col min="4" max="4" width="15.21875" bestFit="1" customWidth="1"/>
    <col min="5" max="5" width="21.6640625" bestFit="1" customWidth="1"/>
    <col min="6" max="6" width="13.6640625" bestFit="1" customWidth="1"/>
    <col min="7" max="7" width="20.33203125" bestFit="1" customWidth="1"/>
    <col min="8" max="8" width="16.109375" bestFit="1" customWidth="1"/>
    <col min="9" max="9" width="18.5546875" bestFit="1" customWidth="1"/>
    <col min="10" max="10" width="19" style="9" bestFit="1" customWidth="1"/>
    <col min="11" max="11" width="22.88671875" bestFit="1" customWidth="1"/>
  </cols>
  <sheetData>
    <row r="1" spans="1:10">
      <c r="A1" s="3" t="s">
        <v>346</v>
      </c>
      <c r="B1" s="3" t="s">
        <v>347</v>
      </c>
      <c r="C1" s="3" t="s">
        <v>259</v>
      </c>
      <c r="D1" s="3" t="s">
        <v>55</v>
      </c>
      <c r="E1" s="3" t="s">
        <v>348</v>
      </c>
      <c r="F1" s="3" t="s">
        <v>349</v>
      </c>
      <c r="G1" s="3" t="s">
        <v>350</v>
      </c>
      <c r="H1" s="3" t="s">
        <v>351</v>
      </c>
      <c r="I1" s="3" t="s">
        <v>352</v>
      </c>
      <c r="J1" s="13" t="s">
        <v>7864</v>
      </c>
    </row>
    <row r="2" spans="1:10">
      <c r="A2" t="s">
        <v>353</v>
      </c>
      <c r="B2" s="2">
        <v>45658</v>
      </c>
      <c r="C2" t="s">
        <v>283</v>
      </c>
      <c r="D2" t="s">
        <v>73</v>
      </c>
      <c r="E2">
        <v>122</v>
      </c>
      <c r="F2">
        <v>429.99</v>
      </c>
      <c r="G2">
        <v>0</v>
      </c>
      <c r="H2">
        <v>18</v>
      </c>
      <c r="I2" t="s">
        <v>354</v>
      </c>
      <c r="J2" s="9">
        <f>E2*F2*(1-G2/100)*(1+H2/100)</f>
        <v>61901.360399999998</v>
      </c>
    </row>
    <row r="3" spans="1:10">
      <c r="A3" t="s">
        <v>355</v>
      </c>
      <c r="B3" s="2">
        <v>45658</v>
      </c>
      <c r="C3" t="s">
        <v>280</v>
      </c>
      <c r="D3" t="s">
        <v>93</v>
      </c>
      <c r="E3">
        <v>232</v>
      </c>
      <c r="F3">
        <v>1439.59</v>
      </c>
      <c r="G3">
        <v>3</v>
      </c>
      <c r="H3">
        <v>18</v>
      </c>
      <c r="I3" t="s">
        <v>354</v>
      </c>
      <c r="J3" s="9">
        <f t="shared" ref="J3:J66" si="0">E3*F3*(1-G3/100)*(1+H3/100)</f>
        <v>382279.09364799998</v>
      </c>
    </row>
    <row r="4" spans="1:10">
      <c r="A4" t="s">
        <v>356</v>
      </c>
      <c r="B4" s="2">
        <v>45658</v>
      </c>
      <c r="C4" t="s">
        <v>314</v>
      </c>
      <c r="D4" t="s">
        <v>106</v>
      </c>
      <c r="E4">
        <v>80</v>
      </c>
      <c r="F4">
        <v>370.94</v>
      </c>
      <c r="G4">
        <v>0</v>
      </c>
      <c r="H4">
        <v>18</v>
      </c>
      <c r="I4" t="s">
        <v>354</v>
      </c>
      <c r="J4" s="9">
        <f t="shared" si="0"/>
        <v>35016.735999999997</v>
      </c>
    </row>
    <row r="5" spans="1:10">
      <c r="A5" t="s">
        <v>357</v>
      </c>
      <c r="B5" s="2">
        <v>45658</v>
      </c>
      <c r="C5" t="s">
        <v>310</v>
      </c>
      <c r="D5" t="s">
        <v>73</v>
      </c>
      <c r="E5">
        <v>439</v>
      </c>
      <c r="F5">
        <v>432.72</v>
      </c>
      <c r="G5">
        <v>3</v>
      </c>
      <c r="H5">
        <v>18</v>
      </c>
      <c r="I5" t="s">
        <v>354</v>
      </c>
      <c r="J5" s="9">
        <f t="shared" si="0"/>
        <v>217432.88596799999</v>
      </c>
    </row>
    <row r="6" spans="1:10">
      <c r="A6" t="s">
        <v>358</v>
      </c>
      <c r="B6" s="2">
        <v>45659</v>
      </c>
      <c r="C6" t="s">
        <v>342</v>
      </c>
      <c r="D6" t="s">
        <v>119</v>
      </c>
      <c r="E6">
        <v>389</v>
      </c>
      <c r="F6">
        <v>33.58</v>
      </c>
      <c r="G6">
        <v>2</v>
      </c>
      <c r="H6">
        <v>12</v>
      </c>
      <c r="I6" t="s">
        <v>359</v>
      </c>
      <c r="J6" s="9">
        <f t="shared" si="0"/>
        <v>14337.531712000002</v>
      </c>
    </row>
    <row r="7" spans="1:10">
      <c r="A7" t="s">
        <v>360</v>
      </c>
      <c r="B7" s="2">
        <v>45659</v>
      </c>
      <c r="C7" t="s">
        <v>278</v>
      </c>
      <c r="D7" t="s">
        <v>108</v>
      </c>
      <c r="E7">
        <v>666</v>
      </c>
      <c r="F7">
        <v>34.31</v>
      </c>
      <c r="G7">
        <v>5</v>
      </c>
      <c r="H7">
        <v>18</v>
      </c>
      <c r="I7" t="s">
        <v>354</v>
      </c>
      <c r="J7" s="9">
        <f t="shared" si="0"/>
        <v>25615.365659999999</v>
      </c>
    </row>
    <row r="8" spans="1:10">
      <c r="A8" t="s">
        <v>361</v>
      </c>
      <c r="B8" s="2">
        <v>45659</v>
      </c>
      <c r="C8" t="s">
        <v>336</v>
      </c>
      <c r="D8" t="s">
        <v>117</v>
      </c>
      <c r="E8">
        <v>174</v>
      </c>
      <c r="F8">
        <v>18.22</v>
      </c>
      <c r="G8">
        <v>0</v>
      </c>
      <c r="H8">
        <v>12</v>
      </c>
      <c r="I8" t="s">
        <v>354</v>
      </c>
      <c r="J8" s="9">
        <f t="shared" si="0"/>
        <v>3550.7136</v>
      </c>
    </row>
    <row r="9" spans="1:10">
      <c r="A9" t="s">
        <v>362</v>
      </c>
      <c r="B9" s="2">
        <v>45661</v>
      </c>
      <c r="C9" t="s">
        <v>295</v>
      </c>
      <c r="D9" t="s">
        <v>87</v>
      </c>
      <c r="E9">
        <v>144</v>
      </c>
      <c r="F9">
        <v>127.92</v>
      </c>
      <c r="G9">
        <v>0</v>
      </c>
      <c r="H9">
        <v>18</v>
      </c>
      <c r="I9" t="s">
        <v>354</v>
      </c>
      <c r="J9" s="9">
        <f t="shared" si="0"/>
        <v>21736.166399999998</v>
      </c>
    </row>
    <row r="10" spans="1:10">
      <c r="A10" t="s">
        <v>363</v>
      </c>
      <c r="B10" s="2">
        <v>45663</v>
      </c>
      <c r="C10" t="s">
        <v>287</v>
      </c>
      <c r="D10" t="s">
        <v>89</v>
      </c>
      <c r="E10">
        <v>115</v>
      </c>
      <c r="F10">
        <v>89.87</v>
      </c>
      <c r="G10">
        <v>5</v>
      </c>
      <c r="H10">
        <v>18</v>
      </c>
      <c r="I10" t="s">
        <v>354</v>
      </c>
      <c r="J10" s="9">
        <f t="shared" si="0"/>
        <v>11585.591050000001</v>
      </c>
    </row>
    <row r="11" spans="1:10">
      <c r="A11" t="s">
        <v>364</v>
      </c>
      <c r="B11" s="2">
        <v>45663</v>
      </c>
      <c r="C11" t="s">
        <v>274</v>
      </c>
      <c r="D11" t="s">
        <v>108</v>
      </c>
      <c r="E11">
        <v>418</v>
      </c>
      <c r="F11">
        <v>33.799999999999997</v>
      </c>
      <c r="G11">
        <v>5</v>
      </c>
      <c r="H11">
        <v>18</v>
      </c>
      <c r="I11" t="s">
        <v>365</v>
      </c>
      <c r="J11" s="9">
        <f t="shared" si="0"/>
        <v>15837.936399999999</v>
      </c>
    </row>
    <row r="12" spans="1:10">
      <c r="A12" t="s">
        <v>366</v>
      </c>
      <c r="B12" s="2">
        <v>45665</v>
      </c>
      <c r="C12" t="s">
        <v>320</v>
      </c>
      <c r="D12" t="s">
        <v>93</v>
      </c>
      <c r="E12">
        <v>541</v>
      </c>
      <c r="F12">
        <v>1429.29</v>
      </c>
      <c r="G12">
        <v>5</v>
      </c>
      <c r="H12">
        <v>18</v>
      </c>
      <c r="I12" t="s">
        <v>365</v>
      </c>
      <c r="J12" s="9">
        <f t="shared" si="0"/>
        <v>866808.64268999989</v>
      </c>
    </row>
    <row r="13" spans="1:10">
      <c r="A13" t="s">
        <v>367</v>
      </c>
      <c r="B13" s="2">
        <v>45665</v>
      </c>
      <c r="C13" t="s">
        <v>280</v>
      </c>
      <c r="D13" t="s">
        <v>73</v>
      </c>
      <c r="E13">
        <v>286</v>
      </c>
      <c r="F13">
        <v>404.06</v>
      </c>
      <c r="G13">
        <v>5</v>
      </c>
      <c r="H13">
        <v>18</v>
      </c>
      <c r="I13" t="s">
        <v>365</v>
      </c>
      <c r="J13" s="9">
        <f t="shared" si="0"/>
        <v>129544.06035999999</v>
      </c>
    </row>
    <row r="14" spans="1:10">
      <c r="A14" t="s">
        <v>368</v>
      </c>
      <c r="B14" s="2">
        <v>45665</v>
      </c>
      <c r="C14" t="s">
        <v>344</v>
      </c>
      <c r="D14" t="s">
        <v>84</v>
      </c>
      <c r="E14">
        <v>289</v>
      </c>
      <c r="F14">
        <v>764.17</v>
      </c>
      <c r="G14">
        <v>0</v>
      </c>
      <c r="H14">
        <v>18</v>
      </c>
      <c r="I14" t="s">
        <v>354</v>
      </c>
      <c r="J14" s="9">
        <f t="shared" si="0"/>
        <v>260597.25339999996</v>
      </c>
    </row>
    <row r="15" spans="1:10">
      <c r="A15" t="s">
        <v>369</v>
      </c>
      <c r="B15" s="2">
        <v>45666</v>
      </c>
      <c r="C15" t="s">
        <v>274</v>
      </c>
      <c r="D15" t="s">
        <v>68</v>
      </c>
      <c r="E15">
        <v>150</v>
      </c>
      <c r="F15">
        <v>303.32</v>
      </c>
      <c r="G15">
        <v>0</v>
      </c>
      <c r="H15">
        <v>18</v>
      </c>
      <c r="I15" t="s">
        <v>354</v>
      </c>
      <c r="J15" s="9">
        <f t="shared" si="0"/>
        <v>53687.64</v>
      </c>
    </row>
    <row r="16" spans="1:10">
      <c r="A16" t="s">
        <v>370</v>
      </c>
      <c r="B16" s="2">
        <v>45668</v>
      </c>
      <c r="C16" t="s">
        <v>339</v>
      </c>
      <c r="D16" t="s">
        <v>119</v>
      </c>
      <c r="E16">
        <v>222</v>
      </c>
      <c r="F16">
        <v>31.16</v>
      </c>
      <c r="G16">
        <v>5</v>
      </c>
      <c r="H16">
        <v>12</v>
      </c>
      <c r="I16" t="s">
        <v>354</v>
      </c>
      <c r="J16" s="9">
        <f t="shared" si="0"/>
        <v>7360.2412800000011</v>
      </c>
    </row>
    <row r="17" spans="1:10">
      <c r="A17" t="s">
        <v>371</v>
      </c>
      <c r="B17" s="2">
        <v>45669</v>
      </c>
      <c r="C17" t="s">
        <v>285</v>
      </c>
      <c r="D17" t="s">
        <v>89</v>
      </c>
      <c r="E17">
        <v>270</v>
      </c>
      <c r="F17">
        <v>98.43</v>
      </c>
      <c r="G17">
        <v>10</v>
      </c>
      <c r="H17">
        <v>18</v>
      </c>
      <c r="I17" t="s">
        <v>359</v>
      </c>
      <c r="J17" s="9">
        <f t="shared" si="0"/>
        <v>28223.818200000002</v>
      </c>
    </row>
    <row r="18" spans="1:10">
      <c r="A18" t="s">
        <v>372</v>
      </c>
      <c r="B18" s="2">
        <v>45669</v>
      </c>
      <c r="C18" t="s">
        <v>307</v>
      </c>
      <c r="D18" t="s">
        <v>87</v>
      </c>
      <c r="E18">
        <v>105</v>
      </c>
      <c r="F18">
        <v>122.68</v>
      </c>
      <c r="G18">
        <v>2</v>
      </c>
      <c r="H18">
        <v>18</v>
      </c>
      <c r="I18" t="s">
        <v>354</v>
      </c>
      <c r="J18" s="9">
        <f t="shared" si="0"/>
        <v>14896.05096</v>
      </c>
    </row>
    <row r="19" spans="1:10">
      <c r="A19" t="s">
        <v>373</v>
      </c>
      <c r="B19" s="2">
        <v>45670</v>
      </c>
      <c r="C19" t="s">
        <v>278</v>
      </c>
      <c r="D19" t="s">
        <v>68</v>
      </c>
      <c r="E19">
        <v>171</v>
      </c>
      <c r="F19">
        <v>315.81</v>
      </c>
      <c r="G19">
        <v>3</v>
      </c>
      <c r="H19">
        <v>18</v>
      </c>
      <c r="I19" t="s">
        <v>365</v>
      </c>
      <c r="J19" s="9">
        <f t="shared" si="0"/>
        <v>61812.417545999997</v>
      </c>
    </row>
    <row r="20" spans="1:10">
      <c r="A20" t="s">
        <v>374</v>
      </c>
      <c r="B20" s="2">
        <v>45670</v>
      </c>
      <c r="C20" t="s">
        <v>283</v>
      </c>
      <c r="D20" t="s">
        <v>102</v>
      </c>
      <c r="E20">
        <v>254</v>
      </c>
      <c r="F20">
        <v>629.04</v>
      </c>
      <c r="G20">
        <v>0</v>
      </c>
      <c r="H20">
        <v>18</v>
      </c>
      <c r="I20" t="s">
        <v>354</v>
      </c>
      <c r="J20" s="9">
        <f t="shared" si="0"/>
        <v>188535.8688</v>
      </c>
    </row>
    <row r="21" spans="1:10">
      <c r="A21" t="s">
        <v>375</v>
      </c>
      <c r="B21" s="2">
        <v>45670</v>
      </c>
      <c r="C21" t="s">
        <v>287</v>
      </c>
      <c r="D21" t="s">
        <v>93</v>
      </c>
      <c r="E21">
        <v>205</v>
      </c>
      <c r="F21">
        <v>1562.63</v>
      </c>
      <c r="G21">
        <v>3</v>
      </c>
      <c r="H21">
        <v>18</v>
      </c>
      <c r="I21" t="s">
        <v>354</v>
      </c>
      <c r="J21" s="9">
        <f t="shared" si="0"/>
        <v>366660.19108999998</v>
      </c>
    </row>
    <row r="22" spans="1:10">
      <c r="A22" t="s">
        <v>376</v>
      </c>
      <c r="B22" s="2">
        <v>45671</v>
      </c>
      <c r="C22" t="s">
        <v>302</v>
      </c>
      <c r="D22" t="s">
        <v>75</v>
      </c>
      <c r="E22">
        <v>155</v>
      </c>
      <c r="F22">
        <v>91.32</v>
      </c>
      <c r="G22">
        <v>0</v>
      </c>
      <c r="H22">
        <v>18</v>
      </c>
      <c r="I22" t="s">
        <v>354</v>
      </c>
      <c r="J22" s="9">
        <f t="shared" si="0"/>
        <v>16702.427999999996</v>
      </c>
    </row>
    <row r="23" spans="1:10">
      <c r="A23" t="s">
        <v>377</v>
      </c>
      <c r="B23" s="2">
        <v>45672</v>
      </c>
      <c r="C23" t="s">
        <v>278</v>
      </c>
      <c r="D23" t="s">
        <v>68</v>
      </c>
      <c r="E23">
        <v>184</v>
      </c>
      <c r="F23">
        <v>335.62</v>
      </c>
      <c r="G23">
        <v>10</v>
      </c>
      <c r="H23">
        <v>18</v>
      </c>
      <c r="I23" t="s">
        <v>354</v>
      </c>
      <c r="J23" s="9">
        <f t="shared" si="0"/>
        <v>65582.83296</v>
      </c>
    </row>
    <row r="24" spans="1:10">
      <c r="A24" t="s">
        <v>378</v>
      </c>
      <c r="B24" s="2">
        <v>45672</v>
      </c>
      <c r="C24" t="s">
        <v>322</v>
      </c>
      <c r="D24" t="s">
        <v>106</v>
      </c>
      <c r="E24">
        <v>222</v>
      </c>
      <c r="F24">
        <v>367.96</v>
      </c>
      <c r="G24">
        <v>5</v>
      </c>
      <c r="H24">
        <v>18</v>
      </c>
      <c r="I24" t="s">
        <v>354</v>
      </c>
      <c r="J24" s="9">
        <f t="shared" si="0"/>
        <v>91571.261519999985</v>
      </c>
    </row>
    <row r="25" spans="1:10">
      <c r="A25" t="s">
        <v>379</v>
      </c>
      <c r="B25" s="2">
        <v>45672</v>
      </c>
      <c r="C25" t="s">
        <v>344</v>
      </c>
      <c r="D25" t="s">
        <v>106</v>
      </c>
      <c r="E25">
        <v>225</v>
      </c>
      <c r="F25">
        <v>339.19</v>
      </c>
      <c r="G25">
        <v>5</v>
      </c>
      <c r="H25">
        <v>18</v>
      </c>
      <c r="I25" t="s">
        <v>354</v>
      </c>
      <c r="J25" s="9">
        <f t="shared" si="0"/>
        <v>85552.197749999992</v>
      </c>
    </row>
    <row r="26" spans="1:10">
      <c r="A26" t="s">
        <v>380</v>
      </c>
      <c r="B26" s="2">
        <v>45672</v>
      </c>
      <c r="C26" t="s">
        <v>291</v>
      </c>
      <c r="D26" t="s">
        <v>95</v>
      </c>
      <c r="E26">
        <v>162</v>
      </c>
      <c r="F26">
        <v>270.92</v>
      </c>
      <c r="G26">
        <v>0</v>
      </c>
      <c r="H26">
        <v>18</v>
      </c>
      <c r="I26" t="s">
        <v>354</v>
      </c>
      <c r="J26" s="9">
        <f t="shared" si="0"/>
        <v>51789.067199999998</v>
      </c>
    </row>
    <row r="27" spans="1:10">
      <c r="A27" t="s">
        <v>381</v>
      </c>
      <c r="B27" s="2">
        <v>45673</v>
      </c>
      <c r="C27" t="s">
        <v>266</v>
      </c>
      <c r="D27" t="s">
        <v>75</v>
      </c>
      <c r="E27">
        <v>150</v>
      </c>
      <c r="F27">
        <v>90.14</v>
      </c>
      <c r="G27">
        <v>3</v>
      </c>
      <c r="H27">
        <v>18</v>
      </c>
      <c r="I27" t="s">
        <v>354</v>
      </c>
      <c r="J27" s="9">
        <f t="shared" si="0"/>
        <v>15476.136599999998</v>
      </c>
    </row>
    <row r="28" spans="1:10">
      <c r="A28" t="s">
        <v>382</v>
      </c>
      <c r="B28" s="2">
        <v>45674</v>
      </c>
      <c r="C28" t="s">
        <v>287</v>
      </c>
      <c r="D28" t="s">
        <v>70</v>
      </c>
      <c r="E28">
        <v>364</v>
      </c>
      <c r="F28">
        <v>241.78</v>
      </c>
      <c r="G28">
        <v>5</v>
      </c>
      <c r="H28">
        <v>18</v>
      </c>
      <c r="I28" t="s">
        <v>354</v>
      </c>
      <c r="J28" s="9">
        <f t="shared" si="0"/>
        <v>98656.878319999989</v>
      </c>
    </row>
    <row r="29" spans="1:10">
      <c r="A29" t="s">
        <v>383</v>
      </c>
      <c r="B29" s="2">
        <v>45674</v>
      </c>
      <c r="C29" t="s">
        <v>325</v>
      </c>
      <c r="D29" t="s">
        <v>99</v>
      </c>
      <c r="E29">
        <v>190</v>
      </c>
      <c r="F29">
        <v>207.76</v>
      </c>
      <c r="G29">
        <v>0</v>
      </c>
      <c r="H29">
        <v>18</v>
      </c>
      <c r="I29" t="s">
        <v>354</v>
      </c>
      <c r="J29" s="9">
        <f t="shared" si="0"/>
        <v>46579.792000000001</v>
      </c>
    </row>
    <row r="30" spans="1:10">
      <c r="A30" t="s">
        <v>384</v>
      </c>
      <c r="B30" s="2">
        <v>45674</v>
      </c>
      <c r="C30" t="s">
        <v>310</v>
      </c>
      <c r="D30" t="s">
        <v>93</v>
      </c>
      <c r="E30">
        <v>273</v>
      </c>
      <c r="F30">
        <v>1486.91</v>
      </c>
      <c r="G30">
        <v>5</v>
      </c>
      <c r="H30">
        <v>18</v>
      </c>
      <c r="I30" t="s">
        <v>354</v>
      </c>
      <c r="J30" s="9">
        <f t="shared" si="0"/>
        <v>455043.52802999999</v>
      </c>
    </row>
    <row r="31" spans="1:10">
      <c r="A31" t="s">
        <v>385</v>
      </c>
      <c r="B31" s="2">
        <v>45674</v>
      </c>
      <c r="C31" t="s">
        <v>271</v>
      </c>
      <c r="D31" t="s">
        <v>108</v>
      </c>
      <c r="E31">
        <v>198</v>
      </c>
      <c r="F31">
        <v>33.65</v>
      </c>
      <c r="G31">
        <v>3</v>
      </c>
      <c r="H31">
        <v>18</v>
      </c>
      <c r="I31" t="s">
        <v>365</v>
      </c>
      <c r="J31" s="9">
        <f t="shared" si="0"/>
        <v>7626.1264199999987</v>
      </c>
    </row>
    <row r="32" spans="1:10">
      <c r="A32" t="s">
        <v>386</v>
      </c>
      <c r="B32" s="2">
        <v>45674</v>
      </c>
      <c r="C32" t="s">
        <v>295</v>
      </c>
      <c r="D32" t="s">
        <v>87</v>
      </c>
      <c r="E32">
        <v>316</v>
      </c>
      <c r="F32">
        <v>131.27000000000001</v>
      </c>
      <c r="G32">
        <v>2</v>
      </c>
      <c r="H32">
        <v>18</v>
      </c>
      <c r="I32" t="s">
        <v>354</v>
      </c>
      <c r="J32" s="9">
        <f t="shared" si="0"/>
        <v>47968.998447999998</v>
      </c>
    </row>
    <row r="33" spans="1:10">
      <c r="A33" t="s">
        <v>387</v>
      </c>
      <c r="B33" s="2">
        <v>45674</v>
      </c>
      <c r="C33" t="s">
        <v>339</v>
      </c>
      <c r="D33" t="s">
        <v>117</v>
      </c>
      <c r="E33">
        <v>120</v>
      </c>
      <c r="F33">
        <v>19.28</v>
      </c>
      <c r="G33">
        <v>0</v>
      </c>
      <c r="H33">
        <v>12</v>
      </c>
      <c r="I33" t="s">
        <v>354</v>
      </c>
      <c r="J33" s="9">
        <f t="shared" si="0"/>
        <v>2591.2320000000009</v>
      </c>
    </row>
    <row r="34" spans="1:10">
      <c r="A34" t="s">
        <v>388</v>
      </c>
      <c r="B34" s="2">
        <v>45675</v>
      </c>
      <c r="C34" t="s">
        <v>293</v>
      </c>
      <c r="D34" t="s">
        <v>79</v>
      </c>
      <c r="E34">
        <v>247</v>
      </c>
      <c r="F34">
        <v>44.78</v>
      </c>
      <c r="G34">
        <v>0</v>
      </c>
      <c r="H34">
        <v>18</v>
      </c>
      <c r="I34" t="s">
        <v>354</v>
      </c>
      <c r="J34" s="9">
        <f t="shared" si="0"/>
        <v>13051.578799999999</v>
      </c>
    </row>
    <row r="35" spans="1:10">
      <c r="A35" t="s">
        <v>389</v>
      </c>
      <c r="B35" s="2">
        <v>45676</v>
      </c>
      <c r="C35" t="s">
        <v>325</v>
      </c>
      <c r="D35" t="s">
        <v>99</v>
      </c>
      <c r="E35">
        <v>324</v>
      </c>
      <c r="F35">
        <v>214.88</v>
      </c>
      <c r="G35">
        <v>5</v>
      </c>
      <c r="H35">
        <v>18</v>
      </c>
      <c r="I35" t="s">
        <v>354</v>
      </c>
      <c r="J35" s="9">
        <f t="shared" si="0"/>
        <v>78045.275519999996</v>
      </c>
    </row>
    <row r="36" spans="1:10">
      <c r="A36" t="s">
        <v>390</v>
      </c>
      <c r="B36" s="2">
        <v>45677</v>
      </c>
      <c r="C36" t="s">
        <v>280</v>
      </c>
      <c r="D36" t="s">
        <v>102</v>
      </c>
      <c r="E36">
        <v>427</v>
      </c>
      <c r="F36">
        <v>634.11</v>
      </c>
      <c r="G36">
        <v>2</v>
      </c>
      <c r="H36">
        <v>18</v>
      </c>
      <c r="I36" t="s">
        <v>354</v>
      </c>
      <c r="J36" s="9">
        <f t="shared" si="0"/>
        <v>313112.61130799999</v>
      </c>
    </row>
    <row r="37" spans="1:10">
      <c r="A37" t="s">
        <v>391</v>
      </c>
      <c r="B37" s="2">
        <v>45678</v>
      </c>
      <c r="C37" t="s">
        <v>305</v>
      </c>
      <c r="D37" t="s">
        <v>104</v>
      </c>
      <c r="E37">
        <v>196</v>
      </c>
      <c r="F37">
        <v>185.97</v>
      </c>
      <c r="G37">
        <v>10</v>
      </c>
      <c r="H37">
        <v>18</v>
      </c>
      <c r="I37" t="s">
        <v>365</v>
      </c>
      <c r="J37" s="9">
        <f t="shared" si="0"/>
        <v>38710.027439999998</v>
      </c>
    </row>
    <row r="38" spans="1:10">
      <c r="A38" t="s">
        <v>392</v>
      </c>
      <c r="B38" s="2">
        <v>45679</v>
      </c>
      <c r="C38" t="s">
        <v>305</v>
      </c>
      <c r="D38" t="s">
        <v>75</v>
      </c>
      <c r="E38">
        <v>290</v>
      </c>
      <c r="F38">
        <v>82.31</v>
      </c>
      <c r="G38">
        <v>2</v>
      </c>
      <c r="H38">
        <v>18</v>
      </c>
      <c r="I38" t="s">
        <v>354</v>
      </c>
      <c r="J38" s="9">
        <f t="shared" si="0"/>
        <v>27603.15236</v>
      </c>
    </row>
    <row r="39" spans="1:10">
      <c r="A39" t="s">
        <v>393</v>
      </c>
      <c r="B39" s="2">
        <v>45679</v>
      </c>
      <c r="C39" t="s">
        <v>310</v>
      </c>
      <c r="D39" t="s">
        <v>93</v>
      </c>
      <c r="E39">
        <v>242</v>
      </c>
      <c r="F39">
        <v>1430.14</v>
      </c>
      <c r="G39">
        <v>2</v>
      </c>
      <c r="H39">
        <v>18</v>
      </c>
      <c r="I39" t="s">
        <v>354</v>
      </c>
      <c r="J39" s="9">
        <f t="shared" si="0"/>
        <v>400222.96283199999</v>
      </c>
    </row>
    <row r="40" spans="1:10">
      <c r="A40" t="s">
        <v>394</v>
      </c>
      <c r="B40" s="2">
        <v>45679</v>
      </c>
      <c r="C40" t="s">
        <v>325</v>
      </c>
      <c r="D40" t="s">
        <v>99</v>
      </c>
      <c r="E40">
        <v>167</v>
      </c>
      <c r="F40">
        <v>199.42</v>
      </c>
      <c r="G40">
        <v>5</v>
      </c>
      <c r="H40">
        <v>18</v>
      </c>
      <c r="I40" t="s">
        <v>354</v>
      </c>
      <c r="J40" s="9">
        <f t="shared" si="0"/>
        <v>37332.819939999994</v>
      </c>
    </row>
    <row r="41" spans="1:10">
      <c r="A41" t="s">
        <v>395</v>
      </c>
      <c r="B41" s="2">
        <v>45680</v>
      </c>
      <c r="C41" t="s">
        <v>274</v>
      </c>
      <c r="D41" t="s">
        <v>108</v>
      </c>
      <c r="E41">
        <v>376</v>
      </c>
      <c r="F41">
        <v>35.479999999999997</v>
      </c>
      <c r="G41">
        <v>0</v>
      </c>
      <c r="H41">
        <v>18</v>
      </c>
      <c r="I41" t="s">
        <v>354</v>
      </c>
      <c r="J41" s="9">
        <f t="shared" si="0"/>
        <v>15741.766399999999</v>
      </c>
    </row>
    <row r="42" spans="1:10">
      <c r="A42" t="s">
        <v>396</v>
      </c>
      <c r="B42" s="2">
        <v>45681</v>
      </c>
      <c r="C42" t="s">
        <v>330</v>
      </c>
      <c r="D42" t="s">
        <v>91</v>
      </c>
      <c r="E42">
        <v>101</v>
      </c>
      <c r="F42">
        <v>468.26</v>
      </c>
      <c r="G42">
        <v>10</v>
      </c>
      <c r="H42">
        <v>18</v>
      </c>
      <c r="I42" t="s">
        <v>354</v>
      </c>
      <c r="J42" s="9">
        <f t="shared" si="0"/>
        <v>50226.504119999998</v>
      </c>
    </row>
    <row r="43" spans="1:10">
      <c r="A43" t="s">
        <v>397</v>
      </c>
      <c r="B43" s="2">
        <v>45681</v>
      </c>
      <c r="C43" t="s">
        <v>287</v>
      </c>
      <c r="D43" t="s">
        <v>93</v>
      </c>
      <c r="E43">
        <v>167</v>
      </c>
      <c r="F43">
        <v>1374.15</v>
      </c>
      <c r="G43">
        <v>0</v>
      </c>
      <c r="H43">
        <v>18</v>
      </c>
      <c r="I43" t="s">
        <v>365</v>
      </c>
      <c r="J43" s="9">
        <f t="shared" si="0"/>
        <v>270789.99900000001</v>
      </c>
    </row>
    <row r="44" spans="1:10">
      <c r="A44" t="s">
        <v>398</v>
      </c>
      <c r="B44" s="2">
        <v>45681</v>
      </c>
      <c r="C44" t="s">
        <v>310</v>
      </c>
      <c r="D44" t="s">
        <v>102</v>
      </c>
      <c r="E44">
        <v>238</v>
      </c>
      <c r="F44">
        <v>654.64</v>
      </c>
      <c r="G44">
        <v>5</v>
      </c>
      <c r="H44">
        <v>18</v>
      </c>
      <c r="I44" t="s">
        <v>354</v>
      </c>
      <c r="J44" s="9">
        <f t="shared" si="0"/>
        <v>174656.64271999997</v>
      </c>
    </row>
    <row r="45" spans="1:10">
      <c r="A45" t="s">
        <v>399</v>
      </c>
      <c r="B45" s="2">
        <v>45682</v>
      </c>
      <c r="C45" t="s">
        <v>336</v>
      </c>
      <c r="D45" t="s">
        <v>119</v>
      </c>
      <c r="E45">
        <v>306</v>
      </c>
      <c r="F45">
        <v>33.83</v>
      </c>
      <c r="G45">
        <v>0</v>
      </c>
      <c r="H45">
        <v>12</v>
      </c>
      <c r="I45" t="s">
        <v>365</v>
      </c>
      <c r="J45" s="9">
        <f t="shared" si="0"/>
        <v>11594.2176</v>
      </c>
    </row>
    <row r="46" spans="1:10">
      <c r="A46" t="s">
        <v>400</v>
      </c>
      <c r="B46" s="2">
        <v>45682</v>
      </c>
      <c r="C46" t="s">
        <v>320</v>
      </c>
      <c r="D46" t="s">
        <v>106</v>
      </c>
      <c r="E46">
        <v>115</v>
      </c>
      <c r="F46">
        <v>329.05</v>
      </c>
      <c r="G46">
        <v>7</v>
      </c>
      <c r="H46">
        <v>18</v>
      </c>
      <c r="I46" t="s">
        <v>354</v>
      </c>
      <c r="J46" s="9">
        <f t="shared" si="0"/>
        <v>41526.439049999994</v>
      </c>
    </row>
    <row r="47" spans="1:10">
      <c r="A47" t="s">
        <v>401</v>
      </c>
      <c r="B47" s="2">
        <v>45683</v>
      </c>
      <c r="C47" t="s">
        <v>295</v>
      </c>
      <c r="D47" t="s">
        <v>84</v>
      </c>
      <c r="E47">
        <v>164</v>
      </c>
      <c r="F47">
        <v>805.14</v>
      </c>
      <c r="G47">
        <v>0</v>
      </c>
      <c r="H47">
        <v>18</v>
      </c>
      <c r="I47" t="s">
        <v>354</v>
      </c>
      <c r="J47" s="9">
        <f t="shared" si="0"/>
        <v>155810.69279999999</v>
      </c>
    </row>
    <row r="48" spans="1:10">
      <c r="A48" t="s">
        <v>402</v>
      </c>
      <c r="B48" s="2">
        <v>45683</v>
      </c>
      <c r="C48" t="s">
        <v>305</v>
      </c>
      <c r="D48" t="s">
        <v>104</v>
      </c>
      <c r="E48">
        <v>309</v>
      </c>
      <c r="F48">
        <v>178.78</v>
      </c>
      <c r="G48">
        <v>5</v>
      </c>
      <c r="H48">
        <v>18</v>
      </c>
      <c r="I48" t="s">
        <v>354</v>
      </c>
      <c r="J48" s="9">
        <f t="shared" si="0"/>
        <v>61927.425419999985</v>
      </c>
    </row>
    <row r="49" spans="1:10">
      <c r="A49" t="s">
        <v>403</v>
      </c>
      <c r="B49" s="2">
        <v>45685</v>
      </c>
      <c r="C49" t="s">
        <v>320</v>
      </c>
      <c r="D49" t="s">
        <v>106</v>
      </c>
      <c r="E49">
        <v>130</v>
      </c>
      <c r="F49">
        <v>364.31</v>
      </c>
      <c r="G49">
        <v>5</v>
      </c>
      <c r="H49">
        <v>18</v>
      </c>
      <c r="I49" t="s">
        <v>365</v>
      </c>
      <c r="J49" s="9">
        <f t="shared" si="0"/>
        <v>53090.8963</v>
      </c>
    </row>
    <row r="50" spans="1:10">
      <c r="A50" t="s">
        <v>404</v>
      </c>
      <c r="B50" s="2">
        <v>45685</v>
      </c>
      <c r="C50" t="s">
        <v>285</v>
      </c>
      <c r="D50" t="s">
        <v>93</v>
      </c>
      <c r="E50">
        <v>140</v>
      </c>
      <c r="F50">
        <v>1477.07</v>
      </c>
      <c r="G50">
        <v>0</v>
      </c>
      <c r="H50">
        <v>18</v>
      </c>
      <c r="I50" t="s">
        <v>354</v>
      </c>
      <c r="J50" s="9">
        <f t="shared" si="0"/>
        <v>244011.96399999998</v>
      </c>
    </row>
    <row r="51" spans="1:10">
      <c r="A51" t="s">
        <v>405</v>
      </c>
      <c r="B51" s="2">
        <v>45685</v>
      </c>
      <c r="C51" t="s">
        <v>342</v>
      </c>
      <c r="D51" t="s">
        <v>114</v>
      </c>
      <c r="E51">
        <v>408</v>
      </c>
      <c r="F51">
        <v>67.69</v>
      </c>
      <c r="G51">
        <v>7</v>
      </c>
      <c r="H51">
        <v>12</v>
      </c>
      <c r="I51" t="s">
        <v>354</v>
      </c>
      <c r="J51" s="9">
        <f t="shared" si="0"/>
        <v>28766.408832000001</v>
      </c>
    </row>
    <row r="52" spans="1:10">
      <c r="A52" t="s">
        <v>406</v>
      </c>
      <c r="B52" s="2">
        <v>45686</v>
      </c>
      <c r="C52" t="s">
        <v>332</v>
      </c>
      <c r="D52" t="s">
        <v>110</v>
      </c>
      <c r="E52">
        <v>92</v>
      </c>
      <c r="F52">
        <v>51.93</v>
      </c>
      <c r="G52">
        <v>0</v>
      </c>
      <c r="H52">
        <v>18</v>
      </c>
      <c r="I52" t="s">
        <v>354</v>
      </c>
      <c r="J52" s="9">
        <f t="shared" si="0"/>
        <v>5637.5208000000002</v>
      </c>
    </row>
    <row r="53" spans="1:10">
      <c r="A53" t="s">
        <v>407</v>
      </c>
      <c r="B53" s="2">
        <v>45686</v>
      </c>
      <c r="C53" t="s">
        <v>332</v>
      </c>
      <c r="D53" t="s">
        <v>110</v>
      </c>
      <c r="E53">
        <v>220</v>
      </c>
      <c r="F53">
        <v>54.66</v>
      </c>
      <c r="G53">
        <v>2</v>
      </c>
      <c r="H53">
        <v>18</v>
      </c>
      <c r="I53" t="s">
        <v>354</v>
      </c>
      <c r="J53" s="9">
        <f t="shared" si="0"/>
        <v>13905.941279999997</v>
      </c>
    </row>
    <row r="54" spans="1:10">
      <c r="A54" t="s">
        <v>408</v>
      </c>
      <c r="B54" s="2">
        <v>45686</v>
      </c>
      <c r="C54" t="s">
        <v>274</v>
      </c>
      <c r="D54" t="s">
        <v>87</v>
      </c>
      <c r="E54">
        <v>148</v>
      </c>
      <c r="F54">
        <v>131.15</v>
      </c>
      <c r="G54">
        <v>7</v>
      </c>
      <c r="H54">
        <v>18</v>
      </c>
      <c r="I54" t="s">
        <v>354</v>
      </c>
      <c r="J54" s="9">
        <f t="shared" si="0"/>
        <v>21300.753479999999</v>
      </c>
    </row>
    <row r="55" spans="1:10">
      <c r="A55" t="s">
        <v>409</v>
      </c>
      <c r="B55" s="2">
        <v>45686</v>
      </c>
      <c r="C55" t="s">
        <v>322</v>
      </c>
      <c r="D55" t="s">
        <v>104</v>
      </c>
      <c r="E55">
        <v>84</v>
      </c>
      <c r="F55">
        <v>198.76</v>
      </c>
      <c r="G55">
        <v>0</v>
      </c>
      <c r="H55">
        <v>18</v>
      </c>
      <c r="I55" t="s">
        <v>354</v>
      </c>
      <c r="J55" s="9">
        <f t="shared" si="0"/>
        <v>19701.091199999999</v>
      </c>
    </row>
    <row r="56" spans="1:10">
      <c r="A56" t="s">
        <v>410</v>
      </c>
      <c r="B56" s="2">
        <v>45688</v>
      </c>
      <c r="C56" t="s">
        <v>320</v>
      </c>
      <c r="D56" t="s">
        <v>104</v>
      </c>
      <c r="E56">
        <v>276</v>
      </c>
      <c r="F56">
        <v>189.66</v>
      </c>
      <c r="G56">
        <v>2</v>
      </c>
      <c r="H56">
        <v>18</v>
      </c>
      <c r="I56" t="s">
        <v>354</v>
      </c>
      <c r="J56" s="9">
        <f t="shared" si="0"/>
        <v>60533.099423999993</v>
      </c>
    </row>
    <row r="57" spans="1:10">
      <c r="A57" t="s">
        <v>411</v>
      </c>
      <c r="B57" s="2">
        <v>45688</v>
      </c>
      <c r="C57" t="s">
        <v>339</v>
      </c>
      <c r="D57" t="s">
        <v>117</v>
      </c>
      <c r="E57">
        <v>176</v>
      </c>
      <c r="F57">
        <v>16.93</v>
      </c>
      <c r="G57">
        <v>5</v>
      </c>
      <c r="H57">
        <v>12</v>
      </c>
      <c r="I57" t="s">
        <v>354</v>
      </c>
      <c r="J57" s="9">
        <f t="shared" si="0"/>
        <v>3170.3795200000004</v>
      </c>
    </row>
    <row r="58" spans="1:10">
      <c r="A58" t="s">
        <v>412</v>
      </c>
      <c r="B58" s="2">
        <v>45689</v>
      </c>
      <c r="C58" t="s">
        <v>271</v>
      </c>
      <c r="D58" t="s">
        <v>108</v>
      </c>
      <c r="E58">
        <v>258</v>
      </c>
      <c r="F58">
        <v>33.26</v>
      </c>
      <c r="G58">
        <v>5</v>
      </c>
      <c r="H58">
        <v>18</v>
      </c>
      <c r="I58" t="s">
        <v>354</v>
      </c>
      <c r="J58" s="9">
        <f t="shared" si="0"/>
        <v>9619.3906799999986</v>
      </c>
    </row>
    <row r="59" spans="1:10">
      <c r="A59" t="s">
        <v>413</v>
      </c>
      <c r="B59" s="2">
        <v>45689</v>
      </c>
      <c r="C59" t="s">
        <v>325</v>
      </c>
      <c r="D59" t="s">
        <v>99</v>
      </c>
      <c r="E59">
        <v>211</v>
      </c>
      <c r="F59">
        <v>222.95</v>
      </c>
      <c r="G59">
        <v>0</v>
      </c>
      <c r="H59">
        <v>18</v>
      </c>
      <c r="I59" t="s">
        <v>354</v>
      </c>
      <c r="J59" s="9">
        <f t="shared" si="0"/>
        <v>55510.090999999993</v>
      </c>
    </row>
    <row r="60" spans="1:10">
      <c r="A60" t="s">
        <v>414</v>
      </c>
      <c r="B60" s="2">
        <v>45689</v>
      </c>
      <c r="C60" t="s">
        <v>280</v>
      </c>
      <c r="D60" t="s">
        <v>89</v>
      </c>
      <c r="E60">
        <v>279</v>
      </c>
      <c r="F60">
        <v>94.66</v>
      </c>
      <c r="G60">
        <v>0</v>
      </c>
      <c r="H60">
        <v>18</v>
      </c>
      <c r="I60" t="s">
        <v>354</v>
      </c>
      <c r="J60" s="9">
        <f t="shared" si="0"/>
        <v>31163.965199999999</v>
      </c>
    </row>
    <row r="61" spans="1:10">
      <c r="A61" t="s">
        <v>415</v>
      </c>
      <c r="B61" s="2">
        <v>45689</v>
      </c>
      <c r="C61" t="s">
        <v>293</v>
      </c>
      <c r="D61" t="s">
        <v>75</v>
      </c>
      <c r="E61">
        <v>142</v>
      </c>
      <c r="F61">
        <v>86.25</v>
      </c>
      <c r="G61">
        <v>0</v>
      </c>
      <c r="H61">
        <v>18</v>
      </c>
      <c r="I61" t="s">
        <v>354</v>
      </c>
      <c r="J61" s="9">
        <f t="shared" si="0"/>
        <v>14452.05</v>
      </c>
    </row>
    <row r="62" spans="1:10">
      <c r="A62" t="s">
        <v>416</v>
      </c>
      <c r="B62" s="2">
        <v>45690</v>
      </c>
      <c r="C62" t="s">
        <v>317</v>
      </c>
      <c r="D62" t="s">
        <v>91</v>
      </c>
      <c r="E62">
        <v>387</v>
      </c>
      <c r="F62">
        <v>472.42</v>
      </c>
      <c r="G62">
        <v>10</v>
      </c>
      <c r="H62">
        <v>18</v>
      </c>
      <c r="I62" t="s">
        <v>354</v>
      </c>
      <c r="J62" s="9">
        <f t="shared" si="0"/>
        <v>194161.78547999999</v>
      </c>
    </row>
    <row r="63" spans="1:10">
      <c r="A63" t="s">
        <v>417</v>
      </c>
      <c r="B63" s="2">
        <v>45690</v>
      </c>
      <c r="C63" t="s">
        <v>336</v>
      </c>
      <c r="D63" t="s">
        <v>119</v>
      </c>
      <c r="E63">
        <v>331</v>
      </c>
      <c r="F63">
        <v>30.75</v>
      </c>
      <c r="G63">
        <v>0</v>
      </c>
      <c r="H63">
        <v>12</v>
      </c>
      <c r="I63" t="s">
        <v>365</v>
      </c>
      <c r="J63" s="9">
        <f t="shared" si="0"/>
        <v>11399.640000000001</v>
      </c>
    </row>
    <row r="64" spans="1:10">
      <c r="A64" t="s">
        <v>418</v>
      </c>
      <c r="B64" s="2">
        <v>45690</v>
      </c>
      <c r="C64" t="s">
        <v>307</v>
      </c>
      <c r="D64" t="s">
        <v>65</v>
      </c>
      <c r="E64">
        <v>245</v>
      </c>
      <c r="F64">
        <v>187.27</v>
      </c>
      <c r="G64">
        <v>7</v>
      </c>
      <c r="H64">
        <v>18</v>
      </c>
      <c r="I64" t="s">
        <v>354</v>
      </c>
      <c r="J64" s="9">
        <f t="shared" si="0"/>
        <v>50349.974009999998</v>
      </c>
    </row>
    <row r="65" spans="1:10">
      <c r="A65" t="s">
        <v>419</v>
      </c>
      <c r="B65" s="2">
        <v>45691</v>
      </c>
      <c r="C65" t="s">
        <v>283</v>
      </c>
      <c r="D65" t="s">
        <v>102</v>
      </c>
      <c r="E65">
        <v>455</v>
      </c>
      <c r="F65">
        <v>638.69000000000005</v>
      </c>
      <c r="G65">
        <v>2</v>
      </c>
      <c r="H65">
        <v>18</v>
      </c>
      <c r="I65" t="s">
        <v>354</v>
      </c>
      <c r="J65" s="9">
        <f t="shared" si="0"/>
        <v>336054.40777999995</v>
      </c>
    </row>
    <row r="66" spans="1:10">
      <c r="A66" t="s">
        <v>420</v>
      </c>
      <c r="B66" s="2">
        <v>45691</v>
      </c>
      <c r="C66" t="s">
        <v>344</v>
      </c>
      <c r="D66" t="s">
        <v>106</v>
      </c>
      <c r="E66">
        <v>355</v>
      </c>
      <c r="F66">
        <v>366.07</v>
      </c>
      <c r="G66">
        <v>2</v>
      </c>
      <c r="H66">
        <v>18</v>
      </c>
      <c r="I66" t="s">
        <v>354</v>
      </c>
      <c r="J66" s="9">
        <f t="shared" si="0"/>
        <v>150279.78853999998</v>
      </c>
    </row>
    <row r="67" spans="1:10">
      <c r="A67" t="s">
        <v>421</v>
      </c>
      <c r="B67" s="2">
        <v>45692</v>
      </c>
      <c r="C67" t="s">
        <v>307</v>
      </c>
      <c r="D67" t="s">
        <v>65</v>
      </c>
      <c r="E67">
        <v>418</v>
      </c>
      <c r="F67">
        <v>187.54</v>
      </c>
      <c r="G67">
        <v>0</v>
      </c>
      <c r="H67">
        <v>18</v>
      </c>
      <c r="I67" t="s">
        <v>354</v>
      </c>
      <c r="J67" s="9">
        <f t="shared" ref="J67:J130" si="1">E67*F67*(1-G67/100)*(1+H67/100)</f>
        <v>92502.229599999991</v>
      </c>
    </row>
    <row r="68" spans="1:10">
      <c r="A68" t="s">
        <v>422</v>
      </c>
      <c r="B68" s="2">
        <v>45692</v>
      </c>
      <c r="C68" t="s">
        <v>266</v>
      </c>
      <c r="D68" t="s">
        <v>95</v>
      </c>
      <c r="E68">
        <v>278</v>
      </c>
      <c r="F68">
        <v>270.58999999999997</v>
      </c>
      <c r="G68">
        <v>5</v>
      </c>
      <c r="H68">
        <v>18</v>
      </c>
      <c r="I68" t="s">
        <v>354</v>
      </c>
      <c r="J68" s="9">
        <f t="shared" si="1"/>
        <v>84326.126419999986</v>
      </c>
    </row>
    <row r="69" spans="1:10">
      <c r="A69" t="s">
        <v>423</v>
      </c>
      <c r="B69" s="2">
        <v>45692</v>
      </c>
      <c r="C69" t="s">
        <v>295</v>
      </c>
      <c r="D69" t="s">
        <v>84</v>
      </c>
      <c r="E69">
        <v>424</v>
      </c>
      <c r="F69">
        <v>751.33</v>
      </c>
      <c r="G69">
        <v>2</v>
      </c>
      <c r="H69">
        <v>18</v>
      </c>
      <c r="I69" t="s">
        <v>354</v>
      </c>
      <c r="J69" s="9">
        <f t="shared" si="1"/>
        <v>368387.31708800001</v>
      </c>
    </row>
    <row r="70" spans="1:10">
      <c r="A70" t="s">
        <v>424</v>
      </c>
      <c r="B70" s="2">
        <v>45693</v>
      </c>
      <c r="C70" t="s">
        <v>344</v>
      </c>
      <c r="D70" t="s">
        <v>84</v>
      </c>
      <c r="E70">
        <v>196</v>
      </c>
      <c r="F70">
        <v>757.18</v>
      </c>
      <c r="G70">
        <v>10</v>
      </c>
      <c r="H70">
        <v>18</v>
      </c>
      <c r="I70" t="s">
        <v>354</v>
      </c>
      <c r="J70" s="9">
        <f t="shared" si="1"/>
        <v>157608.53135999999</v>
      </c>
    </row>
    <row r="71" spans="1:10">
      <c r="A71" t="s">
        <v>425</v>
      </c>
      <c r="B71" s="2">
        <v>45693</v>
      </c>
      <c r="C71" t="s">
        <v>327</v>
      </c>
      <c r="D71" t="s">
        <v>119</v>
      </c>
      <c r="E71">
        <v>112</v>
      </c>
      <c r="F71">
        <v>32.18</v>
      </c>
      <c r="G71">
        <v>0</v>
      </c>
      <c r="H71">
        <v>12</v>
      </c>
      <c r="I71" t="s">
        <v>354</v>
      </c>
      <c r="J71" s="9">
        <f t="shared" si="1"/>
        <v>4036.6592000000001</v>
      </c>
    </row>
    <row r="72" spans="1:10">
      <c r="A72" t="s">
        <v>426</v>
      </c>
      <c r="B72" s="2">
        <v>45693</v>
      </c>
      <c r="C72" t="s">
        <v>330</v>
      </c>
      <c r="D72" t="s">
        <v>104</v>
      </c>
      <c r="E72">
        <v>403</v>
      </c>
      <c r="F72">
        <v>186.36</v>
      </c>
      <c r="G72">
        <v>5</v>
      </c>
      <c r="H72">
        <v>18</v>
      </c>
      <c r="I72" t="s">
        <v>354</v>
      </c>
      <c r="J72" s="9">
        <f t="shared" si="1"/>
        <v>84190.552679999993</v>
      </c>
    </row>
    <row r="73" spans="1:10">
      <c r="A73" t="s">
        <v>427</v>
      </c>
      <c r="B73" s="2">
        <v>45693</v>
      </c>
      <c r="C73" t="s">
        <v>330</v>
      </c>
      <c r="D73" t="s">
        <v>106</v>
      </c>
      <c r="E73">
        <v>269</v>
      </c>
      <c r="F73">
        <v>358.5</v>
      </c>
      <c r="G73">
        <v>5</v>
      </c>
      <c r="H73">
        <v>18</v>
      </c>
      <c r="I73" t="s">
        <v>365</v>
      </c>
      <c r="J73" s="9">
        <f t="shared" si="1"/>
        <v>108105.3165</v>
      </c>
    </row>
    <row r="74" spans="1:10">
      <c r="A74" t="s">
        <v>428</v>
      </c>
      <c r="B74" s="2">
        <v>45694</v>
      </c>
      <c r="C74" t="s">
        <v>307</v>
      </c>
      <c r="D74" t="s">
        <v>68</v>
      </c>
      <c r="E74">
        <v>702</v>
      </c>
      <c r="F74">
        <v>316.43</v>
      </c>
      <c r="G74">
        <v>2</v>
      </c>
      <c r="H74">
        <v>18</v>
      </c>
      <c r="I74" t="s">
        <v>354</v>
      </c>
      <c r="J74" s="9">
        <f t="shared" si="1"/>
        <v>256875.59570400001</v>
      </c>
    </row>
    <row r="75" spans="1:10">
      <c r="A75" t="s">
        <v>429</v>
      </c>
      <c r="B75" s="2">
        <v>45694</v>
      </c>
      <c r="C75" t="s">
        <v>295</v>
      </c>
      <c r="D75" t="s">
        <v>65</v>
      </c>
      <c r="E75">
        <v>370</v>
      </c>
      <c r="F75">
        <v>189.64</v>
      </c>
      <c r="G75">
        <v>3</v>
      </c>
      <c r="H75">
        <v>18</v>
      </c>
      <c r="I75" t="s">
        <v>359</v>
      </c>
      <c r="J75" s="9">
        <f t="shared" si="1"/>
        <v>80312.919279999987</v>
      </c>
    </row>
    <row r="76" spans="1:10">
      <c r="A76" t="s">
        <v>430</v>
      </c>
      <c r="B76" s="2">
        <v>45694</v>
      </c>
      <c r="C76" t="s">
        <v>287</v>
      </c>
      <c r="D76" t="s">
        <v>93</v>
      </c>
      <c r="E76">
        <v>670</v>
      </c>
      <c r="F76">
        <v>1486.07</v>
      </c>
      <c r="G76">
        <v>0</v>
      </c>
      <c r="H76">
        <v>18</v>
      </c>
      <c r="I76" t="s">
        <v>354</v>
      </c>
      <c r="J76" s="9">
        <f t="shared" si="1"/>
        <v>1174886.9419999998</v>
      </c>
    </row>
    <row r="77" spans="1:10">
      <c r="A77" t="s">
        <v>431</v>
      </c>
      <c r="B77" s="2">
        <v>45695</v>
      </c>
      <c r="C77" t="s">
        <v>280</v>
      </c>
      <c r="D77" t="s">
        <v>70</v>
      </c>
      <c r="E77">
        <v>131</v>
      </c>
      <c r="F77">
        <v>250.94</v>
      </c>
      <c r="G77">
        <v>5</v>
      </c>
      <c r="H77">
        <v>18</v>
      </c>
      <c r="I77" t="s">
        <v>354</v>
      </c>
      <c r="J77" s="9">
        <f t="shared" si="1"/>
        <v>36850.789939999995</v>
      </c>
    </row>
    <row r="78" spans="1:10">
      <c r="A78" t="s">
        <v>432</v>
      </c>
      <c r="B78" s="2">
        <v>45695</v>
      </c>
      <c r="C78" t="s">
        <v>314</v>
      </c>
      <c r="D78" t="s">
        <v>95</v>
      </c>
      <c r="E78">
        <v>147</v>
      </c>
      <c r="F78">
        <v>254.01</v>
      </c>
      <c r="G78">
        <v>0</v>
      </c>
      <c r="H78">
        <v>18</v>
      </c>
      <c r="I78" t="s">
        <v>354</v>
      </c>
      <c r="J78" s="9">
        <f t="shared" si="1"/>
        <v>44060.5746</v>
      </c>
    </row>
    <row r="79" spans="1:10">
      <c r="A79" t="s">
        <v>433</v>
      </c>
      <c r="B79" s="2">
        <v>45696</v>
      </c>
      <c r="C79" t="s">
        <v>285</v>
      </c>
      <c r="D79" t="s">
        <v>102</v>
      </c>
      <c r="E79">
        <v>140</v>
      </c>
      <c r="F79">
        <v>612.16</v>
      </c>
      <c r="G79">
        <v>2</v>
      </c>
      <c r="H79">
        <v>18</v>
      </c>
      <c r="I79" t="s">
        <v>354</v>
      </c>
      <c r="J79" s="9">
        <f t="shared" si="1"/>
        <v>99106.255359999996</v>
      </c>
    </row>
    <row r="80" spans="1:10">
      <c r="A80" t="s">
        <v>434</v>
      </c>
      <c r="B80" s="2">
        <v>45696</v>
      </c>
      <c r="C80" t="s">
        <v>310</v>
      </c>
      <c r="D80" t="s">
        <v>89</v>
      </c>
      <c r="E80">
        <v>162</v>
      </c>
      <c r="F80">
        <v>101.32</v>
      </c>
      <c r="G80">
        <v>5</v>
      </c>
      <c r="H80">
        <v>18</v>
      </c>
      <c r="I80" t="s">
        <v>354</v>
      </c>
      <c r="J80" s="9">
        <f t="shared" si="1"/>
        <v>18399.914639999999</v>
      </c>
    </row>
    <row r="81" spans="1:10">
      <c r="A81" t="s">
        <v>435</v>
      </c>
      <c r="B81" s="2">
        <v>45697</v>
      </c>
      <c r="C81" t="s">
        <v>305</v>
      </c>
      <c r="D81" t="s">
        <v>79</v>
      </c>
      <c r="E81">
        <v>198</v>
      </c>
      <c r="F81">
        <v>43.79</v>
      </c>
      <c r="G81">
        <v>0</v>
      </c>
      <c r="H81">
        <v>18</v>
      </c>
      <c r="I81" t="s">
        <v>365</v>
      </c>
      <c r="J81" s="9">
        <f t="shared" si="1"/>
        <v>10231.095599999999</v>
      </c>
    </row>
    <row r="82" spans="1:10">
      <c r="A82" t="s">
        <v>436</v>
      </c>
      <c r="B82" s="2">
        <v>45697</v>
      </c>
      <c r="C82" t="s">
        <v>302</v>
      </c>
      <c r="D82" t="s">
        <v>75</v>
      </c>
      <c r="E82">
        <v>161</v>
      </c>
      <c r="F82">
        <v>83.7</v>
      </c>
      <c r="G82">
        <v>3</v>
      </c>
      <c r="H82">
        <v>18</v>
      </c>
      <c r="I82" t="s">
        <v>354</v>
      </c>
      <c r="J82" s="9">
        <f t="shared" si="1"/>
        <v>15424.28622</v>
      </c>
    </row>
    <row r="83" spans="1:10">
      <c r="A83" t="s">
        <v>437</v>
      </c>
      <c r="B83" s="2">
        <v>45698</v>
      </c>
      <c r="C83" t="s">
        <v>320</v>
      </c>
      <c r="D83" t="s">
        <v>95</v>
      </c>
      <c r="E83">
        <v>350</v>
      </c>
      <c r="F83">
        <v>274.7</v>
      </c>
      <c r="G83">
        <v>2</v>
      </c>
      <c r="H83">
        <v>18</v>
      </c>
      <c r="I83" t="s">
        <v>354</v>
      </c>
      <c r="J83" s="9">
        <f t="shared" si="1"/>
        <v>111182.07799999998</v>
      </c>
    </row>
    <row r="84" spans="1:10">
      <c r="A84" t="s">
        <v>438</v>
      </c>
      <c r="B84" s="2">
        <v>45698</v>
      </c>
      <c r="C84" t="s">
        <v>302</v>
      </c>
      <c r="D84" t="s">
        <v>77</v>
      </c>
      <c r="E84">
        <v>110</v>
      </c>
      <c r="F84">
        <v>111.38</v>
      </c>
      <c r="G84">
        <v>0</v>
      </c>
      <c r="H84">
        <v>18</v>
      </c>
      <c r="I84" t="s">
        <v>354</v>
      </c>
      <c r="J84" s="9">
        <f t="shared" si="1"/>
        <v>14457.123999999998</v>
      </c>
    </row>
    <row r="85" spans="1:10">
      <c r="A85" t="s">
        <v>439</v>
      </c>
      <c r="B85" s="2">
        <v>45698</v>
      </c>
      <c r="C85" t="s">
        <v>327</v>
      </c>
      <c r="D85" t="s">
        <v>117</v>
      </c>
      <c r="E85">
        <v>252</v>
      </c>
      <c r="F85">
        <v>19.43</v>
      </c>
      <c r="G85">
        <v>0</v>
      </c>
      <c r="H85">
        <v>12</v>
      </c>
      <c r="I85" t="s">
        <v>354</v>
      </c>
      <c r="J85" s="9">
        <f t="shared" si="1"/>
        <v>5483.9232000000002</v>
      </c>
    </row>
    <row r="86" spans="1:10">
      <c r="A86" t="s">
        <v>440</v>
      </c>
      <c r="B86" s="2">
        <v>45699</v>
      </c>
      <c r="C86" t="s">
        <v>327</v>
      </c>
      <c r="D86" t="s">
        <v>117</v>
      </c>
      <c r="E86">
        <v>224</v>
      </c>
      <c r="F86">
        <v>18.07</v>
      </c>
      <c r="G86">
        <v>2</v>
      </c>
      <c r="H86">
        <v>12</v>
      </c>
      <c r="I86" t="s">
        <v>354</v>
      </c>
      <c r="J86" s="9">
        <f t="shared" si="1"/>
        <v>4442.7335680000006</v>
      </c>
    </row>
    <row r="87" spans="1:10">
      <c r="A87" t="s">
        <v>441</v>
      </c>
      <c r="B87" s="2">
        <v>45700</v>
      </c>
      <c r="C87" t="s">
        <v>278</v>
      </c>
      <c r="D87" t="s">
        <v>65</v>
      </c>
      <c r="E87">
        <v>127</v>
      </c>
      <c r="F87">
        <v>184.81</v>
      </c>
      <c r="G87">
        <v>7</v>
      </c>
      <c r="H87">
        <v>18</v>
      </c>
      <c r="I87" t="s">
        <v>354</v>
      </c>
      <c r="J87" s="9">
        <f t="shared" si="1"/>
        <v>25756.932737999996</v>
      </c>
    </row>
    <row r="88" spans="1:10">
      <c r="A88" t="s">
        <v>442</v>
      </c>
      <c r="B88" s="2">
        <v>45701</v>
      </c>
      <c r="C88" t="s">
        <v>314</v>
      </c>
      <c r="D88" t="s">
        <v>104</v>
      </c>
      <c r="E88">
        <v>181</v>
      </c>
      <c r="F88">
        <v>188.31</v>
      </c>
      <c r="G88">
        <v>10</v>
      </c>
      <c r="H88">
        <v>18</v>
      </c>
      <c r="I88" t="s">
        <v>354</v>
      </c>
      <c r="J88" s="9">
        <f t="shared" si="1"/>
        <v>36197.324820000002</v>
      </c>
    </row>
    <row r="89" spans="1:10">
      <c r="A89" t="s">
        <v>443</v>
      </c>
      <c r="B89" s="2">
        <v>45701</v>
      </c>
      <c r="C89" t="s">
        <v>327</v>
      </c>
      <c r="D89" t="s">
        <v>119</v>
      </c>
      <c r="E89">
        <v>198</v>
      </c>
      <c r="F89">
        <v>30.47</v>
      </c>
      <c r="G89">
        <v>0</v>
      </c>
      <c r="H89">
        <v>12</v>
      </c>
      <c r="I89" t="s">
        <v>354</v>
      </c>
      <c r="J89" s="9">
        <f t="shared" si="1"/>
        <v>6757.0272000000004</v>
      </c>
    </row>
    <row r="90" spans="1:10">
      <c r="A90" t="s">
        <v>444</v>
      </c>
      <c r="B90" s="2">
        <v>45701</v>
      </c>
      <c r="C90" t="s">
        <v>322</v>
      </c>
      <c r="D90" t="s">
        <v>93</v>
      </c>
      <c r="E90">
        <v>97</v>
      </c>
      <c r="F90">
        <v>1523.98</v>
      </c>
      <c r="G90">
        <v>10</v>
      </c>
      <c r="H90">
        <v>18</v>
      </c>
      <c r="I90" t="s">
        <v>365</v>
      </c>
      <c r="J90" s="9">
        <f t="shared" si="1"/>
        <v>156991.27571999998</v>
      </c>
    </row>
    <row r="91" spans="1:10">
      <c r="A91" t="s">
        <v>445</v>
      </c>
      <c r="B91" s="2">
        <v>45702</v>
      </c>
      <c r="C91" t="s">
        <v>325</v>
      </c>
      <c r="D91" t="s">
        <v>99</v>
      </c>
      <c r="E91">
        <v>332</v>
      </c>
      <c r="F91">
        <v>225.37</v>
      </c>
      <c r="G91">
        <v>7</v>
      </c>
      <c r="H91">
        <v>18</v>
      </c>
      <c r="I91" t="s">
        <v>354</v>
      </c>
      <c r="J91" s="9">
        <f t="shared" si="1"/>
        <v>82110.584615999978</v>
      </c>
    </row>
    <row r="92" spans="1:10">
      <c r="A92" t="s">
        <v>446</v>
      </c>
      <c r="B92" s="2">
        <v>45703</v>
      </c>
      <c r="C92" t="s">
        <v>302</v>
      </c>
      <c r="D92" t="s">
        <v>104</v>
      </c>
      <c r="E92">
        <v>327</v>
      </c>
      <c r="F92">
        <v>196.72</v>
      </c>
      <c r="G92">
        <v>10</v>
      </c>
      <c r="H92">
        <v>18</v>
      </c>
      <c r="I92" t="s">
        <v>354</v>
      </c>
      <c r="J92" s="9">
        <f t="shared" si="1"/>
        <v>68315.741280000002</v>
      </c>
    </row>
    <row r="93" spans="1:10">
      <c r="A93" t="s">
        <v>447</v>
      </c>
      <c r="B93" s="2">
        <v>45703</v>
      </c>
      <c r="C93" t="s">
        <v>314</v>
      </c>
      <c r="D93" t="s">
        <v>91</v>
      </c>
      <c r="E93">
        <v>134</v>
      </c>
      <c r="F93">
        <v>460.86</v>
      </c>
      <c r="G93">
        <v>0</v>
      </c>
      <c r="H93">
        <v>18</v>
      </c>
      <c r="I93" t="s">
        <v>354</v>
      </c>
      <c r="J93" s="9">
        <f t="shared" si="1"/>
        <v>72871.183199999999</v>
      </c>
    </row>
    <row r="94" spans="1:10">
      <c r="A94" t="s">
        <v>448</v>
      </c>
      <c r="B94" s="2">
        <v>45703</v>
      </c>
      <c r="C94" t="s">
        <v>283</v>
      </c>
      <c r="D94" t="s">
        <v>70</v>
      </c>
      <c r="E94">
        <v>515</v>
      </c>
      <c r="F94">
        <v>242.55</v>
      </c>
      <c r="G94">
        <v>5</v>
      </c>
      <c r="H94">
        <v>18</v>
      </c>
      <c r="I94" t="s">
        <v>365</v>
      </c>
      <c r="J94" s="9">
        <f t="shared" si="1"/>
        <v>140027.75324999998</v>
      </c>
    </row>
    <row r="95" spans="1:10">
      <c r="A95" t="s">
        <v>449</v>
      </c>
      <c r="B95" s="2">
        <v>45704</v>
      </c>
      <c r="C95" t="s">
        <v>287</v>
      </c>
      <c r="D95" t="s">
        <v>93</v>
      </c>
      <c r="E95">
        <v>219</v>
      </c>
      <c r="F95">
        <v>1454.22</v>
      </c>
      <c r="G95">
        <v>0</v>
      </c>
      <c r="H95">
        <v>18</v>
      </c>
      <c r="I95" t="s">
        <v>365</v>
      </c>
      <c r="J95" s="9">
        <f t="shared" si="1"/>
        <v>375799.53239999997</v>
      </c>
    </row>
    <row r="96" spans="1:10">
      <c r="A96" t="s">
        <v>450</v>
      </c>
      <c r="B96" s="2">
        <v>45704</v>
      </c>
      <c r="C96" t="s">
        <v>278</v>
      </c>
      <c r="D96" t="s">
        <v>87</v>
      </c>
      <c r="E96">
        <v>674</v>
      </c>
      <c r="F96">
        <v>120.06</v>
      </c>
      <c r="G96">
        <v>3</v>
      </c>
      <c r="H96">
        <v>18</v>
      </c>
      <c r="I96" t="s">
        <v>354</v>
      </c>
      <c r="J96" s="9">
        <f t="shared" si="1"/>
        <v>92621.535623999996</v>
      </c>
    </row>
    <row r="97" spans="1:10">
      <c r="A97" t="s">
        <v>451</v>
      </c>
      <c r="B97" s="2">
        <v>45704</v>
      </c>
      <c r="C97" t="s">
        <v>314</v>
      </c>
      <c r="D97" t="s">
        <v>95</v>
      </c>
      <c r="E97">
        <v>344</v>
      </c>
      <c r="F97">
        <v>256.08999999999997</v>
      </c>
      <c r="G97">
        <v>0</v>
      </c>
      <c r="H97">
        <v>18</v>
      </c>
      <c r="I97" t="s">
        <v>365</v>
      </c>
      <c r="J97" s="9">
        <f t="shared" si="1"/>
        <v>103952.05279999999</v>
      </c>
    </row>
    <row r="98" spans="1:10">
      <c r="A98" t="s">
        <v>452</v>
      </c>
      <c r="B98" s="2">
        <v>45707</v>
      </c>
      <c r="C98" t="s">
        <v>320</v>
      </c>
      <c r="D98" t="s">
        <v>93</v>
      </c>
      <c r="E98">
        <v>332</v>
      </c>
      <c r="F98">
        <v>1452.53</v>
      </c>
      <c r="G98">
        <v>0</v>
      </c>
      <c r="H98">
        <v>18</v>
      </c>
      <c r="I98" t="s">
        <v>365</v>
      </c>
      <c r="J98" s="9">
        <f t="shared" si="1"/>
        <v>569043.15279999992</v>
      </c>
    </row>
    <row r="99" spans="1:10">
      <c r="A99" t="s">
        <v>453</v>
      </c>
      <c r="B99" s="2">
        <v>45707</v>
      </c>
      <c r="C99" t="s">
        <v>287</v>
      </c>
      <c r="D99" t="s">
        <v>89</v>
      </c>
      <c r="E99">
        <v>135</v>
      </c>
      <c r="F99">
        <v>90.86</v>
      </c>
      <c r="G99">
        <v>5</v>
      </c>
      <c r="H99">
        <v>18</v>
      </c>
      <c r="I99" t="s">
        <v>354</v>
      </c>
      <c r="J99" s="9">
        <f t="shared" si="1"/>
        <v>13750.2981</v>
      </c>
    </row>
    <row r="100" spans="1:10">
      <c r="A100" t="s">
        <v>454</v>
      </c>
      <c r="B100" s="2">
        <v>45708</v>
      </c>
      <c r="C100" t="s">
        <v>285</v>
      </c>
      <c r="D100" t="s">
        <v>89</v>
      </c>
      <c r="E100">
        <v>87</v>
      </c>
      <c r="F100">
        <v>91.81</v>
      </c>
      <c r="G100">
        <v>0</v>
      </c>
      <c r="H100">
        <v>18</v>
      </c>
      <c r="I100" t="s">
        <v>365</v>
      </c>
      <c r="J100" s="9">
        <f t="shared" si="1"/>
        <v>9425.2145999999993</v>
      </c>
    </row>
    <row r="101" spans="1:10">
      <c r="A101" t="s">
        <v>455</v>
      </c>
      <c r="B101" s="2">
        <v>45708</v>
      </c>
      <c r="C101" t="s">
        <v>287</v>
      </c>
      <c r="D101" t="s">
        <v>102</v>
      </c>
      <c r="E101">
        <v>393</v>
      </c>
      <c r="F101">
        <v>643.44000000000005</v>
      </c>
      <c r="G101">
        <v>0</v>
      </c>
      <c r="H101">
        <v>18</v>
      </c>
      <c r="I101" t="s">
        <v>354</v>
      </c>
      <c r="J101" s="9">
        <f t="shared" si="1"/>
        <v>298388.86560000002</v>
      </c>
    </row>
    <row r="102" spans="1:10">
      <c r="A102" t="s">
        <v>456</v>
      </c>
      <c r="B102" s="2">
        <v>45708</v>
      </c>
      <c r="C102" t="s">
        <v>283</v>
      </c>
      <c r="D102" t="s">
        <v>70</v>
      </c>
      <c r="E102">
        <v>276</v>
      </c>
      <c r="F102">
        <v>232.84</v>
      </c>
      <c r="G102">
        <v>3</v>
      </c>
      <c r="H102">
        <v>18</v>
      </c>
      <c r="I102" t="s">
        <v>354</v>
      </c>
      <c r="J102" s="9">
        <f t="shared" si="1"/>
        <v>73556.391263999991</v>
      </c>
    </row>
    <row r="103" spans="1:10">
      <c r="A103" t="s">
        <v>457</v>
      </c>
      <c r="B103" s="2">
        <v>45708</v>
      </c>
      <c r="C103" t="s">
        <v>285</v>
      </c>
      <c r="D103" t="s">
        <v>102</v>
      </c>
      <c r="E103">
        <v>155</v>
      </c>
      <c r="F103">
        <v>657.5</v>
      </c>
      <c r="G103">
        <v>3</v>
      </c>
      <c r="H103">
        <v>18</v>
      </c>
      <c r="I103" t="s">
        <v>359</v>
      </c>
      <c r="J103" s="9">
        <f t="shared" si="1"/>
        <v>116649.0475</v>
      </c>
    </row>
    <row r="104" spans="1:10">
      <c r="A104" t="s">
        <v>458</v>
      </c>
      <c r="B104" s="2">
        <v>45709</v>
      </c>
      <c r="C104" t="s">
        <v>342</v>
      </c>
      <c r="D104" t="s">
        <v>117</v>
      </c>
      <c r="E104">
        <v>121</v>
      </c>
      <c r="F104">
        <v>17.32</v>
      </c>
      <c r="G104">
        <v>5</v>
      </c>
      <c r="H104">
        <v>12</v>
      </c>
      <c r="I104" t="s">
        <v>354</v>
      </c>
      <c r="J104" s="9">
        <f t="shared" si="1"/>
        <v>2229.8460800000003</v>
      </c>
    </row>
    <row r="105" spans="1:10">
      <c r="A105" t="s">
        <v>459</v>
      </c>
      <c r="B105" s="2">
        <v>45709</v>
      </c>
      <c r="C105" t="s">
        <v>314</v>
      </c>
      <c r="D105" t="s">
        <v>84</v>
      </c>
      <c r="E105">
        <v>262</v>
      </c>
      <c r="F105">
        <v>839.38</v>
      </c>
      <c r="G105">
        <v>7</v>
      </c>
      <c r="H105">
        <v>18</v>
      </c>
      <c r="I105" t="s">
        <v>354</v>
      </c>
      <c r="J105" s="9">
        <f t="shared" si="1"/>
        <v>241337.53034399997</v>
      </c>
    </row>
    <row r="106" spans="1:10">
      <c r="A106" t="s">
        <v>460</v>
      </c>
      <c r="B106" s="2">
        <v>45710</v>
      </c>
      <c r="C106" t="s">
        <v>307</v>
      </c>
      <c r="D106" t="s">
        <v>65</v>
      </c>
      <c r="E106">
        <v>192</v>
      </c>
      <c r="F106">
        <v>186.47</v>
      </c>
      <c r="G106">
        <v>10</v>
      </c>
      <c r="H106">
        <v>18</v>
      </c>
      <c r="I106" t="s">
        <v>354</v>
      </c>
      <c r="J106" s="9">
        <f t="shared" si="1"/>
        <v>38021.978879999995</v>
      </c>
    </row>
    <row r="107" spans="1:10">
      <c r="A107" t="s">
        <v>461</v>
      </c>
      <c r="B107" s="2">
        <v>45710</v>
      </c>
      <c r="C107" t="s">
        <v>336</v>
      </c>
      <c r="D107" t="s">
        <v>114</v>
      </c>
      <c r="E107">
        <v>170</v>
      </c>
      <c r="F107">
        <v>63.72</v>
      </c>
      <c r="G107">
        <v>0</v>
      </c>
      <c r="H107">
        <v>12</v>
      </c>
      <c r="I107" t="s">
        <v>354</v>
      </c>
      <c r="J107" s="9">
        <f t="shared" si="1"/>
        <v>12132.288</v>
      </c>
    </row>
    <row r="108" spans="1:10">
      <c r="A108" t="s">
        <v>462</v>
      </c>
      <c r="B108" s="2">
        <v>45710</v>
      </c>
      <c r="C108" t="s">
        <v>336</v>
      </c>
      <c r="D108" t="s">
        <v>117</v>
      </c>
      <c r="E108">
        <v>115</v>
      </c>
      <c r="F108">
        <v>16.97</v>
      </c>
      <c r="G108">
        <v>0</v>
      </c>
      <c r="H108">
        <v>12</v>
      </c>
      <c r="I108" t="s">
        <v>354</v>
      </c>
      <c r="J108" s="9">
        <f t="shared" si="1"/>
        <v>2185.7360000000003</v>
      </c>
    </row>
    <row r="109" spans="1:10">
      <c r="A109" t="s">
        <v>463</v>
      </c>
      <c r="B109" s="2">
        <v>45711</v>
      </c>
      <c r="C109" t="s">
        <v>330</v>
      </c>
      <c r="D109" t="s">
        <v>95</v>
      </c>
      <c r="E109">
        <v>278</v>
      </c>
      <c r="F109">
        <v>250.73</v>
      </c>
      <c r="G109">
        <v>0</v>
      </c>
      <c r="H109">
        <v>18</v>
      </c>
      <c r="I109" t="s">
        <v>354</v>
      </c>
      <c r="J109" s="9">
        <f t="shared" si="1"/>
        <v>82249.469199999992</v>
      </c>
    </row>
    <row r="110" spans="1:10">
      <c r="A110" t="s">
        <v>464</v>
      </c>
      <c r="B110" s="2">
        <v>45711</v>
      </c>
      <c r="C110" t="s">
        <v>320</v>
      </c>
      <c r="D110" t="s">
        <v>104</v>
      </c>
      <c r="E110">
        <v>633</v>
      </c>
      <c r="F110">
        <v>197.44</v>
      </c>
      <c r="G110">
        <v>0</v>
      </c>
      <c r="H110">
        <v>18</v>
      </c>
      <c r="I110" t="s">
        <v>365</v>
      </c>
      <c r="J110" s="9">
        <f t="shared" si="1"/>
        <v>147475.83359999998</v>
      </c>
    </row>
    <row r="111" spans="1:10">
      <c r="A111" t="s">
        <v>465</v>
      </c>
      <c r="B111" s="2">
        <v>45712</v>
      </c>
      <c r="C111" t="s">
        <v>310</v>
      </c>
      <c r="D111" t="s">
        <v>89</v>
      </c>
      <c r="E111">
        <v>653</v>
      </c>
      <c r="F111">
        <v>97.33</v>
      </c>
      <c r="G111">
        <v>2</v>
      </c>
      <c r="H111">
        <v>18</v>
      </c>
      <c r="I111" t="s">
        <v>354</v>
      </c>
      <c r="J111" s="9">
        <f t="shared" si="1"/>
        <v>73496.725035999989</v>
      </c>
    </row>
    <row r="112" spans="1:10">
      <c r="A112" t="s">
        <v>466</v>
      </c>
      <c r="B112" s="2">
        <v>45712</v>
      </c>
      <c r="C112" t="s">
        <v>285</v>
      </c>
      <c r="D112" t="s">
        <v>89</v>
      </c>
      <c r="E112">
        <v>187</v>
      </c>
      <c r="F112">
        <v>89.41</v>
      </c>
      <c r="G112">
        <v>5</v>
      </c>
      <c r="H112">
        <v>18</v>
      </c>
      <c r="I112" t="s">
        <v>359</v>
      </c>
      <c r="J112" s="9">
        <f t="shared" si="1"/>
        <v>18742.750069999998</v>
      </c>
    </row>
    <row r="113" spans="1:10">
      <c r="A113" t="s">
        <v>467</v>
      </c>
      <c r="B113" s="2">
        <v>45712</v>
      </c>
      <c r="C113" t="s">
        <v>322</v>
      </c>
      <c r="D113" t="s">
        <v>106</v>
      </c>
      <c r="E113">
        <v>377</v>
      </c>
      <c r="F113">
        <v>355.14</v>
      </c>
      <c r="G113">
        <v>2</v>
      </c>
      <c r="H113">
        <v>18</v>
      </c>
      <c r="I113" t="s">
        <v>354</v>
      </c>
      <c r="J113" s="9">
        <f t="shared" si="1"/>
        <v>154827.82879199999</v>
      </c>
    </row>
    <row r="114" spans="1:10">
      <c r="A114" t="s">
        <v>468</v>
      </c>
      <c r="B114" s="2">
        <v>45713</v>
      </c>
      <c r="C114" t="s">
        <v>298</v>
      </c>
      <c r="D114" t="s">
        <v>81</v>
      </c>
      <c r="E114">
        <v>209</v>
      </c>
      <c r="F114">
        <v>67.06</v>
      </c>
      <c r="G114">
        <v>5</v>
      </c>
      <c r="H114">
        <v>18</v>
      </c>
      <c r="I114" t="s">
        <v>354</v>
      </c>
      <c r="J114" s="9">
        <f t="shared" si="1"/>
        <v>15711.420340000001</v>
      </c>
    </row>
    <row r="115" spans="1:10">
      <c r="A115" t="s">
        <v>469</v>
      </c>
      <c r="B115" s="2">
        <v>45713</v>
      </c>
      <c r="C115" t="s">
        <v>283</v>
      </c>
      <c r="D115" t="s">
        <v>70</v>
      </c>
      <c r="E115">
        <v>471</v>
      </c>
      <c r="F115">
        <v>240.8</v>
      </c>
      <c r="G115">
        <v>0</v>
      </c>
      <c r="H115">
        <v>18</v>
      </c>
      <c r="I115" t="s">
        <v>354</v>
      </c>
      <c r="J115" s="9">
        <f t="shared" si="1"/>
        <v>133831.82399999999</v>
      </c>
    </row>
    <row r="116" spans="1:10">
      <c r="A116" t="s">
        <v>470</v>
      </c>
      <c r="B116" s="2">
        <v>45714</v>
      </c>
      <c r="C116" t="s">
        <v>332</v>
      </c>
      <c r="D116" t="s">
        <v>110</v>
      </c>
      <c r="E116">
        <v>226</v>
      </c>
      <c r="F116">
        <v>56.03</v>
      </c>
      <c r="G116">
        <v>5</v>
      </c>
      <c r="H116">
        <v>18</v>
      </c>
      <c r="I116" t="s">
        <v>354</v>
      </c>
      <c r="J116" s="9">
        <f t="shared" si="1"/>
        <v>14194.976379999998</v>
      </c>
    </row>
    <row r="117" spans="1:10">
      <c r="A117" t="s">
        <v>471</v>
      </c>
      <c r="B117" s="2">
        <v>45714</v>
      </c>
      <c r="C117" t="s">
        <v>271</v>
      </c>
      <c r="D117" t="s">
        <v>87</v>
      </c>
      <c r="E117">
        <v>795</v>
      </c>
      <c r="F117">
        <v>129.44999999999999</v>
      </c>
      <c r="G117">
        <v>10</v>
      </c>
      <c r="H117">
        <v>18</v>
      </c>
      <c r="I117" t="s">
        <v>354</v>
      </c>
      <c r="J117" s="9">
        <f t="shared" si="1"/>
        <v>109293.34049999999</v>
      </c>
    </row>
    <row r="118" spans="1:10">
      <c r="A118" t="s">
        <v>472</v>
      </c>
      <c r="B118" s="2">
        <v>45714</v>
      </c>
      <c r="C118" t="s">
        <v>287</v>
      </c>
      <c r="D118" t="s">
        <v>89</v>
      </c>
      <c r="E118">
        <v>323</v>
      </c>
      <c r="F118">
        <v>92.58</v>
      </c>
      <c r="G118">
        <v>0</v>
      </c>
      <c r="H118">
        <v>18</v>
      </c>
      <c r="I118" t="s">
        <v>354</v>
      </c>
      <c r="J118" s="9">
        <f t="shared" si="1"/>
        <v>35285.941200000001</v>
      </c>
    </row>
    <row r="119" spans="1:10">
      <c r="A119" t="s">
        <v>473</v>
      </c>
      <c r="B119" s="2">
        <v>45714</v>
      </c>
      <c r="C119" t="s">
        <v>283</v>
      </c>
      <c r="D119" t="s">
        <v>102</v>
      </c>
      <c r="E119">
        <v>1147</v>
      </c>
      <c r="F119">
        <v>619.5</v>
      </c>
      <c r="G119">
        <v>7</v>
      </c>
      <c r="H119">
        <v>18</v>
      </c>
      <c r="I119" t="s">
        <v>359</v>
      </c>
      <c r="J119" s="9">
        <f t="shared" si="1"/>
        <v>779775.67709999997</v>
      </c>
    </row>
    <row r="120" spans="1:10">
      <c r="A120" t="s">
        <v>474</v>
      </c>
      <c r="B120" s="2">
        <v>45715</v>
      </c>
      <c r="C120" t="s">
        <v>310</v>
      </c>
      <c r="D120" t="s">
        <v>73</v>
      </c>
      <c r="E120">
        <v>440</v>
      </c>
      <c r="F120">
        <v>428.79</v>
      </c>
      <c r="G120">
        <v>5</v>
      </c>
      <c r="H120">
        <v>18</v>
      </c>
      <c r="I120" t="s">
        <v>365</v>
      </c>
      <c r="J120" s="9">
        <f t="shared" si="1"/>
        <v>211496.37959999999</v>
      </c>
    </row>
    <row r="121" spans="1:10">
      <c r="A121" t="s">
        <v>475</v>
      </c>
      <c r="B121" s="2">
        <v>45716</v>
      </c>
      <c r="C121" t="s">
        <v>287</v>
      </c>
      <c r="D121" t="s">
        <v>93</v>
      </c>
      <c r="E121">
        <v>76</v>
      </c>
      <c r="F121">
        <v>1520.31</v>
      </c>
      <c r="G121">
        <v>3</v>
      </c>
      <c r="H121">
        <v>18</v>
      </c>
      <c r="I121" t="s">
        <v>359</v>
      </c>
      <c r="J121" s="9">
        <f t="shared" si="1"/>
        <v>132251.158776</v>
      </c>
    </row>
    <row r="122" spans="1:10">
      <c r="A122" t="s">
        <v>476</v>
      </c>
      <c r="B122" s="2">
        <v>45716</v>
      </c>
      <c r="C122" t="s">
        <v>305</v>
      </c>
      <c r="D122" t="s">
        <v>104</v>
      </c>
      <c r="E122">
        <v>734</v>
      </c>
      <c r="F122">
        <v>180.8</v>
      </c>
      <c r="G122">
        <v>2</v>
      </c>
      <c r="H122">
        <v>18</v>
      </c>
      <c r="I122" t="s">
        <v>365</v>
      </c>
      <c r="J122" s="9">
        <f t="shared" si="1"/>
        <v>153462.60608</v>
      </c>
    </row>
    <row r="123" spans="1:10">
      <c r="A123" t="s">
        <v>477</v>
      </c>
      <c r="B123" s="2">
        <v>45717</v>
      </c>
      <c r="C123" t="s">
        <v>317</v>
      </c>
      <c r="D123" t="s">
        <v>95</v>
      </c>
      <c r="E123">
        <v>150</v>
      </c>
      <c r="F123">
        <v>272.52999999999997</v>
      </c>
      <c r="G123">
        <v>0</v>
      </c>
      <c r="H123">
        <v>18</v>
      </c>
      <c r="I123" t="s">
        <v>365</v>
      </c>
      <c r="J123" s="9">
        <f t="shared" si="1"/>
        <v>48237.80999999999</v>
      </c>
    </row>
    <row r="124" spans="1:10">
      <c r="A124" t="s">
        <v>478</v>
      </c>
      <c r="B124" s="2">
        <v>45717</v>
      </c>
      <c r="C124" t="s">
        <v>285</v>
      </c>
      <c r="D124" t="s">
        <v>73</v>
      </c>
      <c r="E124">
        <v>352</v>
      </c>
      <c r="F124">
        <v>427.92</v>
      </c>
      <c r="G124">
        <v>5</v>
      </c>
      <c r="H124">
        <v>18</v>
      </c>
      <c r="I124" t="s">
        <v>365</v>
      </c>
      <c r="J124" s="9">
        <f t="shared" si="1"/>
        <v>168853.80864</v>
      </c>
    </row>
    <row r="125" spans="1:10">
      <c r="A125" t="s">
        <v>479</v>
      </c>
      <c r="B125" s="2">
        <v>45717</v>
      </c>
      <c r="C125" t="s">
        <v>305</v>
      </c>
      <c r="D125" t="s">
        <v>79</v>
      </c>
      <c r="E125">
        <v>243</v>
      </c>
      <c r="F125">
        <v>44.92</v>
      </c>
      <c r="G125">
        <v>0</v>
      </c>
      <c r="H125">
        <v>18</v>
      </c>
      <c r="I125" t="s">
        <v>365</v>
      </c>
      <c r="J125" s="9">
        <f t="shared" si="1"/>
        <v>12880.3608</v>
      </c>
    </row>
    <row r="126" spans="1:10">
      <c r="A126" t="s">
        <v>480</v>
      </c>
      <c r="B126" s="2">
        <v>45718</v>
      </c>
      <c r="C126" t="s">
        <v>280</v>
      </c>
      <c r="D126" t="s">
        <v>93</v>
      </c>
      <c r="E126">
        <v>257</v>
      </c>
      <c r="F126">
        <v>1384.5</v>
      </c>
      <c r="G126">
        <v>2</v>
      </c>
      <c r="H126">
        <v>18</v>
      </c>
      <c r="I126" t="s">
        <v>359</v>
      </c>
      <c r="J126" s="9">
        <f t="shared" si="1"/>
        <v>411466.20059999998</v>
      </c>
    </row>
    <row r="127" spans="1:10">
      <c r="A127" t="s">
        <v>481</v>
      </c>
      <c r="B127" s="2">
        <v>45718</v>
      </c>
      <c r="C127" t="s">
        <v>325</v>
      </c>
      <c r="D127" t="s">
        <v>99</v>
      </c>
      <c r="E127">
        <v>156</v>
      </c>
      <c r="F127">
        <v>204.42</v>
      </c>
      <c r="G127">
        <v>0</v>
      </c>
      <c r="H127">
        <v>18</v>
      </c>
      <c r="I127" t="s">
        <v>354</v>
      </c>
      <c r="J127" s="9">
        <f t="shared" si="1"/>
        <v>37629.633599999994</v>
      </c>
    </row>
    <row r="128" spans="1:10">
      <c r="A128" t="s">
        <v>482</v>
      </c>
      <c r="B128" s="2">
        <v>45718</v>
      </c>
      <c r="C128" t="s">
        <v>310</v>
      </c>
      <c r="D128" t="s">
        <v>89</v>
      </c>
      <c r="E128">
        <v>206</v>
      </c>
      <c r="F128">
        <v>92.67</v>
      </c>
      <c r="G128">
        <v>7</v>
      </c>
      <c r="H128">
        <v>18</v>
      </c>
      <c r="I128" t="s">
        <v>354</v>
      </c>
      <c r="J128" s="9">
        <f t="shared" si="1"/>
        <v>20949.387948</v>
      </c>
    </row>
    <row r="129" spans="1:10">
      <c r="A129" t="s">
        <v>483</v>
      </c>
      <c r="B129" s="2">
        <v>45719</v>
      </c>
      <c r="C129" t="s">
        <v>332</v>
      </c>
      <c r="D129" t="s">
        <v>110</v>
      </c>
      <c r="E129">
        <v>435</v>
      </c>
      <c r="F129">
        <v>53.33</v>
      </c>
      <c r="G129">
        <v>0</v>
      </c>
      <c r="H129">
        <v>18</v>
      </c>
      <c r="I129" t="s">
        <v>354</v>
      </c>
      <c r="J129" s="9">
        <f t="shared" si="1"/>
        <v>27374.288999999997</v>
      </c>
    </row>
    <row r="130" spans="1:10">
      <c r="A130" t="s">
        <v>484</v>
      </c>
      <c r="B130" s="2">
        <v>45719</v>
      </c>
      <c r="C130" t="s">
        <v>330</v>
      </c>
      <c r="D130" t="s">
        <v>106</v>
      </c>
      <c r="E130">
        <v>308</v>
      </c>
      <c r="F130">
        <v>362.18</v>
      </c>
      <c r="G130">
        <v>5</v>
      </c>
      <c r="H130">
        <v>18</v>
      </c>
      <c r="I130" t="s">
        <v>354</v>
      </c>
      <c r="J130" s="9">
        <f t="shared" si="1"/>
        <v>125049.16424</v>
      </c>
    </row>
    <row r="131" spans="1:10">
      <c r="A131" t="s">
        <v>485</v>
      </c>
      <c r="B131" s="2">
        <v>45719</v>
      </c>
      <c r="C131" t="s">
        <v>298</v>
      </c>
      <c r="D131" t="s">
        <v>81</v>
      </c>
      <c r="E131">
        <v>194</v>
      </c>
      <c r="F131">
        <v>73.06</v>
      </c>
      <c r="G131">
        <v>0</v>
      </c>
      <c r="H131">
        <v>18</v>
      </c>
      <c r="I131" t="s">
        <v>354</v>
      </c>
      <c r="J131" s="9">
        <f t="shared" ref="J131:J194" si="2">E131*F131*(1-G131/100)*(1+H131/100)</f>
        <v>16724.895199999999</v>
      </c>
    </row>
    <row r="132" spans="1:10">
      <c r="A132" t="s">
        <v>486</v>
      </c>
      <c r="B132" s="2">
        <v>45719</v>
      </c>
      <c r="C132" t="s">
        <v>336</v>
      </c>
      <c r="D132" t="s">
        <v>117</v>
      </c>
      <c r="E132">
        <v>136</v>
      </c>
      <c r="F132">
        <v>16.940000000000001</v>
      </c>
      <c r="G132">
        <v>5</v>
      </c>
      <c r="H132">
        <v>12</v>
      </c>
      <c r="I132" t="s">
        <v>354</v>
      </c>
      <c r="J132" s="9">
        <f t="shared" si="2"/>
        <v>2451.2857600000002</v>
      </c>
    </row>
    <row r="133" spans="1:10">
      <c r="A133" t="s">
        <v>487</v>
      </c>
      <c r="B133" s="2">
        <v>45719</v>
      </c>
      <c r="C133" t="s">
        <v>317</v>
      </c>
      <c r="D133" t="s">
        <v>104</v>
      </c>
      <c r="E133">
        <v>103</v>
      </c>
      <c r="F133">
        <v>180.85</v>
      </c>
      <c r="G133">
        <v>0</v>
      </c>
      <c r="H133">
        <v>18</v>
      </c>
      <c r="I133" t="s">
        <v>359</v>
      </c>
      <c r="J133" s="9">
        <f t="shared" si="2"/>
        <v>21980.508999999998</v>
      </c>
    </row>
    <row r="134" spans="1:10">
      <c r="A134" t="s">
        <v>488</v>
      </c>
      <c r="B134" s="2">
        <v>45719</v>
      </c>
      <c r="C134" t="s">
        <v>342</v>
      </c>
      <c r="D134" t="s">
        <v>114</v>
      </c>
      <c r="E134">
        <v>272</v>
      </c>
      <c r="F134">
        <v>68.14</v>
      </c>
      <c r="G134">
        <v>7</v>
      </c>
      <c r="H134">
        <v>12</v>
      </c>
      <c r="I134" t="s">
        <v>365</v>
      </c>
      <c r="J134" s="9">
        <f t="shared" si="2"/>
        <v>19305.097728000001</v>
      </c>
    </row>
    <row r="135" spans="1:10">
      <c r="A135" t="s">
        <v>489</v>
      </c>
      <c r="B135" s="2">
        <v>45720</v>
      </c>
      <c r="C135" t="s">
        <v>322</v>
      </c>
      <c r="D135" t="s">
        <v>95</v>
      </c>
      <c r="E135">
        <v>110</v>
      </c>
      <c r="F135">
        <v>255.59</v>
      </c>
      <c r="G135">
        <v>0</v>
      </c>
      <c r="H135">
        <v>18</v>
      </c>
      <c r="I135" t="s">
        <v>354</v>
      </c>
      <c r="J135" s="9">
        <f t="shared" si="2"/>
        <v>33175.582000000002</v>
      </c>
    </row>
    <row r="136" spans="1:10">
      <c r="A136" t="s">
        <v>490</v>
      </c>
      <c r="B136" s="2">
        <v>45722</v>
      </c>
      <c r="C136" t="s">
        <v>317</v>
      </c>
      <c r="D136" t="s">
        <v>93</v>
      </c>
      <c r="E136">
        <v>367</v>
      </c>
      <c r="F136">
        <v>1431.79</v>
      </c>
      <c r="G136">
        <v>0</v>
      </c>
      <c r="H136">
        <v>18</v>
      </c>
      <c r="I136" t="s">
        <v>365</v>
      </c>
      <c r="J136" s="9">
        <f t="shared" si="2"/>
        <v>620050.97739999986</v>
      </c>
    </row>
    <row r="137" spans="1:10">
      <c r="A137" t="s">
        <v>491</v>
      </c>
      <c r="B137" s="2">
        <v>45722</v>
      </c>
      <c r="C137" t="s">
        <v>325</v>
      </c>
      <c r="D137" t="s">
        <v>99</v>
      </c>
      <c r="E137">
        <v>226</v>
      </c>
      <c r="F137">
        <v>221.27</v>
      </c>
      <c r="G137">
        <v>7</v>
      </c>
      <c r="H137">
        <v>18</v>
      </c>
      <c r="I137" t="s">
        <v>354</v>
      </c>
      <c r="J137" s="9">
        <f t="shared" si="2"/>
        <v>54877.703747999993</v>
      </c>
    </row>
    <row r="138" spans="1:10">
      <c r="A138" t="s">
        <v>492</v>
      </c>
      <c r="B138" s="2">
        <v>45722</v>
      </c>
      <c r="C138" t="s">
        <v>285</v>
      </c>
      <c r="D138" t="s">
        <v>102</v>
      </c>
      <c r="E138">
        <v>291</v>
      </c>
      <c r="F138">
        <v>649.17999999999995</v>
      </c>
      <c r="G138">
        <v>5</v>
      </c>
      <c r="H138">
        <v>18</v>
      </c>
      <c r="I138" t="s">
        <v>359</v>
      </c>
      <c r="J138" s="9">
        <f t="shared" si="2"/>
        <v>211769.65697999994</v>
      </c>
    </row>
    <row r="139" spans="1:10">
      <c r="A139" t="s">
        <v>493</v>
      </c>
      <c r="B139" s="2">
        <v>45724</v>
      </c>
      <c r="C139" t="s">
        <v>327</v>
      </c>
      <c r="D139" t="s">
        <v>117</v>
      </c>
      <c r="E139">
        <v>230</v>
      </c>
      <c r="F139">
        <v>18.82</v>
      </c>
      <c r="G139">
        <v>5</v>
      </c>
      <c r="H139">
        <v>12</v>
      </c>
      <c r="I139" t="s">
        <v>365</v>
      </c>
      <c r="J139" s="9">
        <f t="shared" si="2"/>
        <v>4605.6304000000009</v>
      </c>
    </row>
    <row r="140" spans="1:10">
      <c r="A140" t="s">
        <v>494</v>
      </c>
      <c r="B140" s="2">
        <v>45725</v>
      </c>
      <c r="C140" t="s">
        <v>295</v>
      </c>
      <c r="D140" t="s">
        <v>75</v>
      </c>
      <c r="E140">
        <v>162</v>
      </c>
      <c r="F140">
        <v>89.97</v>
      </c>
      <c r="G140">
        <v>2</v>
      </c>
      <c r="H140">
        <v>18</v>
      </c>
      <c r="I140" t="s">
        <v>354</v>
      </c>
      <c r="J140" s="9">
        <f t="shared" si="2"/>
        <v>16854.691895999997</v>
      </c>
    </row>
    <row r="141" spans="1:10">
      <c r="A141" t="s">
        <v>495</v>
      </c>
      <c r="B141" s="2">
        <v>45725</v>
      </c>
      <c r="C141" t="s">
        <v>305</v>
      </c>
      <c r="D141" t="s">
        <v>61</v>
      </c>
      <c r="E141">
        <v>925</v>
      </c>
      <c r="F141">
        <v>619.6</v>
      </c>
      <c r="G141">
        <v>10</v>
      </c>
      <c r="H141">
        <v>18</v>
      </c>
      <c r="I141" t="s">
        <v>354</v>
      </c>
      <c r="J141" s="9">
        <f t="shared" si="2"/>
        <v>608664.05999999994</v>
      </c>
    </row>
    <row r="142" spans="1:10">
      <c r="A142" t="s">
        <v>496</v>
      </c>
      <c r="B142" s="2">
        <v>45726</v>
      </c>
      <c r="C142" t="s">
        <v>336</v>
      </c>
      <c r="D142" t="s">
        <v>119</v>
      </c>
      <c r="E142">
        <v>327</v>
      </c>
      <c r="F142">
        <v>30.46</v>
      </c>
      <c r="G142">
        <v>5</v>
      </c>
      <c r="H142">
        <v>12</v>
      </c>
      <c r="I142" t="s">
        <v>354</v>
      </c>
      <c r="J142" s="9">
        <f t="shared" si="2"/>
        <v>10597.88688</v>
      </c>
    </row>
    <row r="143" spans="1:10">
      <c r="A143" t="s">
        <v>497</v>
      </c>
      <c r="B143" s="2">
        <v>45726</v>
      </c>
      <c r="C143" t="s">
        <v>307</v>
      </c>
      <c r="D143" t="s">
        <v>108</v>
      </c>
      <c r="E143">
        <v>203</v>
      </c>
      <c r="F143">
        <v>34.35</v>
      </c>
      <c r="G143">
        <v>0</v>
      </c>
      <c r="H143">
        <v>18</v>
      </c>
      <c r="I143" t="s">
        <v>354</v>
      </c>
      <c r="J143" s="9">
        <f t="shared" si="2"/>
        <v>8228.1990000000005</v>
      </c>
    </row>
    <row r="144" spans="1:10">
      <c r="A144" t="s">
        <v>498</v>
      </c>
      <c r="B144" s="2">
        <v>45726</v>
      </c>
      <c r="C144" t="s">
        <v>278</v>
      </c>
      <c r="D144" t="s">
        <v>68</v>
      </c>
      <c r="E144">
        <v>119</v>
      </c>
      <c r="F144">
        <v>338.9</v>
      </c>
      <c r="G144">
        <v>0</v>
      </c>
      <c r="H144">
        <v>18</v>
      </c>
      <c r="I144" t="s">
        <v>354</v>
      </c>
      <c r="J144" s="9">
        <f t="shared" si="2"/>
        <v>47588.337999999996</v>
      </c>
    </row>
    <row r="145" spans="1:10">
      <c r="A145" t="s">
        <v>499</v>
      </c>
      <c r="B145" s="2">
        <v>45726</v>
      </c>
      <c r="C145" t="s">
        <v>342</v>
      </c>
      <c r="D145" t="s">
        <v>119</v>
      </c>
      <c r="E145">
        <v>100</v>
      </c>
      <c r="F145">
        <v>30.56</v>
      </c>
      <c r="G145">
        <v>3</v>
      </c>
      <c r="H145">
        <v>12</v>
      </c>
      <c r="I145" t="s">
        <v>354</v>
      </c>
      <c r="J145" s="9">
        <f t="shared" si="2"/>
        <v>3320.0383999999999</v>
      </c>
    </row>
    <row r="146" spans="1:10">
      <c r="A146" t="s">
        <v>500</v>
      </c>
      <c r="B146" s="2">
        <v>45726</v>
      </c>
      <c r="C146" t="s">
        <v>283</v>
      </c>
      <c r="D146" t="s">
        <v>73</v>
      </c>
      <c r="E146">
        <v>260</v>
      </c>
      <c r="F146">
        <v>425.65</v>
      </c>
      <c r="G146">
        <v>0</v>
      </c>
      <c r="H146">
        <v>18</v>
      </c>
      <c r="I146" t="s">
        <v>354</v>
      </c>
      <c r="J146" s="9">
        <f t="shared" si="2"/>
        <v>130589.42</v>
      </c>
    </row>
    <row r="147" spans="1:10">
      <c r="A147" t="s">
        <v>501</v>
      </c>
      <c r="B147" s="2">
        <v>45726</v>
      </c>
      <c r="C147" t="s">
        <v>266</v>
      </c>
      <c r="D147" t="s">
        <v>106</v>
      </c>
      <c r="E147">
        <v>100</v>
      </c>
      <c r="F147">
        <v>330.53</v>
      </c>
      <c r="G147">
        <v>5</v>
      </c>
      <c r="H147">
        <v>18</v>
      </c>
      <c r="I147" t="s">
        <v>354</v>
      </c>
      <c r="J147" s="9">
        <f t="shared" si="2"/>
        <v>37052.412999999993</v>
      </c>
    </row>
    <row r="148" spans="1:10">
      <c r="A148" t="s">
        <v>502</v>
      </c>
      <c r="B148" s="2">
        <v>45727</v>
      </c>
      <c r="C148" t="s">
        <v>332</v>
      </c>
      <c r="D148" t="s">
        <v>110</v>
      </c>
      <c r="E148">
        <v>105</v>
      </c>
      <c r="F148">
        <v>57.23</v>
      </c>
      <c r="G148">
        <v>0</v>
      </c>
      <c r="H148">
        <v>18</v>
      </c>
      <c r="I148" t="s">
        <v>354</v>
      </c>
      <c r="J148" s="9">
        <f t="shared" si="2"/>
        <v>7090.7969999999996</v>
      </c>
    </row>
    <row r="149" spans="1:10">
      <c r="A149" t="s">
        <v>503</v>
      </c>
      <c r="B149" s="2">
        <v>45727</v>
      </c>
      <c r="C149" t="s">
        <v>317</v>
      </c>
      <c r="D149" t="s">
        <v>91</v>
      </c>
      <c r="E149">
        <v>436</v>
      </c>
      <c r="F149">
        <v>458.35</v>
      </c>
      <c r="G149">
        <v>3</v>
      </c>
      <c r="H149">
        <v>18</v>
      </c>
      <c r="I149" t="s">
        <v>354</v>
      </c>
      <c r="J149" s="9">
        <f t="shared" si="2"/>
        <v>228737.55076000001</v>
      </c>
    </row>
    <row r="150" spans="1:10">
      <c r="A150" t="s">
        <v>504</v>
      </c>
      <c r="B150" s="2">
        <v>45728</v>
      </c>
      <c r="C150" t="s">
        <v>330</v>
      </c>
      <c r="D150" t="s">
        <v>106</v>
      </c>
      <c r="E150">
        <v>97</v>
      </c>
      <c r="F150">
        <v>334.43</v>
      </c>
      <c r="G150">
        <v>10</v>
      </c>
      <c r="H150">
        <v>18</v>
      </c>
      <c r="I150" t="s">
        <v>354</v>
      </c>
      <c r="J150" s="9">
        <f t="shared" si="2"/>
        <v>34450.972020000001</v>
      </c>
    </row>
    <row r="151" spans="1:10">
      <c r="A151" t="s">
        <v>505</v>
      </c>
      <c r="B151" s="2">
        <v>45728</v>
      </c>
      <c r="C151" t="s">
        <v>339</v>
      </c>
      <c r="D151" t="s">
        <v>114</v>
      </c>
      <c r="E151">
        <v>191</v>
      </c>
      <c r="F151">
        <v>62.75</v>
      </c>
      <c r="G151">
        <v>0</v>
      </c>
      <c r="H151">
        <v>12</v>
      </c>
      <c r="I151" t="s">
        <v>354</v>
      </c>
      <c r="J151" s="9">
        <f t="shared" si="2"/>
        <v>13423.480000000001</v>
      </c>
    </row>
    <row r="152" spans="1:10">
      <c r="A152" t="s">
        <v>506</v>
      </c>
      <c r="B152" s="2">
        <v>45729</v>
      </c>
      <c r="C152" t="s">
        <v>342</v>
      </c>
      <c r="D152" t="s">
        <v>114</v>
      </c>
      <c r="E152">
        <v>284</v>
      </c>
      <c r="F152">
        <v>69.83</v>
      </c>
      <c r="G152">
        <v>5</v>
      </c>
      <c r="H152">
        <v>12</v>
      </c>
      <c r="I152" t="s">
        <v>354</v>
      </c>
      <c r="J152" s="9">
        <f t="shared" si="2"/>
        <v>21100.950080000002</v>
      </c>
    </row>
    <row r="153" spans="1:10">
      <c r="A153" t="s">
        <v>507</v>
      </c>
      <c r="B153" s="2">
        <v>45729</v>
      </c>
      <c r="C153" t="s">
        <v>280</v>
      </c>
      <c r="D153" t="s">
        <v>73</v>
      </c>
      <c r="E153">
        <v>115</v>
      </c>
      <c r="F153">
        <v>403.83</v>
      </c>
      <c r="G153">
        <v>0</v>
      </c>
      <c r="H153">
        <v>18</v>
      </c>
      <c r="I153" t="s">
        <v>354</v>
      </c>
      <c r="J153" s="9">
        <f t="shared" si="2"/>
        <v>54799.730999999992</v>
      </c>
    </row>
    <row r="154" spans="1:10">
      <c r="A154" t="s">
        <v>508</v>
      </c>
      <c r="B154" s="2">
        <v>45731</v>
      </c>
      <c r="C154" t="s">
        <v>295</v>
      </c>
      <c r="D154" t="s">
        <v>87</v>
      </c>
      <c r="E154">
        <v>423</v>
      </c>
      <c r="F154">
        <v>129.4</v>
      </c>
      <c r="G154">
        <v>5</v>
      </c>
      <c r="H154">
        <v>18</v>
      </c>
      <c r="I154" t="s">
        <v>354</v>
      </c>
      <c r="J154" s="9">
        <f t="shared" si="2"/>
        <v>61359.280199999994</v>
      </c>
    </row>
    <row r="155" spans="1:10">
      <c r="A155" t="s">
        <v>509</v>
      </c>
      <c r="B155" s="2">
        <v>45731</v>
      </c>
      <c r="C155" t="s">
        <v>317</v>
      </c>
      <c r="D155" t="s">
        <v>93</v>
      </c>
      <c r="E155">
        <v>435</v>
      </c>
      <c r="F155">
        <v>1511.4</v>
      </c>
      <c r="G155">
        <v>0</v>
      </c>
      <c r="H155">
        <v>18</v>
      </c>
      <c r="I155" t="s">
        <v>354</v>
      </c>
      <c r="J155" s="9">
        <f t="shared" si="2"/>
        <v>775801.62</v>
      </c>
    </row>
    <row r="156" spans="1:10">
      <c r="A156" t="s">
        <v>510</v>
      </c>
      <c r="B156" s="2">
        <v>45731</v>
      </c>
      <c r="C156" t="s">
        <v>317</v>
      </c>
      <c r="D156" t="s">
        <v>104</v>
      </c>
      <c r="E156">
        <v>834</v>
      </c>
      <c r="F156">
        <v>199.9</v>
      </c>
      <c r="G156">
        <v>7</v>
      </c>
      <c r="H156">
        <v>18</v>
      </c>
      <c r="I156" t="s">
        <v>365</v>
      </c>
      <c r="J156" s="9">
        <f t="shared" si="2"/>
        <v>182954.79684</v>
      </c>
    </row>
    <row r="157" spans="1:10">
      <c r="A157" t="s">
        <v>511</v>
      </c>
      <c r="B157" s="2">
        <v>45731</v>
      </c>
      <c r="C157" t="s">
        <v>302</v>
      </c>
      <c r="D157" t="s">
        <v>95</v>
      </c>
      <c r="E157">
        <v>279</v>
      </c>
      <c r="F157">
        <v>255.54</v>
      </c>
      <c r="G157">
        <v>0</v>
      </c>
      <c r="H157">
        <v>18</v>
      </c>
      <c r="I157" t="s">
        <v>365</v>
      </c>
      <c r="J157" s="9">
        <f t="shared" si="2"/>
        <v>84128.878800000006</v>
      </c>
    </row>
    <row r="158" spans="1:10">
      <c r="A158" t="s">
        <v>512</v>
      </c>
      <c r="B158" s="2">
        <v>45732</v>
      </c>
      <c r="C158" t="s">
        <v>322</v>
      </c>
      <c r="D158" t="s">
        <v>93</v>
      </c>
      <c r="E158">
        <v>239</v>
      </c>
      <c r="F158">
        <v>1382</v>
      </c>
      <c r="G158">
        <v>5</v>
      </c>
      <c r="H158">
        <v>18</v>
      </c>
      <c r="I158" t="s">
        <v>354</v>
      </c>
      <c r="J158" s="9">
        <f t="shared" si="2"/>
        <v>370264.05799999996</v>
      </c>
    </row>
    <row r="159" spans="1:10">
      <c r="A159" t="s">
        <v>513</v>
      </c>
      <c r="B159" s="2">
        <v>45733</v>
      </c>
      <c r="C159" t="s">
        <v>327</v>
      </c>
      <c r="D159" t="s">
        <v>114</v>
      </c>
      <c r="E159">
        <v>760</v>
      </c>
      <c r="F159">
        <v>69.67</v>
      </c>
      <c r="G159">
        <v>7</v>
      </c>
      <c r="H159">
        <v>12</v>
      </c>
      <c r="I159" t="s">
        <v>354</v>
      </c>
      <c r="J159" s="9">
        <f t="shared" si="2"/>
        <v>55151.88672000001</v>
      </c>
    </row>
    <row r="160" spans="1:10">
      <c r="A160" t="s">
        <v>514</v>
      </c>
      <c r="B160" s="2">
        <v>45733</v>
      </c>
      <c r="C160" t="s">
        <v>310</v>
      </c>
      <c r="D160" t="s">
        <v>102</v>
      </c>
      <c r="E160">
        <v>410</v>
      </c>
      <c r="F160">
        <v>604.78</v>
      </c>
      <c r="G160">
        <v>0</v>
      </c>
      <c r="H160">
        <v>18</v>
      </c>
      <c r="I160" t="s">
        <v>365</v>
      </c>
      <c r="J160" s="9">
        <f t="shared" si="2"/>
        <v>292592.56399999995</v>
      </c>
    </row>
    <row r="161" spans="1:10">
      <c r="A161" t="s">
        <v>515</v>
      </c>
      <c r="B161" s="2">
        <v>45733</v>
      </c>
      <c r="C161" t="s">
        <v>327</v>
      </c>
      <c r="D161" t="s">
        <v>114</v>
      </c>
      <c r="E161">
        <v>93</v>
      </c>
      <c r="F161">
        <v>62.8</v>
      </c>
      <c r="G161">
        <v>0</v>
      </c>
      <c r="H161">
        <v>12</v>
      </c>
      <c r="I161" t="s">
        <v>354</v>
      </c>
      <c r="J161" s="9">
        <f t="shared" si="2"/>
        <v>6541.2480000000005</v>
      </c>
    </row>
    <row r="162" spans="1:10">
      <c r="A162" t="s">
        <v>516</v>
      </c>
      <c r="B162" s="2">
        <v>45733</v>
      </c>
      <c r="C162" t="s">
        <v>302</v>
      </c>
      <c r="D162" t="s">
        <v>77</v>
      </c>
      <c r="E162">
        <v>120</v>
      </c>
      <c r="F162">
        <v>118.79</v>
      </c>
      <c r="G162">
        <v>0</v>
      </c>
      <c r="H162">
        <v>18</v>
      </c>
      <c r="I162" t="s">
        <v>354</v>
      </c>
      <c r="J162" s="9">
        <f t="shared" si="2"/>
        <v>16820.664000000001</v>
      </c>
    </row>
    <row r="163" spans="1:10">
      <c r="A163" t="s">
        <v>517</v>
      </c>
      <c r="B163" s="2">
        <v>45734</v>
      </c>
      <c r="C163" t="s">
        <v>291</v>
      </c>
      <c r="D163" t="s">
        <v>106</v>
      </c>
      <c r="E163">
        <v>391</v>
      </c>
      <c r="F163">
        <v>344.15</v>
      </c>
      <c r="G163">
        <v>0</v>
      </c>
      <c r="H163">
        <v>18</v>
      </c>
      <c r="I163" t="s">
        <v>354</v>
      </c>
      <c r="J163" s="9">
        <f t="shared" si="2"/>
        <v>158783.927</v>
      </c>
    </row>
    <row r="164" spans="1:10">
      <c r="A164" t="s">
        <v>518</v>
      </c>
      <c r="B164" s="2">
        <v>45734</v>
      </c>
      <c r="C164" t="s">
        <v>327</v>
      </c>
      <c r="D164" t="s">
        <v>114</v>
      </c>
      <c r="E164">
        <v>456</v>
      </c>
      <c r="F164">
        <v>69.45</v>
      </c>
      <c r="G164">
        <v>7</v>
      </c>
      <c r="H164">
        <v>12</v>
      </c>
      <c r="I164" t="s">
        <v>354</v>
      </c>
      <c r="J164" s="9">
        <f t="shared" si="2"/>
        <v>32986.638720000003</v>
      </c>
    </row>
    <row r="165" spans="1:10">
      <c r="A165" t="s">
        <v>519</v>
      </c>
      <c r="B165" s="2">
        <v>45734</v>
      </c>
      <c r="C165" t="s">
        <v>266</v>
      </c>
      <c r="D165" t="s">
        <v>95</v>
      </c>
      <c r="E165">
        <v>353</v>
      </c>
      <c r="F165">
        <v>263.51</v>
      </c>
      <c r="G165">
        <v>0</v>
      </c>
      <c r="H165">
        <v>18</v>
      </c>
      <c r="I165" t="s">
        <v>354</v>
      </c>
      <c r="J165" s="9">
        <f t="shared" si="2"/>
        <v>109762.45539999999</v>
      </c>
    </row>
    <row r="166" spans="1:10">
      <c r="A166" t="s">
        <v>520</v>
      </c>
      <c r="B166" s="2">
        <v>45736</v>
      </c>
      <c r="C166" t="s">
        <v>271</v>
      </c>
      <c r="D166" t="s">
        <v>68</v>
      </c>
      <c r="E166">
        <v>125</v>
      </c>
      <c r="F166">
        <v>327.04000000000002</v>
      </c>
      <c r="G166">
        <v>5</v>
      </c>
      <c r="H166">
        <v>18</v>
      </c>
      <c r="I166" t="s">
        <v>354</v>
      </c>
      <c r="J166" s="9">
        <f t="shared" si="2"/>
        <v>45826.479999999996</v>
      </c>
    </row>
    <row r="167" spans="1:10">
      <c r="A167" t="s">
        <v>521</v>
      </c>
      <c r="B167" s="2">
        <v>45739</v>
      </c>
      <c r="C167" t="s">
        <v>317</v>
      </c>
      <c r="D167" t="s">
        <v>91</v>
      </c>
      <c r="E167">
        <v>310</v>
      </c>
      <c r="F167">
        <v>460.47</v>
      </c>
      <c r="G167">
        <v>0</v>
      </c>
      <c r="H167">
        <v>18</v>
      </c>
      <c r="I167" t="s">
        <v>365</v>
      </c>
      <c r="J167" s="9">
        <f t="shared" si="2"/>
        <v>168439.92600000001</v>
      </c>
    </row>
    <row r="168" spans="1:10">
      <c r="A168" t="s">
        <v>522</v>
      </c>
      <c r="B168" s="2">
        <v>45739</v>
      </c>
      <c r="C168" t="s">
        <v>314</v>
      </c>
      <c r="D168" t="s">
        <v>104</v>
      </c>
      <c r="E168">
        <v>454</v>
      </c>
      <c r="F168">
        <v>182.09</v>
      </c>
      <c r="G168">
        <v>5</v>
      </c>
      <c r="H168">
        <v>18</v>
      </c>
      <c r="I168" t="s">
        <v>354</v>
      </c>
      <c r="J168" s="9">
        <f t="shared" si="2"/>
        <v>92671.792059999992</v>
      </c>
    </row>
    <row r="169" spans="1:10">
      <c r="A169" t="s">
        <v>523</v>
      </c>
      <c r="B169" s="2">
        <v>45740</v>
      </c>
      <c r="C169" t="s">
        <v>298</v>
      </c>
      <c r="D169" t="s">
        <v>81</v>
      </c>
      <c r="E169">
        <v>148</v>
      </c>
      <c r="F169">
        <v>69.12</v>
      </c>
      <c r="G169">
        <v>0</v>
      </c>
      <c r="H169">
        <v>18</v>
      </c>
      <c r="I169" t="s">
        <v>354</v>
      </c>
      <c r="J169" s="9">
        <f t="shared" si="2"/>
        <v>12071.1168</v>
      </c>
    </row>
    <row r="170" spans="1:10">
      <c r="A170" t="s">
        <v>524</v>
      </c>
      <c r="B170" s="2">
        <v>45741</v>
      </c>
      <c r="C170" t="s">
        <v>322</v>
      </c>
      <c r="D170" t="s">
        <v>93</v>
      </c>
      <c r="E170">
        <v>373</v>
      </c>
      <c r="F170">
        <v>1430.14</v>
      </c>
      <c r="G170">
        <v>0</v>
      </c>
      <c r="H170">
        <v>18</v>
      </c>
      <c r="I170" t="s">
        <v>354</v>
      </c>
      <c r="J170" s="9">
        <f t="shared" si="2"/>
        <v>629461.81960000005</v>
      </c>
    </row>
    <row r="171" spans="1:10">
      <c r="A171" t="s">
        <v>525</v>
      </c>
      <c r="B171" s="2">
        <v>45743</v>
      </c>
      <c r="C171" t="s">
        <v>339</v>
      </c>
      <c r="D171" t="s">
        <v>119</v>
      </c>
      <c r="E171">
        <v>155</v>
      </c>
      <c r="F171">
        <v>33.06</v>
      </c>
      <c r="G171">
        <v>10</v>
      </c>
      <c r="H171">
        <v>12</v>
      </c>
      <c r="I171" t="s">
        <v>354</v>
      </c>
      <c r="J171" s="9">
        <f t="shared" si="2"/>
        <v>5165.2944000000007</v>
      </c>
    </row>
    <row r="172" spans="1:10">
      <c r="A172" t="s">
        <v>526</v>
      </c>
      <c r="B172" s="2">
        <v>45743</v>
      </c>
      <c r="C172" t="s">
        <v>342</v>
      </c>
      <c r="D172" t="s">
        <v>119</v>
      </c>
      <c r="E172">
        <v>311</v>
      </c>
      <c r="F172">
        <v>33.86</v>
      </c>
      <c r="G172">
        <v>5</v>
      </c>
      <c r="H172">
        <v>12</v>
      </c>
      <c r="I172" t="s">
        <v>354</v>
      </c>
      <c r="J172" s="9">
        <f t="shared" si="2"/>
        <v>11204.409439999999</v>
      </c>
    </row>
    <row r="173" spans="1:10">
      <c r="A173" t="s">
        <v>527</v>
      </c>
      <c r="B173" s="2">
        <v>45743</v>
      </c>
      <c r="C173" t="s">
        <v>325</v>
      </c>
      <c r="D173" t="s">
        <v>99</v>
      </c>
      <c r="E173">
        <v>279</v>
      </c>
      <c r="F173">
        <v>220.95</v>
      </c>
      <c r="G173">
        <v>0</v>
      </c>
      <c r="H173">
        <v>18</v>
      </c>
      <c r="I173" t="s">
        <v>354</v>
      </c>
      <c r="J173" s="9">
        <f t="shared" si="2"/>
        <v>72741.158999999985</v>
      </c>
    </row>
    <row r="174" spans="1:10">
      <c r="A174" t="s">
        <v>528</v>
      </c>
      <c r="B174" s="2">
        <v>45744</v>
      </c>
      <c r="C174" t="s">
        <v>278</v>
      </c>
      <c r="D174" t="s">
        <v>108</v>
      </c>
      <c r="E174">
        <v>229</v>
      </c>
      <c r="F174">
        <v>35.36</v>
      </c>
      <c r="G174">
        <v>3</v>
      </c>
      <c r="H174">
        <v>18</v>
      </c>
      <c r="I174" t="s">
        <v>354</v>
      </c>
      <c r="J174" s="9">
        <f t="shared" si="2"/>
        <v>9268.3298239999986</v>
      </c>
    </row>
    <row r="175" spans="1:10">
      <c r="A175" t="s">
        <v>529</v>
      </c>
      <c r="B175" s="2">
        <v>45744</v>
      </c>
      <c r="C175" t="s">
        <v>305</v>
      </c>
      <c r="D175" t="s">
        <v>84</v>
      </c>
      <c r="E175">
        <v>255</v>
      </c>
      <c r="F175">
        <v>790.27</v>
      </c>
      <c r="G175">
        <v>5</v>
      </c>
      <c r="H175">
        <v>18</v>
      </c>
      <c r="I175" t="s">
        <v>354</v>
      </c>
      <c r="J175" s="9">
        <f t="shared" si="2"/>
        <v>225902.63084999999</v>
      </c>
    </row>
    <row r="176" spans="1:10">
      <c r="A176" t="s">
        <v>530</v>
      </c>
      <c r="B176" s="2">
        <v>45744</v>
      </c>
      <c r="C176" t="s">
        <v>293</v>
      </c>
      <c r="D176" t="s">
        <v>79</v>
      </c>
      <c r="E176">
        <v>99</v>
      </c>
      <c r="F176">
        <v>42.55</v>
      </c>
      <c r="G176">
        <v>0</v>
      </c>
      <c r="H176">
        <v>18</v>
      </c>
      <c r="I176" t="s">
        <v>354</v>
      </c>
      <c r="J176" s="9">
        <f t="shared" si="2"/>
        <v>4970.6909999999998</v>
      </c>
    </row>
    <row r="177" spans="1:10">
      <c r="A177" t="s">
        <v>531</v>
      </c>
      <c r="B177" s="2">
        <v>45745</v>
      </c>
      <c r="C177" t="s">
        <v>339</v>
      </c>
      <c r="D177" t="s">
        <v>114</v>
      </c>
      <c r="E177">
        <v>108</v>
      </c>
      <c r="F177">
        <v>68.63</v>
      </c>
      <c r="G177">
        <v>2</v>
      </c>
      <c r="H177">
        <v>12</v>
      </c>
      <c r="I177" t="s">
        <v>354</v>
      </c>
      <c r="J177" s="9">
        <f t="shared" si="2"/>
        <v>8135.4551039999988</v>
      </c>
    </row>
    <row r="178" spans="1:10">
      <c r="A178" t="s">
        <v>532</v>
      </c>
      <c r="B178" s="2">
        <v>45745</v>
      </c>
      <c r="C178" t="s">
        <v>278</v>
      </c>
      <c r="D178" t="s">
        <v>108</v>
      </c>
      <c r="E178">
        <v>252</v>
      </c>
      <c r="F178">
        <v>34.24</v>
      </c>
      <c r="G178">
        <v>0</v>
      </c>
      <c r="H178">
        <v>18</v>
      </c>
      <c r="I178" t="s">
        <v>354</v>
      </c>
      <c r="J178" s="9">
        <f t="shared" si="2"/>
        <v>10181.606400000001</v>
      </c>
    </row>
    <row r="179" spans="1:10">
      <c r="A179" t="s">
        <v>533</v>
      </c>
      <c r="B179" s="2">
        <v>45745</v>
      </c>
      <c r="C179" t="s">
        <v>295</v>
      </c>
      <c r="D179" t="s">
        <v>65</v>
      </c>
      <c r="E179">
        <v>136</v>
      </c>
      <c r="F179">
        <v>183.07</v>
      </c>
      <c r="G179">
        <v>0</v>
      </c>
      <c r="H179">
        <v>18</v>
      </c>
      <c r="I179" t="s">
        <v>354</v>
      </c>
      <c r="J179" s="9">
        <f t="shared" si="2"/>
        <v>29379.0736</v>
      </c>
    </row>
    <row r="180" spans="1:10">
      <c r="A180" t="s">
        <v>534</v>
      </c>
      <c r="B180" s="2">
        <v>45746</v>
      </c>
      <c r="C180" t="s">
        <v>332</v>
      </c>
      <c r="D180" t="s">
        <v>110</v>
      </c>
      <c r="E180">
        <v>297</v>
      </c>
      <c r="F180">
        <v>54.18</v>
      </c>
      <c r="G180">
        <v>7</v>
      </c>
      <c r="H180">
        <v>18</v>
      </c>
      <c r="I180" t="s">
        <v>354</v>
      </c>
      <c r="J180" s="9">
        <f t="shared" si="2"/>
        <v>17658.768203999996</v>
      </c>
    </row>
    <row r="181" spans="1:10">
      <c r="A181" t="s">
        <v>535</v>
      </c>
      <c r="B181" s="2">
        <v>45747</v>
      </c>
      <c r="C181" t="s">
        <v>274</v>
      </c>
      <c r="D181" t="s">
        <v>108</v>
      </c>
      <c r="E181">
        <v>71</v>
      </c>
      <c r="F181">
        <v>32.950000000000003</v>
      </c>
      <c r="G181">
        <v>0</v>
      </c>
      <c r="H181">
        <v>18</v>
      </c>
      <c r="I181" t="s">
        <v>354</v>
      </c>
      <c r="J181" s="9">
        <f t="shared" si="2"/>
        <v>2760.5510000000004</v>
      </c>
    </row>
    <row r="182" spans="1:10">
      <c r="A182" t="s">
        <v>536</v>
      </c>
      <c r="B182" s="2">
        <v>45747</v>
      </c>
      <c r="C182" t="s">
        <v>332</v>
      </c>
      <c r="D182" t="s">
        <v>110</v>
      </c>
      <c r="E182">
        <v>280</v>
      </c>
      <c r="F182">
        <v>58.28</v>
      </c>
      <c r="G182">
        <v>5</v>
      </c>
      <c r="H182">
        <v>18</v>
      </c>
      <c r="I182" t="s">
        <v>359</v>
      </c>
      <c r="J182" s="9">
        <f t="shared" si="2"/>
        <v>18292.9264</v>
      </c>
    </row>
    <row r="183" spans="1:10">
      <c r="A183" t="s">
        <v>537</v>
      </c>
      <c r="B183" s="2">
        <v>45748</v>
      </c>
      <c r="C183" t="s">
        <v>287</v>
      </c>
      <c r="D183" t="s">
        <v>89</v>
      </c>
      <c r="E183">
        <v>478</v>
      </c>
      <c r="F183">
        <v>89.71</v>
      </c>
      <c r="G183">
        <v>5</v>
      </c>
      <c r="H183">
        <v>18</v>
      </c>
      <c r="I183" t="s">
        <v>354</v>
      </c>
      <c r="J183" s="9">
        <f t="shared" si="2"/>
        <v>48070.026979999988</v>
      </c>
    </row>
    <row r="184" spans="1:10">
      <c r="A184" t="s">
        <v>538</v>
      </c>
      <c r="B184" s="2">
        <v>45749</v>
      </c>
      <c r="C184" t="s">
        <v>285</v>
      </c>
      <c r="D184" t="s">
        <v>73</v>
      </c>
      <c r="E184">
        <v>303</v>
      </c>
      <c r="F184">
        <v>428.39</v>
      </c>
      <c r="G184">
        <v>0</v>
      </c>
      <c r="H184">
        <v>18</v>
      </c>
      <c r="I184" t="s">
        <v>354</v>
      </c>
      <c r="J184" s="9">
        <f t="shared" si="2"/>
        <v>153166.5606</v>
      </c>
    </row>
    <row r="185" spans="1:10">
      <c r="A185" t="s">
        <v>539</v>
      </c>
      <c r="B185" s="2">
        <v>45750</v>
      </c>
      <c r="C185" t="s">
        <v>287</v>
      </c>
      <c r="D185" t="s">
        <v>70</v>
      </c>
      <c r="E185">
        <v>169</v>
      </c>
      <c r="F185">
        <v>230.14</v>
      </c>
      <c r="G185">
        <v>2</v>
      </c>
      <c r="H185">
        <v>18</v>
      </c>
      <c r="I185" t="s">
        <v>354</v>
      </c>
      <c r="J185" s="9">
        <f t="shared" si="2"/>
        <v>44976.628423999988</v>
      </c>
    </row>
    <row r="186" spans="1:10">
      <c r="A186" t="s">
        <v>540</v>
      </c>
      <c r="B186" s="2">
        <v>45751</v>
      </c>
      <c r="C186" t="s">
        <v>339</v>
      </c>
      <c r="D186" t="s">
        <v>117</v>
      </c>
      <c r="E186">
        <v>180</v>
      </c>
      <c r="F186">
        <v>17.73</v>
      </c>
      <c r="G186">
        <v>3</v>
      </c>
      <c r="H186">
        <v>12</v>
      </c>
      <c r="I186" t="s">
        <v>354</v>
      </c>
      <c r="J186" s="9">
        <f t="shared" si="2"/>
        <v>3467.1369600000003</v>
      </c>
    </row>
    <row r="187" spans="1:10">
      <c r="A187" t="s">
        <v>541</v>
      </c>
      <c r="B187" s="2">
        <v>45751</v>
      </c>
      <c r="C187" t="s">
        <v>310</v>
      </c>
      <c r="D187" t="s">
        <v>70</v>
      </c>
      <c r="E187">
        <v>203</v>
      </c>
      <c r="F187">
        <v>231.01</v>
      </c>
      <c r="G187">
        <v>0</v>
      </c>
      <c r="H187">
        <v>18</v>
      </c>
      <c r="I187" t="s">
        <v>354</v>
      </c>
      <c r="J187" s="9">
        <f t="shared" si="2"/>
        <v>55336.135399999999</v>
      </c>
    </row>
    <row r="188" spans="1:10">
      <c r="A188" t="s">
        <v>542</v>
      </c>
      <c r="B188" s="2">
        <v>45752</v>
      </c>
      <c r="C188" t="s">
        <v>305</v>
      </c>
      <c r="D188" t="s">
        <v>91</v>
      </c>
      <c r="E188">
        <v>234</v>
      </c>
      <c r="F188">
        <v>479.33</v>
      </c>
      <c r="G188">
        <v>5</v>
      </c>
      <c r="H188">
        <v>18</v>
      </c>
      <c r="I188" t="s">
        <v>354</v>
      </c>
      <c r="J188" s="9">
        <f t="shared" si="2"/>
        <v>125734.96961999999</v>
      </c>
    </row>
    <row r="189" spans="1:10">
      <c r="A189" t="s">
        <v>543</v>
      </c>
      <c r="B189" s="2">
        <v>45754</v>
      </c>
      <c r="C189" t="s">
        <v>339</v>
      </c>
      <c r="D189" t="s">
        <v>119</v>
      </c>
      <c r="E189">
        <v>306</v>
      </c>
      <c r="F189">
        <v>31.26</v>
      </c>
      <c r="G189">
        <v>2</v>
      </c>
      <c r="H189">
        <v>12</v>
      </c>
      <c r="I189" t="s">
        <v>354</v>
      </c>
      <c r="J189" s="9">
        <f t="shared" si="2"/>
        <v>10499.158656000003</v>
      </c>
    </row>
    <row r="190" spans="1:10">
      <c r="A190" t="s">
        <v>544</v>
      </c>
      <c r="B190" s="2">
        <v>45754</v>
      </c>
      <c r="C190" t="s">
        <v>287</v>
      </c>
      <c r="D190" t="s">
        <v>70</v>
      </c>
      <c r="E190">
        <v>298</v>
      </c>
      <c r="F190">
        <v>259.12</v>
      </c>
      <c r="G190">
        <v>2</v>
      </c>
      <c r="H190">
        <v>18</v>
      </c>
      <c r="I190" t="s">
        <v>354</v>
      </c>
      <c r="J190" s="9">
        <f t="shared" si="2"/>
        <v>89294.617663999976</v>
      </c>
    </row>
    <row r="191" spans="1:10">
      <c r="A191" t="s">
        <v>545</v>
      </c>
      <c r="B191" s="2">
        <v>45755</v>
      </c>
      <c r="C191" t="s">
        <v>317</v>
      </c>
      <c r="D191" t="s">
        <v>104</v>
      </c>
      <c r="E191">
        <v>896</v>
      </c>
      <c r="F191">
        <v>184.5</v>
      </c>
      <c r="G191">
        <v>5</v>
      </c>
      <c r="H191">
        <v>18</v>
      </c>
      <c r="I191" t="s">
        <v>354</v>
      </c>
      <c r="J191" s="9">
        <f t="shared" si="2"/>
        <v>185314.75199999998</v>
      </c>
    </row>
    <row r="192" spans="1:10">
      <c r="A192" t="s">
        <v>546</v>
      </c>
      <c r="B192" s="2">
        <v>45756</v>
      </c>
      <c r="C192" t="s">
        <v>330</v>
      </c>
      <c r="D192" t="s">
        <v>106</v>
      </c>
      <c r="E192">
        <v>307</v>
      </c>
      <c r="F192">
        <v>344.72</v>
      </c>
      <c r="G192">
        <v>3</v>
      </c>
      <c r="H192">
        <v>18</v>
      </c>
      <c r="I192" t="s">
        <v>354</v>
      </c>
      <c r="J192" s="9">
        <f t="shared" si="2"/>
        <v>121131.919184</v>
      </c>
    </row>
    <row r="193" spans="1:10">
      <c r="A193" t="s">
        <v>547</v>
      </c>
      <c r="B193" s="2">
        <v>45756</v>
      </c>
      <c r="C193" t="s">
        <v>310</v>
      </c>
      <c r="D193" t="s">
        <v>73</v>
      </c>
      <c r="E193">
        <v>161</v>
      </c>
      <c r="F193">
        <v>414.08</v>
      </c>
      <c r="G193">
        <v>5</v>
      </c>
      <c r="H193">
        <v>18</v>
      </c>
      <c r="I193" t="s">
        <v>354</v>
      </c>
      <c r="J193" s="9">
        <f t="shared" si="2"/>
        <v>74733.572480000003</v>
      </c>
    </row>
    <row r="194" spans="1:10">
      <c r="A194" t="s">
        <v>548</v>
      </c>
      <c r="B194" s="2">
        <v>45757</v>
      </c>
      <c r="C194" t="s">
        <v>271</v>
      </c>
      <c r="D194" t="s">
        <v>108</v>
      </c>
      <c r="E194">
        <v>619</v>
      </c>
      <c r="F194">
        <v>33.18</v>
      </c>
      <c r="G194">
        <v>7</v>
      </c>
      <c r="H194">
        <v>18</v>
      </c>
      <c r="I194" t="s">
        <v>354</v>
      </c>
      <c r="J194" s="9">
        <f t="shared" si="2"/>
        <v>22538.862107999994</v>
      </c>
    </row>
    <row r="195" spans="1:10">
      <c r="A195" t="s">
        <v>549</v>
      </c>
      <c r="B195" s="2">
        <v>45757</v>
      </c>
      <c r="C195" t="s">
        <v>339</v>
      </c>
      <c r="D195" t="s">
        <v>119</v>
      </c>
      <c r="E195">
        <v>110</v>
      </c>
      <c r="F195">
        <v>30.58</v>
      </c>
      <c r="G195">
        <v>0</v>
      </c>
      <c r="H195">
        <v>12</v>
      </c>
      <c r="I195" t="s">
        <v>354</v>
      </c>
      <c r="J195" s="9">
        <f t="shared" ref="J195:J258" si="3">E195*F195*(1-G195/100)*(1+H195/100)</f>
        <v>3767.4560000000001</v>
      </c>
    </row>
    <row r="196" spans="1:10">
      <c r="A196" t="s">
        <v>550</v>
      </c>
      <c r="B196" s="2">
        <v>45757</v>
      </c>
      <c r="C196" t="s">
        <v>271</v>
      </c>
      <c r="D196" t="s">
        <v>68</v>
      </c>
      <c r="E196">
        <v>311</v>
      </c>
      <c r="F196">
        <v>314.39</v>
      </c>
      <c r="G196">
        <v>10</v>
      </c>
      <c r="H196">
        <v>18</v>
      </c>
      <c r="I196" t="s">
        <v>354</v>
      </c>
      <c r="J196" s="9">
        <f t="shared" si="3"/>
        <v>103837.35797999999</v>
      </c>
    </row>
    <row r="197" spans="1:10">
      <c r="A197" t="s">
        <v>551</v>
      </c>
      <c r="B197" s="2">
        <v>45758</v>
      </c>
      <c r="C197" t="s">
        <v>307</v>
      </c>
      <c r="D197" t="s">
        <v>87</v>
      </c>
      <c r="E197">
        <v>337</v>
      </c>
      <c r="F197">
        <v>118.03</v>
      </c>
      <c r="G197">
        <v>0</v>
      </c>
      <c r="H197">
        <v>18</v>
      </c>
      <c r="I197" t="s">
        <v>354</v>
      </c>
      <c r="J197" s="9">
        <f t="shared" si="3"/>
        <v>46935.809799999995</v>
      </c>
    </row>
    <row r="198" spans="1:10">
      <c r="A198" t="s">
        <v>552</v>
      </c>
      <c r="B198" s="2">
        <v>45758</v>
      </c>
      <c r="C198" t="s">
        <v>332</v>
      </c>
      <c r="D198" t="s">
        <v>110</v>
      </c>
      <c r="E198">
        <v>230</v>
      </c>
      <c r="F198">
        <v>57.95</v>
      </c>
      <c r="G198">
        <v>5</v>
      </c>
      <c r="H198">
        <v>18</v>
      </c>
      <c r="I198" t="s">
        <v>354</v>
      </c>
      <c r="J198" s="9">
        <f t="shared" si="3"/>
        <v>14941.248499999998</v>
      </c>
    </row>
    <row r="199" spans="1:10">
      <c r="A199" t="s">
        <v>553</v>
      </c>
      <c r="B199" s="2">
        <v>45759</v>
      </c>
      <c r="C199" t="s">
        <v>332</v>
      </c>
      <c r="D199" t="s">
        <v>110</v>
      </c>
      <c r="E199">
        <v>113</v>
      </c>
      <c r="F199">
        <v>52.01</v>
      </c>
      <c r="G199">
        <v>7</v>
      </c>
      <c r="H199">
        <v>18</v>
      </c>
      <c r="I199" t="s">
        <v>354</v>
      </c>
      <c r="J199" s="9">
        <f t="shared" si="3"/>
        <v>6449.562461999999</v>
      </c>
    </row>
    <row r="200" spans="1:10">
      <c r="A200" t="s">
        <v>554</v>
      </c>
      <c r="B200" s="2">
        <v>45760</v>
      </c>
      <c r="C200" t="s">
        <v>327</v>
      </c>
      <c r="D200" t="s">
        <v>114</v>
      </c>
      <c r="E200">
        <v>252</v>
      </c>
      <c r="F200">
        <v>67.180000000000007</v>
      </c>
      <c r="G200">
        <v>0</v>
      </c>
      <c r="H200">
        <v>12</v>
      </c>
      <c r="I200" t="s">
        <v>354</v>
      </c>
      <c r="J200" s="9">
        <f t="shared" si="3"/>
        <v>18960.883200000004</v>
      </c>
    </row>
    <row r="201" spans="1:10">
      <c r="A201" t="s">
        <v>555</v>
      </c>
      <c r="B201" s="2">
        <v>45760</v>
      </c>
      <c r="C201" t="s">
        <v>271</v>
      </c>
      <c r="D201" t="s">
        <v>65</v>
      </c>
      <c r="E201">
        <v>206</v>
      </c>
      <c r="F201">
        <v>177.62</v>
      </c>
      <c r="G201">
        <v>0</v>
      </c>
      <c r="H201">
        <v>18</v>
      </c>
      <c r="I201" t="s">
        <v>354</v>
      </c>
      <c r="J201" s="9">
        <f t="shared" si="3"/>
        <v>43175.869599999998</v>
      </c>
    </row>
    <row r="202" spans="1:10">
      <c r="A202" t="s">
        <v>556</v>
      </c>
      <c r="B202" s="2">
        <v>45762</v>
      </c>
      <c r="C202" t="s">
        <v>285</v>
      </c>
      <c r="D202" t="s">
        <v>70</v>
      </c>
      <c r="E202">
        <v>133</v>
      </c>
      <c r="F202">
        <v>251.62</v>
      </c>
      <c r="G202">
        <v>2</v>
      </c>
      <c r="H202">
        <v>18</v>
      </c>
      <c r="I202" t="s">
        <v>359</v>
      </c>
      <c r="J202" s="9">
        <f t="shared" si="3"/>
        <v>38699.457943999994</v>
      </c>
    </row>
    <row r="203" spans="1:10">
      <c r="A203" t="s">
        <v>557</v>
      </c>
      <c r="B203" s="2">
        <v>45764</v>
      </c>
      <c r="C203" t="s">
        <v>327</v>
      </c>
      <c r="D203" t="s">
        <v>117</v>
      </c>
      <c r="E203">
        <v>138</v>
      </c>
      <c r="F203">
        <v>18.95</v>
      </c>
      <c r="G203">
        <v>5</v>
      </c>
      <c r="H203">
        <v>12</v>
      </c>
      <c r="I203" t="s">
        <v>354</v>
      </c>
      <c r="J203" s="9">
        <f t="shared" si="3"/>
        <v>2782.4664000000002</v>
      </c>
    </row>
    <row r="204" spans="1:10">
      <c r="A204" t="s">
        <v>558</v>
      </c>
      <c r="B204" s="2">
        <v>45764</v>
      </c>
      <c r="C204" t="s">
        <v>291</v>
      </c>
      <c r="D204" t="s">
        <v>77</v>
      </c>
      <c r="E204">
        <v>225</v>
      </c>
      <c r="F204">
        <v>112.42</v>
      </c>
      <c r="G204">
        <v>0</v>
      </c>
      <c r="H204">
        <v>18</v>
      </c>
      <c r="I204" t="s">
        <v>354</v>
      </c>
      <c r="J204" s="9">
        <f t="shared" si="3"/>
        <v>29847.51</v>
      </c>
    </row>
    <row r="205" spans="1:10">
      <c r="A205" t="s">
        <v>559</v>
      </c>
      <c r="B205" s="2">
        <v>45765</v>
      </c>
      <c r="C205" t="s">
        <v>339</v>
      </c>
      <c r="D205" t="s">
        <v>117</v>
      </c>
      <c r="E205">
        <v>613</v>
      </c>
      <c r="F205">
        <v>18.68</v>
      </c>
      <c r="G205">
        <v>0</v>
      </c>
      <c r="H205">
        <v>12</v>
      </c>
      <c r="I205" t="s">
        <v>354</v>
      </c>
      <c r="J205" s="9">
        <f t="shared" si="3"/>
        <v>12824.940800000002</v>
      </c>
    </row>
    <row r="206" spans="1:10">
      <c r="A206" t="s">
        <v>560</v>
      </c>
      <c r="B206" s="2">
        <v>45766</v>
      </c>
      <c r="C206" t="s">
        <v>332</v>
      </c>
      <c r="D206" t="s">
        <v>110</v>
      </c>
      <c r="E206">
        <v>103</v>
      </c>
      <c r="F206">
        <v>56.62</v>
      </c>
      <c r="G206">
        <v>5</v>
      </c>
      <c r="H206">
        <v>18</v>
      </c>
      <c r="I206" t="s">
        <v>365</v>
      </c>
      <c r="J206" s="9">
        <f t="shared" si="3"/>
        <v>6537.5150599999997</v>
      </c>
    </row>
    <row r="207" spans="1:10">
      <c r="A207" t="s">
        <v>561</v>
      </c>
      <c r="B207" s="2">
        <v>45766</v>
      </c>
      <c r="C207" t="s">
        <v>342</v>
      </c>
      <c r="D207" t="s">
        <v>114</v>
      </c>
      <c r="E207">
        <v>257</v>
      </c>
      <c r="F207">
        <v>63.19</v>
      </c>
      <c r="G207">
        <v>5</v>
      </c>
      <c r="H207">
        <v>12</v>
      </c>
      <c r="I207" t="s">
        <v>354</v>
      </c>
      <c r="J207" s="9">
        <f t="shared" si="3"/>
        <v>17279.179120000001</v>
      </c>
    </row>
    <row r="208" spans="1:10">
      <c r="A208" t="s">
        <v>562</v>
      </c>
      <c r="B208" s="2">
        <v>45766</v>
      </c>
      <c r="C208" t="s">
        <v>310</v>
      </c>
      <c r="D208" t="s">
        <v>89</v>
      </c>
      <c r="E208">
        <v>141</v>
      </c>
      <c r="F208">
        <v>90.11</v>
      </c>
      <c r="G208">
        <v>0</v>
      </c>
      <c r="H208">
        <v>18</v>
      </c>
      <c r="I208" t="s">
        <v>354</v>
      </c>
      <c r="J208" s="9">
        <f t="shared" si="3"/>
        <v>14992.5018</v>
      </c>
    </row>
    <row r="209" spans="1:10">
      <c r="A209" t="s">
        <v>563</v>
      </c>
      <c r="B209" s="2">
        <v>45767</v>
      </c>
      <c r="C209" t="s">
        <v>317</v>
      </c>
      <c r="D209" t="s">
        <v>93</v>
      </c>
      <c r="E209">
        <v>95</v>
      </c>
      <c r="F209">
        <v>1426</v>
      </c>
      <c r="G209">
        <v>2</v>
      </c>
      <c r="H209">
        <v>18</v>
      </c>
      <c r="I209" t="s">
        <v>354</v>
      </c>
      <c r="J209" s="9">
        <f t="shared" si="3"/>
        <v>156657.508</v>
      </c>
    </row>
    <row r="210" spans="1:10">
      <c r="A210" t="s">
        <v>564</v>
      </c>
      <c r="B210" s="2">
        <v>45767</v>
      </c>
      <c r="C210" t="s">
        <v>291</v>
      </c>
      <c r="D210" t="s">
        <v>77</v>
      </c>
      <c r="E210">
        <v>287</v>
      </c>
      <c r="F210">
        <v>106.02</v>
      </c>
      <c r="G210">
        <v>10</v>
      </c>
      <c r="H210">
        <v>18</v>
      </c>
      <c r="I210" t="s">
        <v>354</v>
      </c>
      <c r="J210" s="9">
        <f t="shared" si="3"/>
        <v>32314.259879999998</v>
      </c>
    </row>
    <row r="211" spans="1:10">
      <c r="A211" t="s">
        <v>565</v>
      </c>
      <c r="B211" s="2">
        <v>45767</v>
      </c>
      <c r="C211" t="s">
        <v>317</v>
      </c>
      <c r="D211" t="s">
        <v>95</v>
      </c>
      <c r="E211">
        <v>171</v>
      </c>
      <c r="F211">
        <v>253.72</v>
      </c>
      <c r="G211">
        <v>0</v>
      </c>
      <c r="H211">
        <v>18</v>
      </c>
      <c r="I211" t="s">
        <v>354</v>
      </c>
      <c r="J211" s="9">
        <f t="shared" si="3"/>
        <v>51195.621599999999</v>
      </c>
    </row>
    <row r="212" spans="1:10">
      <c r="A212" t="s">
        <v>566</v>
      </c>
      <c r="B212" s="2">
        <v>45768</v>
      </c>
      <c r="C212" t="s">
        <v>293</v>
      </c>
      <c r="D212" t="s">
        <v>75</v>
      </c>
      <c r="E212">
        <v>133</v>
      </c>
      <c r="F212">
        <v>84.25</v>
      </c>
      <c r="G212">
        <v>0</v>
      </c>
      <c r="H212">
        <v>18</v>
      </c>
      <c r="I212" t="s">
        <v>354</v>
      </c>
      <c r="J212" s="9">
        <f t="shared" si="3"/>
        <v>13222.195</v>
      </c>
    </row>
    <row r="213" spans="1:10">
      <c r="A213" t="s">
        <v>567</v>
      </c>
      <c r="B213" s="2">
        <v>45770</v>
      </c>
      <c r="C213" t="s">
        <v>320</v>
      </c>
      <c r="D213" t="s">
        <v>106</v>
      </c>
      <c r="E213">
        <v>153</v>
      </c>
      <c r="F213">
        <v>344.42</v>
      </c>
      <c r="G213">
        <v>2</v>
      </c>
      <c r="H213">
        <v>18</v>
      </c>
      <c r="I213" t="s">
        <v>354</v>
      </c>
      <c r="J213" s="9">
        <f t="shared" si="3"/>
        <v>60937.955064000002</v>
      </c>
    </row>
    <row r="214" spans="1:10">
      <c r="A214" t="s">
        <v>568</v>
      </c>
      <c r="B214" s="2">
        <v>45770</v>
      </c>
      <c r="C214" t="s">
        <v>274</v>
      </c>
      <c r="D214" t="s">
        <v>108</v>
      </c>
      <c r="E214">
        <v>239</v>
      </c>
      <c r="F214">
        <v>33.72</v>
      </c>
      <c r="G214">
        <v>0</v>
      </c>
      <c r="H214">
        <v>18</v>
      </c>
      <c r="I214" t="s">
        <v>354</v>
      </c>
      <c r="J214" s="9">
        <f t="shared" si="3"/>
        <v>9509.7143999999989</v>
      </c>
    </row>
    <row r="215" spans="1:10">
      <c r="A215" t="s">
        <v>569</v>
      </c>
      <c r="B215" s="2">
        <v>45770</v>
      </c>
      <c r="C215" t="s">
        <v>295</v>
      </c>
      <c r="D215" t="s">
        <v>84</v>
      </c>
      <c r="E215">
        <v>176</v>
      </c>
      <c r="F215">
        <v>800.28</v>
      </c>
      <c r="G215">
        <v>2</v>
      </c>
      <c r="H215">
        <v>18</v>
      </c>
      <c r="I215" t="s">
        <v>354</v>
      </c>
      <c r="J215" s="9">
        <f t="shared" si="3"/>
        <v>162878.10739199998</v>
      </c>
    </row>
    <row r="216" spans="1:10">
      <c r="A216" t="s">
        <v>570</v>
      </c>
      <c r="B216" s="2">
        <v>45771</v>
      </c>
      <c r="C216" t="s">
        <v>283</v>
      </c>
      <c r="D216" t="s">
        <v>73</v>
      </c>
      <c r="E216">
        <v>197</v>
      </c>
      <c r="F216">
        <v>440.51</v>
      </c>
      <c r="G216">
        <v>3</v>
      </c>
      <c r="H216">
        <v>18</v>
      </c>
      <c r="I216" t="s">
        <v>354</v>
      </c>
      <c r="J216" s="9">
        <f t="shared" si="3"/>
        <v>99328.925961999979</v>
      </c>
    </row>
    <row r="217" spans="1:10">
      <c r="A217" t="s">
        <v>571</v>
      </c>
      <c r="B217" s="2">
        <v>45771</v>
      </c>
      <c r="C217" t="s">
        <v>274</v>
      </c>
      <c r="D217" t="s">
        <v>108</v>
      </c>
      <c r="E217">
        <v>320</v>
      </c>
      <c r="F217">
        <v>32.96</v>
      </c>
      <c r="G217">
        <v>5</v>
      </c>
      <c r="H217">
        <v>18</v>
      </c>
      <c r="I217" t="s">
        <v>354</v>
      </c>
      <c r="J217" s="9">
        <f t="shared" si="3"/>
        <v>11823.411199999999</v>
      </c>
    </row>
    <row r="218" spans="1:10">
      <c r="A218" t="s">
        <v>572</v>
      </c>
      <c r="B218" s="2">
        <v>45772</v>
      </c>
      <c r="C218" t="s">
        <v>336</v>
      </c>
      <c r="D218" t="s">
        <v>114</v>
      </c>
      <c r="E218">
        <v>231</v>
      </c>
      <c r="F218">
        <v>64.760000000000005</v>
      </c>
      <c r="G218">
        <v>3</v>
      </c>
      <c r="H218">
        <v>12</v>
      </c>
      <c r="I218" t="s">
        <v>365</v>
      </c>
      <c r="J218" s="9">
        <f t="shared" si="3"/>
        <v>16252.065984000003</v>
      </c>
    </row>
    <row r="219" spans="1:10">
      <c r="A219" t="s">
        <v>573</v>
      </c>
      <c r="B219" s="2">
        <v>45772</v>
      </c>
      <c r="C219" t="s">
        <v>327</v>
      </c>
      <c r="D219" t="s">
        <v>114</v>
      </c>
      <c r="E219">
        <v>254</v>
      </c>
      <c r="F219">
        <v>63.58</v>
      </c>
      <c r="G219">
        <v>2</v>
      </c>
      <c r="H219">
        <v>12</v>
      </c>
      <c r="I219" t="s">
        <v>354</v>
      </c>
      <c r="J219" s="9">
        <f t="shared" si="3"/>
        <v>17725.493632000002</v>
      </c>
    </row>
    <row r="220" spans="1:10">
      <c r="A220" t="s">
        <v>574</v>
      </c>
      <c r="B220" s="2">
        <v>45772</v>
      </c>
      <c r="C220" t="s">
        <v>305</v>
      </c>
      <c r="D220" t="s">
        <v>79</v>
      </c>
      <c r="E220">
        <v>146</v>
      </c>
      <c r="F220">
        <v>43.28</v>
      </c>
      <c r="G220">
        <v>10</v>
      </c>
      <c r="H220">
        <v>18</v>
      </c>
      <c r="I220" t="s">
        <v>354</v>
      </c>
      <c r="J220" s="9">
        <f t="shared" si="3"/>
        <v>6710.65056</v>
      </c>
    </row>
    <row r="221" spans="1:10">
      <c r="A221" t="s">
        <v>575</v>
      </c>
      <c r="B221" s="2">
        <v>45772</v>
      </c>
      <c r="C221" t="s">
        <v>278</v>
      </c>
      <c r="D221" t="s">
        <v>65</v>
      </c>
      <c r="E221">
        <v>82</v>
      </c>
      <c r="F221">
        <v>183.66</v>
      </c>
      <c r="G221">
        <v>3</v>
      </c>
      <c r="H221">
        <v>18</v>
      </c>
      <c r="I221" t="s">
        <v>354</v>
      </c>
      <c r="J221" s="9">
        <f t="shared" si="3"/>
        <v>17237.813351999997</v>
      </c>
    </row>
    <row r="222" spans="1:10">
      <c r="A222" t="s">
        <v>576</v>
      </c>
      <c r="B222" s="2">
        <v>45773</v>
      </c>
      <c r="C222" t="s">
        <v>287</v>
      </c>
      <c r="D222" t="s">
        <v>70</v>
      </c>
      <c r="E222">
        <v>267</v>
      </c>
      <c r="F222">
        <v>253.36</v>
      </c>
      <c r="G222">
        <v>0</v>
      </c>
      <c r="H222">
        <v>18</v>
      </c>
      <c r="I222" t="s">
        <v>354</v>
      </c>
      <c r="J222" s="9">
        <f t="shared" si="3"/>
        <v>79823.601600000009</v>
      </c>
    </row>
    <row r="223" spans="1:10">
      <c r="A223" t="s">
        <v>577</v>
      </c>
      <c r="B223" s="2">
        <v>45774</v>
      </c>
      <c r="C223" t="s">
        <v>336</v>
      </c>
      <c r="D223" t="s">
        <v>114</v>
      </c>
      <c r="E223">
        <v>151</v>
      </c>
      <c r="F223">
        <v>64.38</v>
      </c>
      <c r="G223">
        <v>2</v>
      </c>
      <c r="H223">
        <v>12</v>
      </c>
      <c r="I223" t="s">
        <v>354</v>
      </c>
      <c r="J223" s="9">
        <f t="shared" si="3"/>
        <v>10670.186688</v>
      </c>
    </row>
    <row r="224" spans="1:10">
      <c r="A224" t="s">
        <v>578</v>
      </c>
      <c r="B224" s="2">
        <v>45774</v>
      </c>
      <c r="C224" t="s">
        <v>339</v>
      </c>
      <c r="D224" t="s">
        <v>117</v>
      </c>
      <c r="E224">
        <v>449</v>
      </c>
      <c r="F224">
        <v>18.75</v>
      </c>
      <c r="G224">
        <v>5</v>
      </c>
      <c r="H224">
        <v>12</v>
      </c>
      <c r="I224" t="s">
        <v>354</v>
      </c>
      <c r="J224" s="9">
        <f t="shared" si="3"/>
        <v>8957.5500000000011</v>
      </c>
    </row>
    <row r="225" spans="1:10">
      <c r="A225" t="s">
        <v>579</v>
      </c>
      <c r="B225" s="2">
        <v>45775</v>
      </c>
      <c r="C225" t="s">
        <v>332</v>
      </c>
      <c r="D225" t="s">
        <v>110</v>
      </c>
      <c r="E225">
        <v>410</v>
      </c>
      <c r="F225">
        <v>59.12</v>
      </c>
      <c r="G225">
        <v>0</v>
      </c>
      <c r="H225">
        <v>18</v>
      </c>
      <c r="I225" t="s">
        <v>354</v>
      </c>
      <c r="J225" s="9">
        <f t="shared" si="3"/>
        <v>28602.255999999998</v>
      </c>
    </row>
    <row r="226" spans="1:10">
      <c r="A226" t="s">
        <v>580</v>
      </c>
      <c r="B226" s="2">
        <v>45777</v>
      </c>
      <c r="C226" t="s">
        <v>302</v>
      </c>
      <c r="D226" t="s">
        <v>79</v>
      </c>
      <c r="E226">
        <v>246</v>
      </c>
      <c r="F226">
        <v>44.22</v>
      </c>
      <c r="G226">
        <v>2</v>
      </c>
      <c r="H226">
        <v>18</v>
      </c>
      <c r="I226" t="s">
        <v>354</v>
      </c>
      <c r="J226" s="9">
        <f t="shared" si="3"/>
        <v>12579.457967999997</v>
      </c>
    </row>
    <row r="227" spans="1:10">
      <c r="A227" t="s">
        <v>581</v>
      </c>
      <c r="B227" s="2">
        <v>45777</v>
      </c>
      <c r="C227" t="s">
        <v>293</v>
      </c>
      <c r="D227" t="s">
        <v>77</v>
      </c>
      <c r="E227">
        <v>152</v>
      </c>
      <c r="F227">
        <v>105.88</v>
      </c>
      <c r="G227">
        <v>7</v>
      </c>
      <c r="H227">
        <v>18</v>
      </c>
      <c r="I227" t="s">
        <v>354</v>
      </c>
      <c r="J227" s="9">
        <f t="shared" si="3"/>
        <v>17661.292223999997</v>
      </c>
    </row>
    <row r="228" spans="1:10">
      <c r="A228" t="s">
        <v>582</v>
      </c>
      <c r="B228" s="2">
        <v>45778</v>
      </c>
      <c r="C228" t="s">
        <v>339</v>
      </c>
      <c r="D228" t="s">
        <v>117</v>
      </c>
      <c r="E228">
        <v>455</v>
      </c>
      <c r="F228">
        <v>18.100000000000001</v>
      </c>
      <c r="G228">
        <v>0</v>
      </c>
      <c r="H228">
        <v>12</v>
      </c>
      <c r="I228" t="s">
        <v>354</v>
      </c>
      <c r="J228" s="9">
        <f t="shared" si="3"/>
        <v>9223.76</v>
      </c>
    </row>
    <row r="229" spans="1:10">
      <c r="A229" t="s">
        <v>583</v>
      </c>
      <c r="B229" s="2">
        <v>45778</v>
      </c>
      <c r="C229" t="s">
        <v>287</v>
      </c>
      <c r="D229" t="s">
        <v>89</v>
      </c>
      <c r="E229">
        <v>442</v>
      </c>
      <c r="F229">
        <v>97.23</v>
      </c>
      <c r="G229">
        <v>0</v>
      </c>
      <c r="H229">
        <v>18</v>
      </c>
      <c r="I229" t="s">
        <v>354</v>
      </c>
      <c r="J229" s="9">
        <f t="shared" si="3"/>
        <v>50711.2788</v>
      </c>
    </row>
    <row r="230" spans="1:10">
      <c r="A230" t="s">
        <v>584</v>
      </c>
      <c r="B230" s="2">
        <v>45778</v>
      </c>
      <c r="C230" t="s">
        <v>317</v>
      </c>
      <c r="D230" t="s">
        <v>91</v>
      </c>
      <c r="E230">
        <v>361</v>
      </c>
      <c r="F230">
        <v>475.84</v>
      </c>
      <c r="G230">
        <v>0</v>
      </c>
      <c r="H230">
        <v>18</v>
      </c>
      <c r="I230" t="s">
        <v>365</v>
      </c>
      <c r="J230" s="9">
        <f t="shared" si="3"/>
        <v>202698.32319999998</v>
      </c>
    </row>
    <row r="231" spans="1:10">
      <c r="A231" t="s">
        <v>585</v>
      </c>
      <c r="B231" s="2">
        <v>45779</v>
      </c>
      <c r="C231" t="s">
        <v>287</v>
      </c>
      <c r="D231" t="s">
        <v>93</v>
      </c>
      <c r="E231">
        <v>196</v>
      </c>
      <c r="F231">
        <v>1380.15</v>
      </c>
      <c r="G231">
        <v>3</v>
      </c>
      <c r="H231">
        <v>18</v>
      </c>
      <c r="I231" t="s">
        <v>354</v>
      </c>
      <c r="J231" s="9">
        <f t="shared" si="3"/>
        <v>309625.05924000003</v>
      </c>
    </row>
    <row r="232" spans="1:10">
      <c r="A232" t="s">
        <v>586</v>
      </c>
      <c r="B232" s="2">
        <v>45779</v>
      </c>
      <c r="C232" t="s">
        <v>298</v>
      </c>
      <c r="D232" t="s">
        <v>81</v>
      </c>
      <c r="E232">
        <v>104</v>
      </c>
      <c r="F232">
        <v>72.540000000000006</v>
      </c>
      <c r="G232">
        <v>2</v>
      </c>
      <c r="H232">
        <v>18</v>
      </c>
      <c r="I232" t="s">
        <v>354</v>
      </c>
      <c r="J232" s="9">
        <f t="shared" si="3"/>
        <v>8724.066624000001</v>
      </c>
    </row>
    <row r="233" spans="1:10">
      <c r="A233" t="s">
        <v>587</v>
      </c>
      <c r="B233" s="2">
        <v>45780</v>
      </c>
      <c r="C233" t="s">
        <v>274</v>
      </c>
      <c r="D233" t="s">
        <v>87</v>
      </c>
      <c r="E233">
        <v>196</v>
      </c>
      <c r="F233">
        <v>128.47</v>
      </c>
      <c r="G233">
        <v>5</v>
      </c>
      <c r="H233">
        <v>18</v>
      </c>
      <c r="I233" t="s">
        <v>354</v>
      </c>
      <c r="J233" s="9">
        <f t="shared" si="3"/>
        <v>28226.914519999995</v>
      </c>
    </row>
    <row r="234" spans="1:10">
      <c r="A234" t="s">
        <v>588</v>
      </c>
      <c r="B234" s="2">
        <v>45780</v>
      </c>
      <c r="C234" t="s">
        <v>336</v>
      </c>
      <c r="D234" t="s">
        <v>114</v>
      </c>
      <c r="E234">
        <v>262</v>
      </c>
      <c r="F234">
        <v>67.28</v>
      </c>
      <c r="G234">
        <v>0</v>
      </c>
      <c r="H234">
        <v>12</v>
      </c>
      <c r="I234" t="s">
        <v>354</v>
      </c>
      <c r="J234" s="9">
        <f t="shared" si="3"/>
        <v>19742.643200000002</v>
      </c>
    </row>
    <row r="235" spans="1:10">
      <c r="A235" t="s">
        <v>589</v>
      </c>
      <c r="B235" s="2">
        <v>45780</v>
      </c>
      <c r="C235" t="s">
        <v>302</v>
      </c>
      <c r="D235" t="s">
        <v>104</v>
      </c>
      <c r="E235">
        <v>460</v>
      </c>
      <c r="F235">
        <v>183.02</v>
      </c>
      <c r="G235">
        <v>2</v>
      </c>
      <c r="H235">
        <v>18</v>
      </c>
      <c r="I235" t="s">
        <v>354</v>
      </c>
      <c r="J235" s="9">
        <f t="shared" si="3"/>
        <v>97356.390880000006</v>
      </c>
    </row>
    <row r="236" spans="1:10">
      <c r="A236" t="s">
        <v>590</v>
      </c>
      <c r="B236" s="2">
        <v>45781</v>
      </c>
      <c r="C236" t="s">
        <v>285</v>
      </c>
      <c r="D236" t="s">
        <v>73</v>
      </c>
      <c r="E236">
        <v>97</v>
      </c>
      <c r="F236">
        <v>431.86</v>
      </c>
      <c r="G236">
        <v>0</v>
      </c>
      <c r="H236">
        <v>18</v>
      </c>
      <c r="I236" t="s">
        <v>354</v>
      </c>
      <c r="J236" s="9">
        <f t="shared" si="3"/>
        <v>49430.695599999992</v>
      </c>
    </row>
    <row r="237" spans="1:10">
      <c r="A237" t="s">
        <v>591</v>
      </c>
      <c r="B237" s="2">
        <v>45781</v>
      </c>
      <c r="C237" t="s">
        <v>305</v>
      </c>
      <c r="D237" t="s">
        <v>104</v>
      </c>
      <c r="E237">
        <v>156</v>
      </c>
      <c r="F237">
        <v>184.67</v>
      </c>
      <c r="G237">
        <v>5</v>
      </c>
      <c r="H237">
        <v>18</v>
      </c>
      <c r="I237" t="s">
        <v>359</v>
      </c>
      <c r="J237" s="9">
        <f t="shared" si="3"/>
        <v>32294.350919999993</v>
      </c>
    </row>
    <row r="238" spans="1:10">
      <c r="A238" t="s">
        <v>592</v>
      </c>
      <c r="B238" s="2">
        <v>45781</v>
      </c>
      <c r="C238" t="s">
        <v>302</v>
      </c>
      <c r="D238" t="s">
        <v>84</v>
      </c>
      <c r="E238">
        <v>278</v>
      </c>
      <c r="F238">
        <v>760.48</v>
      </c>
      <c r="G238">
        <v>2</v>
      </c>
      <c r="H238">
        <v>18</v>
      </c>
      <c r="I238" t="s">
        <v>359</v>
      </c>
      <c r="J238" s="9">
        <f t="shared" si="3"/>
        <v>244478.50201600001</v>
      </c>
    </row>
    <row r="239" spans="1:10">
      <c r="A239" t="s">
        <v>593</v>
      </c>
      <c r="B239" s="2">
        <v>45782</v>
      </c>
      <c r="C239" t="s">
        <v>344</v>
      </c>
      <c r="D239" t="s">
        <v>95</v>
      </c>
      <c r="E239">
        <v>302</v>
      </c>
      <c r="F239">
        <v>250.33</v>
      </c>
      <c r="G239">
        <v>3</v>
      </c>
      <c r="H239">
        <v>18</v>
      </c>
      <c r="I239" t="s">
        <v>354</v>
      </c>
      <c r="J239" s="9">
        <f t="shared" si="3"/>
        <v>86531.370836000002</v>
      </c>
    </row>
    <row r="240" spans="1:10">
      <c r="A240" t="s">
        <v>594</v>
      </c>
      <c r="B240" s="2">
        <v>45783</v>
      </c>
      <c r="C240" t="s">
        <v>305</v>
      </c>
      <c r="D240" t="s">
        <v>79</v>
      </c>
      <c r="E240">
        <v>320</v>
      </c>
      <c r="F240">
        <v>43.95</v>
      </c>
      <c r="G240">
        <v>7</v>
      </c>
      <c r="H240">
        <v>18</v>
      </c>
      <c r="I240" t="s">
        <v>354</v>
      </c>
      <c r="J240" s="9">
        <f t="shared" si="3"/>
        <v>15433.833599999998</v>
      </c>
    </row>
    <row r="241" spans="1:10">
      <c r="A241" t="s">
        <v>595</v>
      </c>
      <c r="B241" s="2">
        <v>45784</v>
      </c>
      <c r="C241" t="s">
        <v>314</v>
      </c>
      <c r="D241" t="s">
        <v>95</v>
      </c>
      <c r="E241">
        <v>217</v>
      </c>
      <c r="F241">
        <v>265.91000000000003</v>
      </c>
      <c r="G241">
        <v>10</v>
      </c>
      <c r="H241">
        <v>18</v>
      </c>
      <c r="I241" t="s">
        <v>354</v>
      </c>
      <c r="J241" s="9">
        <f t="shared" si="3"/>
        <v>61280.023140000005</v>
      </c>
    </row>
    <row r="242" spans="1:10">
      <c r="A242" t="s">
        <v>596</v>
      </c>
      <c r="B242" s="2">
        <v>45784</v>
      </c>
      <c r="C242" t="s">
        <v>291</v>
      </c>
      <c r="D242" t="s">
        <v>61</v>
      </c>
      <c r="E242">
        <v>238</v>
      </c>
      <c r="F242">
        <v>682.95</v>
      </c>
      <c r="G242">
        <v>0</v>
      </c>
      <c r="H242">
        <v>18</v>
      </c>
      <c r="I242" t="s">
        <v>354</v>
      </c>
      <c r="J242" s="9">
        <f t="shared" si="3"/>
        <v>191799.67799999999</v>
      </c>
    </row>
    <row r="243" spans="1:10">
      <c r="A243" t="s">
        <v>597</v>
      </c>
      <c r="B243" s="2">
        <v>45785</v>
      </c>
      <c r="C243" t="s">
        <v>278</v>
      </c>
      <c r="D243" t="s">
        <v>108</v>
      </c>
      <c r="E243">
        <v>159</v>
      </c>
      <c r="F243">
        <v>36.32</v>
      </c>
      <c r="G243">
        <v>0</v>
      </c>
      <c r="H243">
        <v>18</v>
      </c>
      <c r="I243" t="s">
        <v>354</v>
      </c>
      <c r="J243" s="9">
        <f t="shared" si="3"/>
        <v>6814.3584000000001</v>
      </c>
    </row>
    <row r="244" spans="1:10">
      <c r="A244" t="s">
        <v>598</v>
      </c>
      <c r="B244" s="2">
        <v>45786</v>
      </c>
      <c r="C244" t="s">
        <v>274</v>
      </c>
      <c r="D244" t="s">
        <v>87</v>
      </c>
      <c r="E244">
        <v>329</v>
      </c>
      <c r="F244">
        <v>129.77000000000001</v>
      </c>
      <c r="G244">
        <v>3</v>
      </c>
      <c r="H244">
        <v>18</v>
      </c>
      <c r="I244" t="s">
        <v>354</v>
      </c>
      <c r="J244" s="9">
        <f t="shared" si="3"/>
        <v>48867.930117999997</v>
      </c>
    </row>
    <row r="245" spans="1:10">
      <c r="A245" t="s">
        <v>599</v>
      </c>
      <c r="B245" s="2">
        <v>45786</v>
      </c>
      <c r="C245" t="s">
        <v>320</v>
      </c>
      <c r="D245" t="s">
        <v>91</v>
      </c>
      <c r="E245">
        <v>193</v>
      </c>
      <c r="F245">
        <v>510.78</v>
      </c>
      <c r="G245">
        <v>2</v>
      </c>
      <c r="H245">
        <v>18</v>
      </c>
      <c r="I245" t="s">
        <v>354</v>
      </c>
      <c r="J245" s="9">
        <f t="shared" si="3"/>
        <v>113998.53645599999</v>
      </c>
    </row>
    <row r="246" spans="1:10">
      <c r="A246" t="s">
        <v>600</v>
      </c>
      <c r="B246" s="2">
        <v>45788</v>
      </c>
      <c r="C246" t="s">
        <v>325</v>
      </c>
      <c r="D246" t="s">
        <v>99</v>
      </c>
      <c r="E246">
        <v>1209</v>
      </c>
      <c r="F246">
        <v>221.41</v>
      </c>
      <c r="G246">
        <v>0</v>
      </c>
      <c r="H246">
        <v>18</v>
      </c>
      <c r="I246" t="s">
        <v>354</v>
      </c>
      <c r="J246" s="9">
        <f t="shared" si="3"/>
        <v>315867.93419999996</v>
      </c>
    </row>
    <row r="247" spans="1:10">
      <c r="A247" t="s">
        <v>601</v>
      </c>
      <c r="B247" s="2">
        <v>45788</v>
      </c>
      <c r="C247" t="s">
        <v>280</v>
      </c>
      <c r="D247" t="s">
        <v>93</v>
      </c>
      <c r="E247">
        <v>293</v>
      </c>
      <c r="F247">
        <v>1460.12</v>
      </c>
      <c r="G247">
        <v>0</v>
      </c>
      <c r="H247">
        <v>18</v>
      </c>
      <c r="I247" t="s">
        <v>354</v>
      </c>
      <c r="J247" s="9">
        <f t="shared" si="3"/>
        <v>504821.88879999996</v>
      </c>
    </row>
    <row r="248" spans="1:10">
      <c r="A248" t="s">
        <v>602</v>
      </c>
      <c r="B248" s="2">
        <v>45790</v>
      </c>
      <c r="C248" t="s">
        <v>314</v>
      </c>
      <c r="D248" t="s">
        <v>91</v>
      </c>
      <c r="E248">
        <v>122</v>
      </c>
      <c r="F248">
        <v>507.32</v>
      </c>
      <c r="G248">
        <v>0</v>
      </c>
      <c r="H248">
        <v>18</v>
      </c>
      <c r="I248" t="s">
        <v>354</v>
      </c>
      <c r="J248" s="9">
        <f t="shared" si="3"/>
        <v>73033.787199999992</v>
      </c>
    </row>
    <row r="249" spans="1:10">
      <c r="A249" t="s">
        <v>603</v>
      </c>
      <c r="B249" s="2">
        <v>45791</v>
      </c>
      <c r="C249" t="s">
        <v>325</v>
      </c>
      <c r="D249" t="s">
        <v>99</v>
      </c>
      <c r="E249">
        <v>251</v>
      </c>
      <c r="F249">
        <v>197.53</v>
      </c>
      <c r="G249">
        <v>7</v>
      </c>
      <c r="H249">
        <v>18</v>
      </c>
      <c r="I249" t="s">
        <v>354</v>
      </c>
      <c r="J249" s="9">
        <f t="shared" si="3"/>
        <v>54409.124921999988</v>
      </c>
    </row>
    <row r="250" spans="1:10">
      <c r="A250" t="s">
        <v>604</v>
      </c>
      <c r="B250" s="2">
        <v>45792</v>
      </c>
      <c r="C250" t="s">
        <v>317</v>
      </c>
      <c r="D250" t="s">
        <v>104</v>
      </c>
      <c r="E250">
        <v>191</v>
      </c>
      <c r="F250">
        <v>195.3</v>
      </c>
      <c r="G250">
        <v>0</v>
      </c>
      <c r="H250">
        <v>18</v>
      </c>
      <c r="I250" t="s">
        <v>354</v>
      </c>
      <c r="J250" s="9">
        <f t="shared" si="3"/>
        <v>44016.714</v>
      </c>
    </row>
    <row r="251" spans="1:10">
      <c r="A251" t="s">
        <v>605</v>
      </c>
      <c r="B251" s="2">
        <v>45793</v>
      </c>
      <c r="C251" t="s">
        <v>317</v>
      </c>
      <c r="D251" t="s">
        <v>106</v>
      </c>
      <c r="E251">
        <v>435</v>
      </c>
      <c r="F251">
        <v>360.98</v>
      </c>
      <c r="G251">
        <v>7</v>
      </c>
      <c r="H251">
        <v>18</v>
      </c>
      <c r="I251" t="s">
        <v>354</v>
      </c>
      <c r="J251" s="9">
        <f t="shared" si="3"/>
        <v>172320.66162</v>
      </c>
    </row>
    <row r="252" spans="1:10">
      <c r="A252" t="s">
        <v>606</v>
      </c>
      <c r="B252" s="2">
        <v>45793</v>
      </c>
      <c r="C252" t="s">
        <v>332</v>
      </c>
      <c r="D252" t="s">
        <v>110</v>
      </c>
      <c r="E252">
        <v>195</v>
      </c>
      <c r="F252">
        <v>57.17</v>
      </c>
      <c r="G252">
        <v>0</v>
      </c>
      <c r="H252">
        <v>18</v>
      </c>
      <c r="I252" t="s">
        <v>354</v>
      </c>
      <c r="J252" s="9">
        <f t="shared" si="3"/>
        <v>13154.816999999999</v>
      </c>
    </row>
    <row r="253" spans="1:10">
      <c r="A253" t="s">
        <v>607</v>
      </c>
      <c r="B253" s="2">
        <v>45793</v>
      </c>
      <c r="C253" t="s">
        <v>295</v>
      </c>
      <c r="D253" t="s">
        <v>65</v>
      </c>
      <c r="E253">
        <v>464</v>
      </c>
      <c r="F253">
        <v>193.2</v>
      </c>
      <c r="G253">
        <v>10</v>
      </c>
      <c r="H253">
        <v>18</v>
      </c>
      <c r="I253" t="s">
        <v>354</v>
      </c>
      <c r="J253" s="9">
        <f t="shared" si="3"/>
        <v>95202.777599999987</v>
      </c>
    </row>
    <row r="254" spans="1:10">
      <c r="A254" t="s">
        <v>608</v>
      </c>
      <c r="B254" s="2">
        <v>45793</v>
      </c>
      <c r="C254" t="s">
        <v>317</v>
      </c>
      <c r="D254" t="s">
        <v>104</v>
      </c>
      <c r="E254">
        <v>836</v>
      </c>
      <c r="F254">
        <v>194</v>
      </c>
      <c r="G254">
        <v>2</v>
      </c>
      <c r="H254">
        <v>18</v>
      </c>
      <c r="I254" t="s">
        <v>359</v>
      </c>
      <c r="J254" s="9">
        <f t="shared" si="3"/>
        <v>187549.57759999999</v>
      </c>
    </row>
    <row r="255" spans="1:10">
      <c r="A255" t="s">
        <v>609</v>
      </c>
      <c r="B255" s="2">
        <v>45793</v>
      </c>
      <c r="C255" t="s">
        <v>274</v>
      </c>
      <c r="D255" t="s">
        <v>108</v>
      </c>
      <c r="E255">
        <v>177</v>
      </c>
      <c r="F255">
        <v>32.979999999999997</v>
      </c>
      <c r="G255">
        <v>5</v>
      </c>
      <c r="H255">
        <v>18</v>
      </c>
      <c r="I255" t="s">
        <v>354</v>
      </c>
      <c r="J255" s="9">
        <f t="shared" si="3"/>
        <v>6543.7926599999982</v>
      </c>
    </row>
    <row r="256" spans="1:10">
      <c r="A256" t="s">
        <v>610</v>
      </c>
      <c r="B256" s="2">
        <v>45796</v>
      </c>
      <c r="C256" t="s">
        <v>293</v>
      </c>
      <c r="D256" t="s">
        <v>79</v>
      </c>
      <c r="E256">
        <v>204</v>
      </c>
      <c r="F256">
        <v>46.62</v>
      </c>
      <c r="G256">
        <v>10</v>
      </c>
      <c r="H256">
        <v>18</v>
      </c>
      <c r="I256" t="s">
        <v>365</v>
      </c>
      <c r="J256" s="9">
        <f t="shared" si="3"/>
        <v>10100.12976</v>
      </c>
    </row>
    <row r="257" spans="1:10">
      <c r="A257" t="s">
        <v>611</v>
      </c>
      <c r="B257" s="2">
        <v>45796</v>
      </c>
      <c r="C257" t="s">
        <v>266</v>
      </c>
      <c r="D257" t="s">
        <v>91</v>
      </c>
      <c r="E257">
        <v>183</v>
      </c>
      <c r="F257">
        <v>475.3</v>
      </c>
      <c r="G257">
        <v>2</v>
      </c>
      <c r="H257">
        <v>18</v>
      </c>
      <c r="I257" t="s">
        <v>354</v>
      </c>
      <c r="J257" s="9">
        <f t="shared" si="3"/>
        <v>100583.55636</v>
      </c>
    </row>
    <row r="258" spans="1:10">
      <c r="A258" t="s">
        <v>612</v>
      </c>
      <c r="B258" s="2">
        <v>45796</v>
      </c>
      <c r="C258" t="s">
        <v>295</v>
      </c>
      <c r="D258" t="s">
        <v>91</v>
      </c>
      <c r="E258">
        <v>191</v>
      </c>
      <c r="F258">
        <v>480.18</v>
      </c>
      <c r="G258">
        <v>0</v>
      </c>
      <c r="H258">
        <v>18</v>
      </c>
      <c r="I258" t="s">
        <v>354</v>
      </c>
      <c r="J258" s="9">
        <f t="shared" si="3"/>
        <v>108222.9684</v>
      </c>
    </row>
    <row r="259" spans="1:10">
      <c r="A259" t="s">
        <v>613</v>
      </c>
      <c r="B259" s="2">
        <v>45797</v>
      </c>
      <c r="C259" t="s">
        <v>342</v>
      </c>
      <c r="D259" t="s">
        <v>117</v>
      </c>
      <c r="E259">
        <v>458</v>
      </c>
      <c r="F259">
        <v>19.13</v>
      </c>
      <c r="G259">
        <v>7</v>
      </c>
      <c r="H259">
        <v>12</v>
      </c>
      <c r="I259" t="s">
        <v>354</v>
      </c>
      <c r="J259" s="9">
        <f t="shared" ref="J259:J322" si="4">E259*F259*(1-G259/100)*(1+H259/100)</f>
        <v>9126.0200639999985</v>
      </c>
    </row>
    <row r="260" spans="1:10">
      <c r="A260" t="s">
        <v>614</v>
      </c>
      <c r="B260" s="2">
        <v>45797</v>
      </c>
      <c r="C260" t="s">
        <v>274</v>
      </c>
      <c r="D260" t="s">
        <v>65</v>
      </c>
      <c r="E260">
        <v>87</v>
      </c>
      <c r="F260">
        <v>173.17</v>
      </c>
      <c r="G260">
        <v>10</v>
      </c>
      <c r="H260">
        <v>18</v>
      </c>
      <c r="I260" t="s">
        <v>354</v>
      </c>
      <c r="J260" s="9">
        <f t="shared" si="4"/>
        <v>15999.868979999997</v>
      </c>
    </row>
    <row r="261" spans="1:10">
      <c r="A261" t="s">
        <v>615</v>
      </c>
      <c r="B261" s="2">
        <v>45798</v>
      </c>
      <c r="C261" t="s">
        <v>278</v>
      </c>
      <c r="D261" t="s">
        <v>87</v>
      </c>
      <c r="E261">
        <v>143</v>
      </c>
      <c r="F261">
        <v>118.56</v>
      </c>
      <c r="G261">
        <v>0</v>
      </c>
      <c r="H261">
        <v>18</v>
      </c>
      <c r="I261" t="s">
        <v>354</v>
      </c>
      <c r="J261" s="9">
        <f t="shared" si="4"/>
        <v>20005.814399999999</v>
      </c>
    </row>
    <row r="262" spans="1:10">
      <c r="A262" t="s">
        <v>616</v>
      </c>
      <c r="B262" s="2">
        <v>45798</v>
      </c>
      <c r="C262" t="s">
        <v>305</v>
      </c>
      <c r="D262" t="s">
        <v>91</v>
      </c>
      <c r="E262">
        <v>107</v>
      </c>
      <c r="F262">
        <v>470.63</v>
      </c>
      <c r="G262">
        <v>3</v>
      </c>
      <c r="H262">
        <v>18</v>
      </c>
      <c r="I262" t="s">
        <v>354</v>
      </c>
      <c r="J262" s="9">
        <f t="shared" si="4"/>
        <v>57639.09148599999</v>
      </c>
    </row>
    <row r="263" spans="1:10">
      <c r="A263" t="s">
        <v>617</v>
      </c>
      <c r="B263" s="2">
        <v>45798</v>
      </c>
      <c r="C263" t="s">
        <v>298</v>
      </c>
      <c r="D263" t="s">
        <v>81</v>
      </c>
      <c r="E263">
        <v>278</v>
      </c>
      <c r="F263">
        <v>74.930000000000007</v>
      </c>
      <c r="G263">
        <v>10</v>
      </c>
      <c r="H263">
        <v>18</v>
      </c>
      <c r="I263" t="s">
        <v>354</v>
      </c>
      <c r="J263" s="9">
        <f t="shared" si="4"/>
        <v>22122.033479999998</v>
      </c>
    </row>
    <row r="264" spans="1:10">
      <c r="A264" t="s">
        <v>618</v>
      </c>
      <c r="B264" s="2">
        <v>45799</v>
      </c>
      <c r="C264" t="s">
        <v>332</v>
      </c>
      <c r="D264" t="s">
        <v>110</v>
      </c>
      <c r="E264">
        <v>395</v>
      </c>
      <c r="F264">
        <v>53.92</v>
      </c>
      <c r="G264">
        <v>0</v>
      </c>
      <c r="H264">
        <v>18</v>
      </c>
      <c r="I264" t="s">
        <v>354</v>
      </c>
      <c r="J264" s="9">
        <f t="shared" si="4"/>
        <v>25132.112000000001</v>
      </c>
    </row>
    <row r="265" spans="1:10">
      <c r="A265" t="s">
        <v>619</v>
      </c>
      <c r="B265" s="2">
        <v>45799</v>
      </c>
      <c r="C265" t="s">
        <v>278</v>
      </c>
      <c r="D265" t="s">
        <v>108</v>
      </c>
      <c r="E265">
        <v>234</v>
      </c>
      <c r="F265">
        <v>32.92</v>
      </c>
      <c r="G265">
        <v>10</v>
      </c>
      <c r="H265">
        <v>18</v>
      </c>
      <c r="I265" t="s">
        <v>354</v>
      </c>
      <c r="J265" s="9">
        <f t="shared" si="4"/>
        <v>8180.8833600000007</v>
      </c>
    </row>
    <row r="266" spans="1:10">
      <c r="A266" t="s">
        <v>620</v>
      </c>
      <c r="B266" s="2">
        <v>45799</v>
      </c>
      <c r="C266" t="s">
        <v>307</v>
      </c>
      <c r="D266" t="s">
        <v>65</v>
      </c>
      <c r="E266">
        <v>145</v>
      </c>
      <c r="F266">
        <v>189.67</v>
      </c>
      <c r="G266">
        <v>2</v>
      </c>
      <c r="H266">
        <v>18</v>
      </c>
      <c r="I266" t="s">
        <v>365</v>
      </c>
      <c r="J266" s="9">
        <f t="shared" si="4"/>
        <v>31803.486259999994</v>
      </c>
    </row>
    <row r="267" spans="1:10">
      <c r="A267" t="s">
        <v>621</v>
      </c>
      <c r="B267" s="2">
        <v>45800</v>
      </c>
      <c r="C267" t="s">
        <v>302</v>
      </c>
      <c r="D267" t="s">
        <v>77</v>
      </c>
      <c r="E267">
        <v>163</v>
      </c>
      <c r="F267">
        <v>109.99</v>
      </c>
      <c r="G267">
        <v>5</v>
      </c>
      <c r="H267">
        <v>18</v>
      </c>
      <c r="I267" t="s">
        <v>365</v>
      </c>
      <c r="J267" s="9">
        <f t="shared" si="4"/>
        <v>20097.702769999996</v>
      </c>
    </row>
    <row r="268" spans="1:10">
      <c r="A268" t="s">
        <v>622</v>
      </c>
      <c r="B268" s="2">
        <v>45801</v>
      </c>
      <c r="C268" t="s">
        <v>285</v>
      </c>
      <c r="D268" t="s">
        <v>73</v>
      </c>
      <c r="E268">
        <v>76</v>
      </c>
      <c r="F268">
        <v>438.45</v>
      </c>
      <c r="G268">
        <v>3</v>
      </c>
      <c r="H268">
        <v>18</v>
      </c>
      <c r="I268" t="s">
        <v>354</v>
      </c>
      <c r="J268" s="9">
        <f t="shared" si="4"/>
        <v>38140.590119999993</v>
      </c>
    </row>
    <row r="269" spans="1:10">
      <c r="A269" t="s">
        <v>623</v>
      </c>
      <c r="B269" s="2">
        <v>45801</v>
      </c>
      <c r="C269" t="s">
        <v>302</v>
      </c>
      <c r="D269" t="s">
        <v>104</v>
      </c>
      <c r="E269">
        <v>263</v>
      </c>
      <c r="F269">
        <v>180.73</v>
      </c>
      <c r="G269">
        <v>2</v>
      </c>
      <c r="H269">
        <v>18</v>
      </c>
      <c r="I269" t="s">
        <v>354</v>
      </c>
      <c r="J269" s="9">
        <f t="shared" si="4"/>
        <v>54965.993235999995</v>
      </c>
    </row>
    <row r="270" spans="1:10">
      <c r="A270" t="s">
        <v>624</v>
      </c>
      <c r="B270" s="2">
        <v>45801</v>
      </c>
      <c r="C270" t="s">
        <v>274</v>
      </c>
      <c r="D270" t="s">
        <v>68</v>
      </c>
      <c r="E270">
        <v>253</v>
      </c>
      <c r="F270">
        <v>333.85</v>
      </c>
      <c r="G270">
        <v>5</v>
      </c>
      <c r="H270">
        <v>18</v>
      </c>
      <c r="I270" t="s">
        <v>354</v>
      </c>
      <c r="J270" s="9">
        <f t="shared" si="4"/>
        <v>94684.200049999999</v>
      </c>
    </row>
    <row r="271" spans="1:10">
      <c r="A271" t="s">
        <v>625</v>
      </c>
      <c r="B271" s="2">
        <v>45803</v>
      </c>
      <c r="C271" t="s">
        <v>266</v>
      </c>
      <c r="D271" t="s">
        <v>61</v>
      </c>
      <c r="E271">
        <v>236</v>
      </c>
      <c r="F271">
        <v>657.61</v>
      </c>
      <c r="G271">
        <v>5</v>
      </c>
      <c r="H271">
        <v>18</v>
      </c>
      <c r="I271" t="s">
        <v>354</v>
      </c>
      <c r="J271" s="9">
        <f t="shared" si="4"/>
        <v>173974.67115999997</v>
      </c>
    </row>
    <row r="272" spans="1:10">
      <c r="A272" t="s">
        <v>626</v>
      </c>
      <c r="B272" s="2">
        <v>45803</v>
      </c>
      <c r="C272" t="s">
        <v>291</v>
      </c>
      <c r="D272" t="s">
        <v>77</v>
      </c>
      <c r="E272">
        <v>105</v>
      </c>
      <c r="F272">
        <v>111.85</v>
      </c>
      <c r="G272">
        <v>0</v>
      </c>
      <c r="H272">
        <v>18</v>
      </c>
      <c r="I272" t="s">
        <v>365</v>
      </c>
      <c r="J272" s="9">
        <f t="shared" si="4"/>
        <v>13858.215</v>
      </c>
    </row>
    <row r="273" spans="1:10">
      <c r="A273" t="s">
        <v>627</v>
      </c>
      <c r="B273" s="2">
        <v>45803</v>
      </c>
      <c r="C273" t="s">
        <v>344</v>
      </c>
      <c r="D273" t="s">
        <v>95</v>
      </c>
      <c r="E273">
        <v>320</v>
      </c>
      <c r="F273">
        <v>269.35000000000002</v>
      </c>
      <c r="G273">
        <v>2</v>
      </c>
      <c r="H273">
        <v>18</v>
      </c>
      <c r="I273" t="s">
        <v>365</v>
      </c>
      <c r="J273" s="9">
        <f t="shared" si="4"/>
        <v>99672.428799999994</v>
      </c>
    </row>
    <row r="274" spans="1:10">
      <c r="A274" t="s">
        <v>628</v>
      </c>
      <c r="B274" s="2">
        <v>45804</v>
      </c>
      <c r="C274" t="s">
        <v>342</v>
      </c>
      <c r="D274" t="s">
        <v>114</v>
      </c>
      <c r="E274">
        <v>62</v>
      </c>
      <c r="F274">
        <v>66.13</v>
      </c>
      <c r="G274">
        <v>7</v>
      </c>
      <c r="H274">
        <v>12</v>
      </c>
      <c r="I274" t="s">
        <v>354</v>
      </c>
      <c r="J274" s="9">
        <f t="shared" si="4"/>
        <v>4270.622495999999</v>
      </c>
    </row>
    <row r="275" spans="1:10">
      <c r="A275" t="s">
        <v>629</v>
      </c>
      <c r="B275" s="2">
        <v>45804</v>
      </c>
      <c r="C275" t="s">
        <v>327</v>
      </c>
      <c r="D275" t="s">
        <v>117</v>
      </c>
      <c r="E275">
        <v>709</v>
      </c>
      <c r="F275">
        <v>18.920000000000002</v>
      </c>
      <c r="G275">
        <v>3</v>
      </c>
      <c r="H275">
        <v>12</v>
      </c>
      <c r="I275" t="s">
        <v>359</v>
      </c>
      <c r="J275" s="9">
        <f t="shared" si="4"/>
        <v>14573.273792000002</v>
      </c>
    </row>
    <row r="276" spans="1:10">
      <c r="A276" t="s">
        <v>630</v>
      </c>
      <c r="B276" s="2">
        <v>45804</v>
      </c>
      <c r="C276" t="s">
        <v>320</v>
      </c>
      <c r="D276" t="s">
        <v>91</v>
      </c>
      <c r="E276">
        <v>329</v>
      </c>
      <c r="F276">
        <v>461.56</v>
      </c>
      <c r="G276">
        <v>0</v>
      </c>
      <c r="H276">
        <v>18</v>
      </c>
      <c r="I276" t="s">
        <v>365</v>
      </c>
      <c r="J276" s="9">
        <f t="shared" si="4"/>
        <v>179186.82319999998</v>
      </c>
    </row>
    <row r="277" spans="1:10">
      <c r="A277" t="s">
        <v>631</v>
      </c>
      <c r="B277" s="2">
        <v>45805</v>
      </c>
      <c r="C277" t="s">
        <v>271</v>
      </c>
      <c r="D277" t="s">
        <v>68</v>
      </c>
      <c r="E277">
        <v>338</v>
      </c>
      <c r="F277">
        <v>326.92</v>
      </c>
      <c r="G277">
        <v>5</v>
      </c>
      <c r="H277">
        <v>18</v>
      </c>
      <c r="I277" t="s">
        <v>354</v>
      </c>
      <c r="J277" s="9">
        <f t="shared" si="4"/>
        <v>123869.33416</v>
      </c>
    </row>
    <row r="278" spans="1:10">
      <c r="A278" t="s">
        <v>632</v>
      </c>
      <c r="B278" s="2">
        <v>45805</v>
      </c>
      <c r="C278" t="s">
        <v>293</v>
      </c>
      <c r="D278" t="s">
        <v>84</v>
      </c>
      <c r="E278">
        <v>187</v>
      </c>
      <c r="F278">
        <v>839.84</v>
      </c>
      <c r="G278">
        <v>0</v>
      </c>
      <c r="H278">
        <v>18</v>
      </c>
      <c r="I278" t="s">
        <v>354</v>
      </c>
      <c r="J278" s="9">
        <f t="shared" si="4"/>
        <v>185319.0944</v>
      </c>
    </row>
    <row r="279" spans="1:10">
      <c r="A279" t="s">
        <v>633</v>
      </c>
      <c r="B279" s="2">
        <v>45805</v>
      </c>
      <c r="C279" t="s">
        <v>271</v>
      </c>
      <c r="D279" t="s">
        <v>65</v>
      </c>
      <c r="E279">
        <v>262</v>
      </c>
      <c r="F279">
        <v>171.22</v>
      </c>
      <c r="G279">
        <v>10</v>
      </c>
      <c r="H279">
        <v>18</v>
      </c>
      <c r="I279" t="s">
        <v>354</v>
      </c>
      <c r="J279" s="9">
        <f t="shared" si="4"/>
        <v>47640.937679999995</v>
      </c>
    </row>
    <row r="280" spans="1:10">
      <c r="A280" t="s">
        <v>634</v>
      </c>
      <c r="B280" s="2">
        <v>45806</v>
      </c>
      <c r="C280" t="s">
        <v>305</v>
      </c>
      <c r="D280" t="s">
        <v>84</v>
      </c>
      <c r="E280">
        <v>420</v>
      </c>
      <c r="F280">
        <v>795.24</v>
      </c>
      <c r="G280">
        <v>5</v>
      </c>
      <c r="H280">
        <v>18</v>
      </c>
      <c r="I280" t="s">
        <v>354</v>
      </c>
      <c r="J280" s="9">
        <f t="shared" si="4"/>
        <v>374414.89679999993</v>
      </c>
    </row>
    <row r="281" spans="1:10">
      <c r="A281" t="s">
        <v>635</v>
      </c>
      <c r="B281" s="2">
        <v>45807</v>
      </c>
      <c r="C281" t="s">
        <v>314</v>
      </c>
      <c r="D281" t="s">
        <v>91</v>
      </c>
      <c r="E281">
        <v>201</v>
      </c>
      <c r="F281">
        <v>491.64</v>
      </c>
      <c r="G281">
        <v>2</v>
      </c>
      <c r="H281">
        <v>18</v>
      </c>
      <c r="I281" t="s">
        <v>354</v>
      </c>
      <c r="J281" s="9">
        <f t="shared" si="4"/>
        <v>114275.03169599999</v>
      </c>
    </row>
    <row r="282" spans="1:10">
      <c r="A282" t="s">
        <v>636</v>
      </c>
      <c r="B282" s="2">
        <v>45807</v>
      </c>
      <c r="C282" t="s">
        <v>298</v>
      </c>
      <c r="D282" t="s">
        <v>81</v>
      </c>
      <c r="E282">
        <v>78</v>
      </c>
      <c r="F282">
        <v>67.930000000000007</v>
      </c>
      <c r="G282">
        <v>0</v>
      </c>
      <c r="H282">
        <v>18</v>
      </c>
      <c r="I282" t="s">
        <v>354</v>
      </c>
      <c r="J282" s="9">
        <f t="shared" si="4"/>
        <v>6252.2772000000004</v>
      </c>
    </row>
    <row r="283" spans="1:10">
      <c r="A283" t="s">
        <v>637</v>
      </c>
      <c r="B283" s="2">
        <v>45807</v>
      </c>
      <c r="C283" t="s">
        <v>342</v>
      </c>
      <c r="D283" t="s">
        <v>117</v>
      </c>
      <c r="E283">
        <v>132</v>
      </c>
      <c r="F283">
        <v>18.25</v>
      </c>
      <c r="G283">
        <v>5</v>
      </c>
      <c r="H283">
        <v>12</v>
      </c>
      <c r="I283" t="s">
        <v>354</v>
      </c>
      <c r="J283" s="9">
        <f t="shared" si="4"/>
        <v>2563.1759999999999</v>
      </c>
    </row>
    <row r="284" spans="1:10">
      <c r="A284" t="s">
        <v>638</v>
      </c>
      <c r="B284" s="2">
        <v>45807</v>
      </c>
      <c r="C284" t="s">
        <v>332</v>
      </c>
      <c r="D284" t="s">
        <v>110</v>
      </c>
      <c r="E284">
        <v>153</v>
      </c>
      <c r="F284">
        <v>55.99</v>
      </c>
      <c r="G284">
        <v>0</v>
      </c>
      <c r="H284">
        <v>18</v>
      </c>
      <c r="I284" t="s">
        <v>354</v>
      </c>
      <c r="J284" s="9">
        <f t="shared" si="4"/>
        <v>10108.434600000001</v>
      </c>
    </row>
    <row r="285" spans="1:10">
      <c r="A285" t="s">
        <v>639</v>
      </c>
      <c r="B285" s="2">
        <v>45808</v>
      </c>
      <c r="C285" t="s">
        <v>287</v>
      </c>
      <c r="D285" t="s">
        <v>102</v>
      </c>
      <c r="E285">
        <v>375</v>
      </c>
      <c r="F285">
        <v>659.13</v>
      </c>
      <c r="G285">
        <v>10</v>
      </c>
      <c r="H285">
        <v>18</v>
      </c>
      <c r="I285" t="s">
        <v>354</v>
      </c>
      <c r="J285" s="9">
        <f t="shared" si="4"/>
        <v>262498.52249999996</v>
      </c>
    </row>
    <row r="286" spans="1:10">
      <c r="A286" t="s">
        <v>640</v>
      </c>
      <c r="B286" s="2">
        <v>45810</v>
      </c>
      <c r="C286" t="s">
        <v>325</v>
      </c>
      <c r="D286" t="s">
        <v>99</v>
      </c>
      <c r="E286">
        <v>383</v>
      </c>
      <c r="F286">
        <v>220.17</v>
      </c>
      <c r="G286">
        <v>0</v>
      </c>
      <c r="H286">
        <v>18</v>
      </c>
      <c r="I286" t="s">
        <v>365</v>
      </c>
      <c r="J286" s="9">
        <f t="shared" si="4"/>
        <v>99503.629799999995</v>
      </c>
    </row>
    <row r="287" spans="1:10">
      <c r="A287" t="s">
        <v>641</v>
      </c>
      <c r="B287" s="2">
        <v>45812</v>
      </c>
      <c r="C287" t="s">
        <v>283</v>
      </c>
      <c r="D287" t="s">
        <v>89</v>
      </c>
      <c r="E287">
        <v>323</v>
      </c>
      <c r="F287">
        <v>99.21</v>
      </c>
      <c r="G287">
        <v>5</v>
      </c>
      <c r="H287">
        <v>18</v>
      </c>
      <c r="I287" t="s">
        <v>354</v>
      </c>
      <c r="J287" s="9">
        <f t="shared" si="4"/>
        <v>35922.254429999994</v>
      </c>
    </row>
    <row r="288" spans="1:10">
      <c r="A288" t="s">
        <v>642</v>
      </c>
      <c r="B288" s="2">
        <v>45812</v>
      </c>
      <c r="C288" t="s">
        <v>327</v>
      </c>
      <c r="D288" t="s">
        <v>119</v>
      </c>
      <c r="E288">
        <v>178</v>
      </c>
      <c r="F288">
        <v>31.42</v>
      </c>
      <c r="G288">
        <v>0</v>
      </c>
      <c r="H288">
        <v>12</v>
      </c>
      <c r="I288" t="s">
        <v>354</v>
      </c>
      <c r="J288" s="9">
        <f t="shared" si="4"/>
        <v>6263.8912000000009</v>
      </c>
    </row>
    <row r="289" spans="1:10">
      <c r="A289" t="s">
        <v>643</v>
      </c>
      <c r="B289" s="2">
        <v>45813</v>
      </c>
      <c r="C289" t="s">
        <v>280</v>
      </c>
      <c r="D289" t="s">
        <v>102</v>
      </c>
      <c r="E289">
        <v>724</v>
      </c>
      <c r="F289">
        <v>611.17999999999995</v>
      </c>
      <c r="G289">
        <v>0</v>
      </c>
      <c r="H289">
        <v>18</v>
      </c>
      <c r="I289" t="s">
        <v>354</v>
      </c>
      <c r="J289" s="9">
        <f t="shared" si="4"/>
        <v>522143.29759999993</v>
      </c>
    </row>
    <row r="290" spans="1:10">
      <c r="A290" t="s">
        <v>644</v>
      </c>
      <c r="B290" s="2">
        <v>45814</v>
      </c>
      <c r="C290" t="s">
        <v>330</v>
      </c>
      <c r="D290" t="s">
        <v>95</v>
      </c>
      <c r="E290">
        <v>149</v>
      </c>
      <c r="F290">
        <v>259.31</v>
      </c>
      <c r="G290">
        <v>2</v>
      </c>
      <c r="H290">
        <v>18</v>
      </c>
      <c r="I290" t="s">
        <v>354</v>
      </c>
      <c r="J290" s="9">
        <f t="shared" si="4"/>
        <v>44680.046515999995</v>
      </c>
    </row>
    <row r="291" spans="1:10">
      <c r="A291" t="s">
        <v>645</v>
      </c>
      <c r="B291" s="2">
        <v>45814</v>
      </c>
      <c r="C291" t="s">
        <v>287</v>
      </c>
      <c r="D291" t="s">
        <v>70</v>
      </c>
      <c r="E291">
        <v>248</v>
      </c>
      <c r="F291">
        <v>240.13</v>
      </c>
      <c r="G291">
        <v>5</v>
      </c>
      <c r="H291">
        <v>18</v>
      </c>
      <c r="I291" t="s">
        <v>354</v>
      </c>
      <c r="J291" s="9">
        <f t="shared" si="4"/>
        <v>66758.061039999986</v>
      </c>
    </row>
    <row r="292" spans="1:10">
      <c r="A292" t="s">
        <v>646</v>
      </c>
      <c r="B292" s="2">
        <v>45816</v>
      </c>
      <c r="C292" t="s">
        <v>332</v>
      </c>
      <c r="D292" t="s">
        <v>110</v>
      </c>
      <c r="E292">
        <v>148</v>
      </c>
      <c r="F292">
        <v>53.5</v>
      </c>
      <c r="G292">
        <v>0</v>
      </c>
      <c r="H292">
        <v>18</v>
      </c>
      <c r="I292" t="s">
        <v>354</v>
      </c>
      <c r="J292" s="9">
        <f t="shared" si="4"/>
        <v>9343.24</v>
      </c>
    </row>
    <row r="293" spans="1:10">
      <c r="A293" t="s">
        <v>647</v>
      </c>
      <c r="B293" s="2">
        <v>45816</v>
      </c>
      <c r="C293" t="s">
        <v>298</v>
      </c>
      <c r="D293" t="s">
        <v>97</v>
      </c>
      <c r="E293">
        <v>161</v>
      </c>
      <c r="F293">
        <v>179.26</v>
      </c>
      <c r="G293">
        <v>0</v>
      </c>
      <c r="H293">
        <v>18</v>
      </c>
      <c r="I293" t="s">
        <v>354</v>
      </c>
      <c r="J293" s="9">
        <f t="shared" si="4"/>
        <v>34055.814799999993</v>
      </c>
    </row>
    <row r="294" spans="1:10">
      <c r="A294" t="s">
        <v>648</v>
      </c>
      <c r="B294" s="2">
        <v>45817</v>
      </c>
      <c r="C294" t="s">
        <v>307</v>
      </c>
      <c r="D294" t="s">
        <v>68</v>
      </c>
      <c r="E294">
        <v>465</v>
      </c>
      <c r="F294">
        <v>332.56</v>
      </c>
      <c r="G294">
        <v>0</v>
      </c>
      <c r="H294">
        <v>18</v>
      </c>
      <c r="I294" t="s">
        <v>354</v>
      </c>
      <c r="J294" s="9">
        <f t="shared" si="4"/>
        <v>182475.67199999999</v>
      </c>
    </row>
    <row r="295" spans="1:10">
      <c r="A295" t="s">
        <v>649</v>
      </c>
      <c r="B295" s="2">
        <v>45817</v>
      </c>
      <c r="C295" t="s">
        <v>314</v>
      </c>
      <c r="D295" t="s">
        <v>95</v>
      </c>
      <c r="E295">
        <v>191</v>
      </c>
      <c r="F295">
        <v>259.47000000000003</v>
      </c>
      <c r="G295">
        <v>5</v>
      </c>
      <c r="H295">
        <v>18</v>
      </c>
      <c r="I295" t="s">
        <v>365</v>
      </c>
      <c r="J295" s="9">
        <f t="shared" si="4"/>
        <v>55555.381170000001</v>
      </c>
    </row>
    <row r="296" spans="1:10">
      <c r="A296" t="s">
        <v>650</v>
      </c>
      <c r="B296" s="2">
        <v>45818</v>
      </c>
      <c r="C296" t="s">
        <v>278</v>
      </c>
      <c r="D296" t="s">
        <v>65</v>
      </c>
      <c r="E296">
        <v>215</v>
      </c>
      <c r="F296">
        <v>179.64</v>
      </c>
      <c r="G296">
        <v>0</v>
      </c>
      <c r="H296">
        <v>18</v>
      </c>
      <c r="I296" t="s">
        <v>354</v>
      </c>
      <c r="J296" s="9">
        <f t="shared" si="4"/>
        <v>45574.667999999998</v>
      </c>
    </row>
    <row r="297" spans="1:10">
      <c r="A297" t="s">
        <v>651</v>
      </c>
      <c r="B297" s="2">
        <v>45819</v>
      </c>
      <c r="C297" t="s">
        <v>298</v>
      </c>
      <c r="D297" t="s">
        <v>97</v>
      </c>
      <c r="E297">
        <v>94</v>
      </c>
      <c r="F297">
        <v>175.39</v>
      </c>
      <c r="G297">
        <v>0</v>
      </c>
      <c r="H297">
        <v>18</v>
      </c>
      <c r="I297" t="s">
        <v>359</v>
      </c>
      <c r="J297" s="9">
        <f t="shared" si="4"/>
        <v>19454.2588</v>
      </c>
    </row>
    <row r="298" spans="1:10">
      <c r="A298" t="s">
        <v>652</v>
      </c>
      <c r="B298" s="2">
        <v>45820</v>
      </c>
      <c r="C298" t="s">
        <v>298</v>
      </c>
      <c r="D298" t="s">
        <v>97</v>
      </c>
      <c r="E298">
        <v>94</v>
      </c>
      <c r="F298">
        <v>170.79</v>
      </c>
      <c r="G298">
        <v>0</v>
      </c>
      <c r="H298">
        <v>18</v>
      </c>
      <c r="I298" t="s">
        <v>354</v>
      </c>
      <c r="J298" s="9">
        <f t="shared" si="4"/>
        <v>18944.026799999996</v>
      </c>
    </row>
    <row r="299" spans="1:10">
      <c r="A299" t="s">
        <v>653</v>
      </c>
      <c r="B299" s="2">
        <v>45820</v>
      </c>
      <c r="C299" t="s">
        <v>266</v>
      </c>
      <c r="D299" t="s">
        <v>84</v>
      </c>
      <c r="E299">
        <v>108</v>
      </c>
      <c r="F299">
        <v>812.2</v>
      </c>
      <c r="G299">
        <v>5</v>
      </c>
      <c r="H299">
        <v>18</v>
      </c>
      <c r="I299" t="s">
        <v>354</v>
      </c>
      <c r="J299" s="9">
        <f t="shared" si="4"/>
        <v>98331.429600000003</v>
      </c>
    </row>
    <row r="300" spans="1:10">
      <c r="A300" t="s">
        <v>654</v>
      </c>
      <c r="B300" s="2">
        <v>45820</v>
      </c>
      <c r="C300" t="s">
        <v>271</v>
      </c>
      <c r="D300" t="s">
        <v>68</v>
      </c>
      <c r="E300">
        <v>281</v>
      </c>
      <c r="F300">
        <v>325.31</v>
      </c>
      <c r="G300">
        <v>0</v>
      </c>
      <c r="H300">
        <v>18</v>
      </c>
      <c r="I300" t="s">
        <v>359</v>
      </c>
      <c r="J300" s="9">
        <f t="shared" si="4"/>
        <v>107866.2898</v>
      </c>
    </row>
    <row r="301" spans="1:10">
      <c r="A301" t="s">
        <v>655</v>
      </c>
      <c r="B301" s="2">
        <v>45821</v>
      </c>
      <c r="C301" t="s">
        <v>317</v>
      </c>
      <c r="D301" t="s">
        <v>93</v>
      </c>
      <c r="E301">
        <v>233</v>
      </c>
      <c r="F301">
        <v>1507.05</v>
      </c>
      <c r="G301">
        <v>7</v>
      </c>
      <c r="H301">
        <v>18</v>
      </c>
      <c r="I301" t="s">
        <v>365</v>
      </c>
      <c r="J301" s="9">
        <f t="shared" si="4"/>
        <v>385343.94410999992</v>
      </c>
    </row>
    <row r="302" spans="1:10">
      <c r="A302" t="s">
        <v>656</v>
      </c>
      <c r="B302" s="2">
        <v>45821</v>
      </c>
      <c r="C302" t="s">
        <v>322</v>
      </c>
      <c r="D302" t="s">
        <v>106</v>
      </c>
      <c r="E302">
        <v>157</v>
      </c>
      <c r="F302">
        <v>369.26</v>
      </c>
      <c r="G302">
        <v>3</v>
      </c>
      <c r="H302">
        <v>18</v>
      </c>
      <c r="I302" t="s">
        <v>359</v>
      </c>
      <c r="J302" s="9">
        <f t="shared" si="4"/>
        <v>66356.834371999998</v>
      </c>
    </row>
    <row r="303" spans="1:10">
      <c r="A303" t="s">
        <v>657</v>
      </c>
      <c r="B303" s="2">
        <v>45822</v>
      </c>
      <c r="C303" t="s">
        <v>274</v>
      </c>
      <c r="D303" t="s">
        <v>65</v>
      </c>
      <c r="E303">
        <v>351</v>
      </c>
      <c r="F303">
        <v>184.49</v>
      </c>
      <c r="G303">
        <v>2</v>
      </c>
      <c r="H303">
        <v>18</v>
      </c>
      <c r="I303" t="s">
        <v>354</v>
      </c>
      <c r="J303" s="9">
        <f t="shared" si="4"/>
        <v>74883.826836000007</v>
      </c>
    </row>
    <row r="304" spans="1:10">
      <c r="A304" t="s">
        <v>658</v>
      </c>
      <c r="B304" s="2">
        <v>45822</v>
      </c>
      <c r="C304" t="s">
        <v>305</v>
      </c>
      <c r="D304" t="s">
        <v>106</v>
      </c>
      <c r="E304">
        <v>125</v>
      </c>
      <c r="F304">
        <v>341.64</v>
      </c>
      <c r="G304">
        <v>10</v>
      </c>
      <c r="H304">
        <v>18</v>
      </c>
      <c r="I304" t="s">
        <v>354</v>
      </c>
      <c r="J304" s="9">
        <f t="shared" si="4"/>
        <v>45352.71</v>
      </c>
    </row>
    <row r="305" spans="1:10">
      <c r="A305" t="s">
        <v>659</v>
      </c>
      <c r="B305" s="2">
        <v>45823</v>
      </c>
      <c r="C305" t="s">
        <v>291</v>
      </c>
      <c r="D305" t="s">
        <v>75</v>
      </c>
      <c r="E305">
        <v>177</v>
      </c>
      <c r="F305">
        <v>88.13</v>
      </c>
      <c r="G305">
        <v>3</v>
      </c>
      <c r="H305">
        <v>18</v>
      </c>
      <c r="I305" t="s">
        <v>365</v>
      </c>
      <c r="J305" s="9">
        <f t="shared" si="4"/>
        <v>17854.626845999996</v>
      </c>
    </row>
    <row r="306" spans="1:10">
      <c r="A306" t="s">
        <v>660</v>
      </c>
      <c r="B306" s="2">
        <v>45823</v>
      </c>
      <c r="C306" t="s">
        <v>320</v>
      </c>
      <c r="D306" t="s">
        <v>106</v>
      </c>
      <c r="E306">
        <v>291</v>
      </c>
      <c r="F306">
        <v>332.81</v>
      </c>
      <c r="G306">
        <v>0</v>
      </c>
      <c r="H306">
        <v>18</v>
      </c>
      <c r="I306" t="s">
        <v>354</v>
      </c>
      <c r="J306" s="9">
        <f t="shared" si="4"/>
        <v>114280.2978</v>
      </c>
    </row>
    <row r="307" spans="1:10">
      <c r="A307" t="s">
        <v>661</v>
      </c>
      <c r="B307" s="2">
        <v>45823</v>
      </c>
      <c r="C307" t="s">
        <v>322</v>
      </c>
      <c r="D307" t="s">
        <v>104</v>
      </c>
      <c r="E307">
        <v>374</v>
      </c>
      <c r="F307">
        <v>188.54</v>
      </c>
      <c r="G307">
        <v>0</v>
      </c>
      <c r="H307">
        <v>18</v>
      </c>
      <c r="I307" t="s">
        <v>354</v>
      </c>
      <c r="J307" s="9">
        <f t="shared" si="4"/>
        <v>83206.472799999989</v>
      </c>
    </row>
    <row r="308" spans="1:10">
      <c r="A308" t="s">
        <v>662</v>
      </c>
      <c r="B308" s="2">
        <v>45823</v>
      </c>
      <c r="C308" t="s">
        <v>293</v>
      </c>
      <c r="D308" t="s">
        <v>104</v>
      </c>
      <c r="E308">
        <v>146</v>
      </c>
      <c r="F308">
        <v>183.67</v>
      </c>
      <c r="G308">
        <v>3</v>
      </c>
      <c r="H308">
        <v>18</v>
      </c>
      <c r="I308" t="s">
        <v>354</v>
      </c>
      <c r="J308" s="9">
        <f t="shared" si="4"/>
        <v>30693.387571999996</v>
      </c>
    </row>
    <row r="309" spans="1:10">
      <c r="A309" t="s">
        <v>663</v>
      </c>
      <c r="B309" s="2">
        <v>45823</v>
      </c>
      <c r="C309" t="s">
        <v>287</v>
      </c>
      <c r="D309" t="s">
        <v>70</v>
      </c>
      <c r="E309">
        <v>163</v>
      </c>
      <c r="F309">
        <v>230.73</v>
      </c>
      <c r="G309">
        <v>0</v>
      </c>
      <c r="H309">
        <v>18</v>
      </c>
      <c r="I309" t="s">
        <v>354</v>
      </c>
      <c r="J309" s="9">
        <f t="shared" si="4"/>
        <v>44378.608199999995</v>
      </c>
    </row>
    <row r="310" spans="1:10">
      <c r="A310" t="s">
        <v>664</v>
      </c>
      <c r="B310" s="2">
        <v>45823</v>
      </c>
      <c r="C310" t="s">
        <v>293</v>
      </c>
      <c r="D310" t="s">
        <v>77</v>
      </c>
      <c r="E310">
        <v>117</v>
      </c>
      <c r="F310">
        <v>106.51</v>
      </c>
      <c r="G310">
        <v>3</v>
      </c>
      <c r="H310">
        <v>18</v>
      </c>
      <c r="I310" t="s">
        <v>354</v>
      </c>
      <c r="J310" s="9">
        <f t="shared" si="4"/>
        <v>14263.627482</v>
      </c>
    </row>
    <row r="311" spans="1:10">
      <c r="A311" t="s">
        <v>665</v>
      </c>
      <c r="B311" s="2">
        <v>45824</v>
      </c>
      <c r="C311" t="s">
        <v>344</v>
      </c>
      <c r="D311" t="s">
        <v>106</v>
      </c>
      <c r="E311">
        <v>445</v>
      </c>
      <c r="F311">
        <v>366.83</v>
      </c>
      <c r="G311">
        <v>5</v>
      </c>
      <c r="H311">
        <v>18</v>
      </c>
      <c r="I311" t="s">
        <v>354</v>
      </c>
      <c r="J311" s="9">
        <f t="shared" si="4"/>
        <v>182991.31135</v>
      </c>
    </row>
    <row r="312" spans="1:10">
      <c r="A312" t="s">
        <v>666</v>
      </c>
      <c r="B312" s="2">
        <v>45824</v>
      </c>
      <c r="C312" t="s">
        <v>285</v>
      </c>
      <c r="D312" t="s">
        <v>73</v>
      </c>
      <c r="E312">
        <v>180</v>
      </c>
      <c r="F312">
        <v>417.97</v>
      </c>
      <c r="G312">
        <v>2</v>
      </c>
      <c r="H312">
        <v>18</v>
      </c>
      <c r="I312" t="s">
        <v>354</v>
      </c>
      <c r="J312" s="9">
        <f t="shared" si="4"/>
        <v>87001.291440000001</v>
      </c>
    </row>
    <row r="313" spans="1:10">
      <c r="A313" t="s">
        <v>667</v>
      </c>
      <c r="B313" s="2">
        <v>45825</v>
      </c>
      <c r="C313" t="s">
        <v>344</v>
      </c>
      <c r="D313" t="s">
        <v>106</v>
      </c>
      <c r="E313">
        <v>152</v>
      </c>
      <c r="F313">
        <v>333.55</v>
      </c>
      <c r="G313">
        <v>0</v>
      </c>
      <c r="H313">
        <v>18</v>
      </c>
      <c r="I313" t="s">
        <v>354</v>
      </c>
      <c r="J313" s="9">
        <f t="shared" si="4"/>
        <v>59825.527999999998</v>
      </c>
    </row>
    <row r="314" spans="1:10">
      <c r="A314" t="s">
        <v>668</v>
      </c>
      <c r="B314" s="2">
        <v>45825</v>
      </c>
      <c r="C314" t="s">
        <v>287</v>
      </c>
      <c r="D314" t="s">
        <v>89</v>
      </c>
      <c r="E314">
        <v>299</v>
      </c>
      <c r="F314">
        <v>91.71</v>
      </c>
      <c r="G314">
        <v>5</v>
      </c>
      <c r="H314">
        <v>18</v>
      </c>
      <c r="I314" t="s">
        <v>354</v>
      </c>
      <c r="J314" s="9">
        <f t="shared" si="4"/>
        <v>30739.266089999994</v>
      </c>
    </row>
    <row r="315" spans="1:10">
      <c r="A315" t="s">
        <v>669</v>
      </c>
      <c r="B315" s="2">
        <v>45826</v>
      </c>
      <c r="C315" t="s">
        <v>336</v>
      </c>
      <c r="D315" t="s">
        <v>119</v>
      </c>
      <c r="E315">
        <v>270</v>
      </c>
      <c r="F315">
        <v>31.81</v>
      </c>
      <c r="G315">
        <v>0</v>
      </c>
      <c r="H315">
        <v>12</v>
      </c>
      <c r="I315" t="s">
        <v>354</v>
      </c>
      <c r="J315" s="9">
        <f t="shared" si="4"/>
        <v>9619.3439999999991</v>
      </c>
    </row>
    <row r="316" spans="1:10">
      <c r="A316" t="s">
        <v>670</v>
      </c>
      <c r="B316" s="2">
        <v>45827</v>
      </c>
      <c r="C316" t="s">
        <v>344</v>
      </c>
      <c r="D316" t="s">
        <v>91</v>
      </c>
      <c r="E316">
        <v>1147</v>
      </c>
      <c r="F316">
        <v>480.83</v>
      </c>
      <c r="G316">
        <v>0</v>
      </c>
      <c r="H316">
        <v>18</v>
      </c>
      <c r="I316" t="s">
        <v>354</v>
      </c>
      <c r="J316" s="9">
        <f t="shared" si="4"/>
        <v>650784.17180000001</v>
      </c>
    </row>
    <row r="317" spans="1:10">
      <c r="A317" t="s">
        <v>671</v>
      </c>
      <c r="B317" s="2">
        <v>45828</v>
      </c>
      <c r="C317" t="s">
        <v>307</v>
      </c>
      <c r="D317" t="s">
        <v>65</v>
      </c>
      <c r="E317">
        <v>350</v>
      </c>
      <c r="F317">
        <v>183.19</v>
      </c>
      <c r="G317">
        <v>5</v>
      </c>
      <c r="H317">
        <v>18</v>
      </c>
      <c r="I317" t="s">
        <v>354</v>
      </c>
      <c r="J317" s="9">
        <f t="shared" si="4"/>
        <v>71874.596499999985</v>
      </c>
    </row>
    <row r="318" spans="1:10">
      <c r="A318" t="s">
        <v>672</v>
      </c>
      <c r="B318" s="2">
        <v>45829</v>
      </c>
      <c r="C318" t="s">
        <v>307</v>
      </c>
      <c r="D318" t="s">
        <v>108</v>
      </c>
      <c r="E318">
        <v>473</v>
      </c>
      <c r="F318">
        <v>35.159999999999997</v>
      </c>
      <c r="G318">
        <v>0</v>
      </c>
      <c r="H318">
        <v>18</v>
      </c>
      <c r="I318" t="s">
        <v>354</v>
      </c>
      <c r="J318" s="9">
        <f t="shared" si="4"/>
        <v>19624.202399999995</v>
      </c>
    </row>
    <row r="319" spans="1:10">
      <c r="A319" t="s">
        <v>673</v>
      </c>
      <c r="B319" s="2">
        <v>45829</v>
      </c>
      <c r="C319" t="s">
        <v>298</v>
      </c>
      <c r="D319" t="s">
        <v>81</v>
      </c>
      <c r="E319">
        <v>716</v>
      </c>
      <c r="F319">
        <v>68.42</v>
      </c>
      <c r="G319">
        <v>3</v>
      </c>
      <c r="H319">
        <v>18</v>
      </c>
      <c r="I319" t="s">
        <v>354</v>
      </c>
      <c r="J319" s="9">
        <f t="shared" si="4"/>
        <v>56072.488912000001</v>
      </c>
    </row>
    <row r="320" spans="1:10">
      <c r="A320" t="s">
        <v>674</v>
      </c>
      <c r="B320" s="2">
        <v>45830</v>
      </c>
      <c r="C320" t="s">
        <v>314</v>
      </c>
      <c r="D320" t="s">
        <v>95</v>
      </c>
      <c r="E320">
        <v>156</v>
      </c>
      <c r="F320">
        <v>254.12</v>
      </c>
      <c r="G320">
        <v>3</v>
      </c>
      <c r="H320">
        <v>18</v>
      </c>
      <c r="I320" t="s">
        <v>354</v>
      </c>
      <c r="J320" s="9">
        <f t="shared" si="4"/>
        <v>45375.057311999997</v>
      </c>
    </row>
    <row r="321" spans="1:10">
      <c r="A321" t="s">
        <v>675</v>
      </c>
      <c r="B321" s="2">
        <v>45830</v>
      </c>
      <c r="C321" t="s">
        <v>344</v>
      </c>
      <c r="D321" t="s">
        <v>84</v>
      </c>
      <c r="E321">
        <v>482</v>
      </c>
      <c r="F321">
        <v>825.41</v>
      </c>
      <c r="G321">
        <v>5</v>
      </c>
      <c r="H321">
        <v>18</v>
      </c>
      <c r="I321" t="s">
        <v>354</v>
      </c>
      <c r="J321" s="9">
        <f t="shared" si="4"/>
        <v>445987.18201999995</v>
      </c>
    </row>
    <row r="322" spans="1:10">
      <c r="A322" t="s">
        <v>676</v>
      </c>
      <c r="B322" s="2">
        <v>45831</v>
      </c>
      <c r="C322" t="s">
        <v>274</v>
      </c>
      <c r="D322" t="s">
        <v>108</v>
      </c>
      <c r="E322">
        <v>75</v>
      </c>
      <c r="F322">
        <v>35.86</v>
      </c>
      <c r="G322">
        <v>0</v>
      </c>
      <c r="H322">
        <v>18</v>
      </c>
      <c r="I322" t="s">
        <v>354</v>
      </c>
      <c r="J322" s="9">
        <f t="shared" si="4"/>
        <v>3173.6099999999997</v>
      </c>
    </row>
    <row r="323" spans="1:10">
      <c r="A323" t="s">
        <v>677</v>
      </c>
      <c r="B323" s="2">
        <v>45831</v>
      </c>
      <c r="C323" t="s">
        <v>344</v>
      </c>
      <c r="D323" t="s">
        <v>91</v>
      </c>
      <c r="E323">
        <v>267</v>
      </c>
      <c r="F323">
        <v>460</v>
      </c>
      <c r="G323">
        <v>3</v>
      </c>
      <c r="H323">
        <v>18</v>
      </c>
      <c r="I323" t="s">
        <v>354</v>
      </c>
      <c r="J323" s="9">
        <f t="shared" ref="J323:J386" si="5">E323*F323*(1-G323/100)*(1+H323/100)</f>
        <v>140579.772</v>
      </c>
    </row>
    <row r="324" spans="1:10">
      <c r="A324" t="s">
        <v>678</v>
      </c>
      <c r="B324" s="2">
        <v>45831</v>
      </c>
      <c r="C324" t="s">
        <v>327</v>
      </c>
      <c r="D324" t="s">
        <v>114</v>
      </c>
      <c r="E324">
        <v>568</v>
      </c>
      <c r="F324">
        <v>69.2</v>
      </c>
      <c r="G324">
        <v>2</v>
      </c>
      <c r="H324">
        <v>12</v>
      </c>
      <c r="I324" t="s">
        <v>365</v>
      </c>
      <c r="J324" s="9">
        <f t="shared" si="5"/>
        <v>43141.826560000001</v>
      </c>
    </row>
    <row r="325" spans="1:10">
      <c r="A325" t="s">
        <v>679</v>
      </c>
      <c r="B325" s="2">
        <v>45832</v>
      </c>
      <c r="C325" t="s">
        <v>298</v>
      </c>
      <c r="D325" t="s">
        <v>81</v>
      </c>
      <c r="E325">
        <v>222</v>
      </c>
      <c r="F325">
        <v>74.25</v>
      </c>
      <c r="G325">
        <v>5</v>
      </c>
      <c r="H325">
        <v>18</v>
      </c>
      <c r="I325" t="s">
        <v>359</v>
      </c>
      <c r="J325" s="9">
        <f t="shared" si="5"/>
        <v>18478.003499999999</v>
      </c>
    </row>
    <row r="326" spans="1:10">
      <c r="A326" t="s">
        <v>680</v>
      </c>
      <c r="B326" s="2">
        <v>45833</v>
      </c>
      <c r="C326" t="s">
        <v>310</v>
      </c>
      <c r="D326" t="s">
        <v>102</v>
      </c>
      <c r="E326">
        <v>180</v>
      </c>
      <c r="F326">
        <v>641.65</v>
      </c>
      <c r="G326">
        <v>0</v>
      </c>
      <c r="H326">
        <v>18</v>
      </c>
      <c r="I326" t="s">
        <v>354</v>
      </c>
      <c r="J326" s="9">
        <f t="shared" si="5"/>
        <v>136286.46</v>
      </c>
    </row>
    <row r="327" spans="1:10">
      <c r="A327" t="s">
        <v>681</v>
      </c>
      <c r="B327" s="2">
        <v>45833</v>
      </c>
      <c r="C327" t="s">
        <v>327</v>
      </c>
      <c r="D327" t="s">
        <v>114</v>
      </c>
      <c r="E327">
        <v>550</v>
      </c>
      <c r="F327">
        <v>65.25</v>
      </c>
      <c r="G327">
        <v>5</v>
      </c>
      <c r="H327">
        <v>12</v>
      </c>
      <c r="I327" t="s">
        <v>354</v>
      </c>
      <c r="J327" s="9">
        <f t="shared" si="5"/>
        <v>38184.300000000003</v>
      </c>
    </row>
    <row r="328" spans="1:10">
      <c r="A328" t="s">
        <v>682</v>
      </c>
      <c r="B328" s="2">
        <v>45833</v>
      </c>
      <c r="C328" t="s">
        <v>305</v>
      </c>
      <c r="D328" t="s">
        <v>79</v>
      </c>
      <c r="E328">
        <v>518</v>
      </c>
      <c r="F328">
        <v>48.59</v>
      </c>
      <c r="G328">
        <v>7</v>
      </c>
      <c r="H328">
        <v>18</v>
      </c>
      <c r="I328" t="s">
        <v>365</v>
      </c>
      <c r="J328" s="9">
        <f t="shared" si="5"/>
        <v>27621.140988000003</v>
      </c>
    </row>
    <row r="329" spans="1:10">
      <c r="A329" t="s">
        <v>683</v>
      </c>
      <c r="B329" s="2">
        <v>45833</v>
      </c>
      <c r="C329" t="s">
        <v>307</v>
      </c>
      <c r="D329" t="s">
        <v>87</v>
      </c>
      <c r="E329">
        <v>357</v>
      </c>
      <c r="F329">
        <v>133.63</v>
      </c>
      <c r="G329">
        <v>2</v>
      </c>
      <c r="H329">
        <v>18</v>
      </c>
      <c r="I329" t="s">
        <v>359</v>
      </c>
      <c r="J329" s="9">
        <f t="shared" si="5"/>
        <v>55167.114323999995</v>
      </c>
    </row>
    <row r="330" spans="1:10">
      <c r="A330" t="s">
        <v>684</v>
      </c>
      <c r="B330" s="2">
        <v>45833</v>
      </c>
      <c r="C330" t="s">
        <v>332</v>
      </c>
      <c r="D330" t="s">
        <v>110</v>
      </c>
      <c r="E330">
        <v>312</v>
      </c>
      <c r="F330">
        <v>54.23</v>
      </c>
      <c r="G330">
        <v>7</v>
      </c>
      <c r="H330">
        <v>18</v>
      </c>
      <c r="I330" t="s">
        <v>354</v>
      </c>
      <c r="J330" s="9">
        <f t="shared" si="5"/>
        <v>18567.744623999995</v>
      </c>
    </row>
    <row r="331" spans="1:10">
      <c r="A331" t="s">
        <v>685</v>
      </c>
      <c r="B331" s="2">
        <v>45834</v>
      </c>
      <c r="C331" t="s">
        <v>336</v>
      </c>
      <c r="D331" t="s">
        <v>114</v>
      </c>
      <c r="E331">
        <v>486</v>
      </c>
      <c r="F331">
        <v>69.489999999999995</v>
      </c>
      <c r="G331">
        <v>0</v>
      </c>
      <c r="H331">
        <v>12</v>
      </c>
      <c r="I331" t="s">
        <v>365</v>
      </c>
      <c r="J331" s="9">
        <f t="shared" si="5"/>
        <v>37824.796800000004</v>
      </c>
    </row>
    <row r="332" spans="1:10">
      <c r="A332" t="s">
        <v>686</v>
      </c>
      <c r="B332" s="2">
        <v>45836</v>
      </c>
      <c r="C332" t="s">
        <v>291</v>
      </c>
      <c r="D332" t="s">
        <v>75</v>
      </c>
      <c r="E332">
        <v>66</v>
      </c>
      <c r="F332">
        <v>86.88</v>
      </c>
      <c r="G332">
        <v>0</v>
      </c>
      <c r="H332">
        <v>18</v>
      </c>
      <c r="I332" t="s">
        <v>354</v>
      </c>
      <c r="J332" s="9">
        <f t="shared" si="5"/>
        <v>6766.2143999999998</v>
      </c>
    </row>
    <row r="333" spans="1:10">
      <c r="A333" t="s">
        <v>687</v>
      </c>
      <c r="B333" s="2">
        <v>45836</v>
      </c>
      <c r="C333" t="s">
        <v>310</v>
      </c>
      <c r="D333" t="s">
        <v>93</v>
      </c>
      <c r="E333">
        <v>161</v>
      </c>
      <c r="F333">
        <v>1491.34</v>
      </c>
      <c r="G333">
        <v>0</v>
      </c>
      <c r="H333">
        <v>18</v>
      </c>
      <c r="I333" t="s">
        <v>365</v>
      </c>
      <c r="J333" s="9">
        <f t="shared" si="5"/>
        <v>283324.7732</v>
      </c>
    </row>
    <row r="334" spans="1:10">
      <c r="A334" t="s">
        <v>688</v>
      </c>
      <c r="B334" s="2">
        <v>45836</v>
      </c>
      <c r="C334" t="s">
        <v>287</v>
      </c>
      <c r="D334" t="s">
        <v>102</v>
      </c>
      <c r="E334">
        <v>142</v>
      </c>
      <c r="F334">
        <v>586.04</v>
      </c>
      <c r="G334">
        <v>0</v>
      </c>
      <c r="H334">
        <v>18</v>
      </c>
      <c r="I334" t="s">
        <v>354</v>
      </c>
      <c r="J334" s="9">
        <f t="shared" si="5"/>
        <v>98196.862399999984</v>
      </c>
    </row>
    <row r="335" spans="1:10">
      <c r="A335" t="s">
        <v>689</v>
      </c>
      <c r="B335" s="2">
        <v>45837</v>
      </c>
      <c r="C335" t="s">
        <v>344</v>
      </c>
      <c r="D335" t="s">
        <v>84</v>
      </c>
      <c r="E335">
        <v>349</v>
      </c>
      <c r="F335">
        <v>739.89</v>
      </c>
      <c r="G335">
        <v>0</v>
      </c>
      <c r="H335">
        <v>18</v>
      </c>
      <c r="I335" t="s">
        <v>354</v>
      </c>
      <c r="J335" s="9">
        <f t="shared" si="5"/>
        <v>304701.49979999999</v>
      </c>
    </row>
    <row r="336" spans="1:10">
      <c r="A336" t="s">
        <v>690</v>
      </c>
      <c r="B336" s="2">
        <v>45837</v>
      </c>
      <c r="C336" t="s">
        <v>285</v>
      </c>
      <c r="D336" t="s">
        <v>70</v>
      </c>
      <c r="E336">
        <v>220</v>
      </c>
      <c r="F336">
        <v>252.68</v>
      </c>
      <c r="G336">
        <v>0</v>
      </c>
      <c r="H336">
        <v>18</v>
      </c>
      <c r="I336" t="s">
        <v>354</v>
      </c>
      <c r="J336" s="9">
        <f t="shared" si="5"/>
        <v>65595.727999999988</v>
      </c>
    </row>
    <row r="337" spans="1:10">
      <c r="A337" t="s">
        <v>691</v>
      </c>
      <c r="B337" s="2">
        <v>45837</v>
      </c>
      <c r="C337" t="s">
        <v>330</v>
      </c>
      <c r="D337" t="s">
        <v>84</v>
      </c>
      <c r="E337">
        <v>259</v>
      </c>
      <c r="F337">
        <v>830.72</v>
      </c>
      <c r="G337">
        <v>7</v>
      </c>
      <c r="H337">
        <v>18</v>
      </c>
      <c r="I337" t="s">
        <v>354</v>
      </c>
      <c r="J337" s="9">
        <f t="shared" si="5"/>
        <v>236112.72115199998</v>
      </c>
    </row>
    <row r="338" spans="1:10">
      <c r="A338" t="s">
        <v>692</v>
      </c>
      <c r="B338" s="2">
        <v>45837</v>
      </c>
      <c r="C338" t="s">
        <v>307</v>
      </c>
      <c r="D338" t="s">
        <v>68</v>
      </c>
      <c r="E338">
        <v>307</v>
      </c>
      <c r="F338">
        <v>324.52999999999997</v>
      </c>
      <c r="G338">
        <v>2</v>
      </c>
      <c r="H338">
        <v>18</v>
      </c>
      <c r="I338" t="s">
        <v>354</v>
      </c>
      <c r="J338" s="9">
        <f t="shared" si="5"/>
        <v>115212.95304399999</v>
      </c>
    </row>
    <row r="339" spans="1:10">
      <c r="A339" t="s">
        <v>693</v>
      </c>
      <c r="B339" s="2">
        <v>45838</v>
      </c>
      <c r="C339" t="s">
        <v>342</v>
      </c>
      <c r="D339" t="s">
        <v>119</v>
      </c>
      <c r="E339">
        <v>662</v>
      </c>
      <c r="F339">
        <v>31.43</v>
      </c>
      <c r="G339">
        <v>2</v>
      </c>
      <c r="H339">
        <v>12</v>
      </c>
      <c r="I339" t="s">
        <v>354</v>
      </c>
      <c r="J339" s="9">
        <f t="shared" si="5"/>
        <v>22837.390016000001</v>
      </c>
    </row>
    <row r="340" spans="1:10">
      <c r="A340" t="s">
        <v>694</v>
      </c>
      <c r="B340" s="2">
        <v>45838</v>
      </c>
      <c r="C340" t="s">
        <v>271</v>
      </c>
      <c r="D340" t="s">
        <v>87</v>
      </c>
      <c r="E340">
        <v>1178</v>
      </c>
      <c r="F340">
        <v>119.67</v>
      </c>
      <c r="G340">
        <v>5</v>
      </c>
      <c r="H340">
        <v>18</v>
      </c>
      <c r="I340" t="s">
        <v>354</v>
      </c>
      <c r="J340" s="9">
        <f t="shared" si="5"/>
        <v>158028.78246000002</v>
      </c>
    </row>
    <row r="341" spans="1:10">
      <c r="A341" t="s">
        <v>695</v>
      </c>
      <c r="B341" s="2">
        <v>45839</v>
      </c>
      <c r="C341" t="s">
        <v>271</v>
      </c>
      <c r="D341" t="s">
        <v>108</v>
      </c>
      <c r="E341">
        <v>193</v>
      </c>
      <c r="F341">
        <v>37.28</v>
      </c>
      <c r="G341">
        <v>0</v>
      </c>
      <c r="H341">
        <v>18</v>
      </c>
      <c r="I341" t="s">
        <v>354</v>
      </c>
      <c r="J341" s="9">
        <f t="shared" si="5"/>
        <v>8490.1471999999994</v>
      </c>
    </row>
    <row r="342" spans="1:10">
      <c r="A342" t="s">
        <v>696</v>
      </c>
      <c r="B342" s="2">
        <v>45839</v>
      </c>
      <c r="C342" t="s">
        <v>327</v>
      </c>
      <c r="D342" t="s">
        <v>119</v>
      </c>
      <c r="E342">
        <v>282</v>
      </c>
      <c r="F342">
        <v>32.229999999999997</v>
      </c>
      <c r="G342">
        <v>10</v>
      </c>
      <c r="H342">
        <v>12</v>
      </c>
      <c r="I342" t="s">
        <v>354</v>
      </c>
      <c r="J342" s="9">
        <f t="shared" si="5"/>
        <v>9161.5708799999993</v>
      </c>
    </row>
    <row r="343" spans="1:10">
      <c r="A343" t="s">
        <v>697</v>
      </c>
      <c r="B343" s="2">
        <v>45839</v>
      </c>
      <c r="C343" t="s">
        <v>274</v>
      </c>
      <c r="D343" t="s">
        <v>87</v>
      </c>
      <c r="E343">
        <v>235</v>
      </c>
      <c r="F343">
        <v>133.04</v>
      </c>
      <c r="G343">
        <v>3</v>
      </c>
      <c r="H343">
        <v>18</v>
      </c>
      <c r="I343" t="s">
        <v>354</v>
      </c>
      <c r="J343" s="9">
        <f t="shared" si="5"/>
        <v>35785.232239999998</v>
      </c>
    </row>
    <row r="344" spans="1:10">
      <c r="A344" t="s">
        <v>698</v>
      </c>
      <c r="B344" s="2">
        <v>45840</v>
      </c>
      <c r="C344" t="s">
        <v>295</v>
      </c>
      <c r="D344" t="s">
        <v>108</v>
      </c>
      <c r="E344">
        <v>126</v>
      </c>
      <c r="F344">
        <v>36.24</v>
      </c>
      <c r="G344">
        <v>5</v>
      </c>
      <c r="H344">
        <v>18</v>
      </c>
      <c r="I344" t="s">
        <v>354</v>
      </c>
      <c r="J344" s="9">
        <f t="shared" si="5"/>
        <v>5118.7550400000009</v>
      </c>
    </row>
    <row r="345" spans="1:10">
      <c r="A345" t="s">
        <v>699</v>
      </c>
      <c r="B345" s="2">
        <v>45840</v>
      </c>
      <c r="C345" t="s">
        <v>280</v>
      </c>
      <c r="D345" t="s">
        <v>102</v>
      </c>
      <c r="E345">
        <v>313</v>
      </c>
      <c r="F345">
        <v>596.02</v>
      </c>
      <c r="G345">
        <v>2</v>
      </c>
      <c r="H345">
        <v>18</v>
      </c>
      <c r="I345" t="s">
        <v>354</v>
      </c>
      <c r="J345" s="9">
        <f t="shared" si="5"/>
        <v>215731.34626399996</v>
      </c>
    </row>
    <row r="346" spans="1:10">
      <c r="A346" t="s">
        <v>700</v>
      </c>
      <c r="B346" s="2">
        <v>45840</v>
      </c>
      <c r="C346" t="s">
        <v>314</v>
      </c>
      <c r="D346" t="s">
        <v>91</v>
      </c>
      <c r="E346">
        <v>160</v>
      </c>
      <c r="F346">
        <v>482.93</v>
      </c>
      <c r="G346">
        <v>5</v>
      </c>
      <c r="H346">
        <v>18</v>
      </c>
      <c r="I346" t="s">
        <v>354</v>
      </c>
      <c r="J346" s="9">
        <f t="shared" si="5"/>
        <v>86618.324800000002</v>
      </c>
    </row>
    <row r="347" spans="1:10">
      <c r="A347" t="s">
        <v>701</v>
      </c>
      <c r="B347" s="2">
        <v>45840</v>
      </c>
      <c r="C347" t="s">
        <v>278</v>
      </c>
      <c r="D347" t="s">
        <v>65</v>
      </c>
      <c r="E347">
        <v>164</v>
      </c>
      <c r="F347">
        <v>174.75</v>
      </c>
      <c r="G347">
        <v>0</v>
      </c>
      <c r="H347">
        <v>18</v>
      </c>
      <c r="I347" t="s">
        <v>354</v>
      </c>
      <c r="J347" s="9">
        <f t="shared" si="5"/>
        <v>33817.619999999995</v>
      </c>
    </row>
    <row r="348" spans="1:10">
      <c r="A348" t="s">
        <v>702</v>
      </c>
      <c r="B348" s="2">
        <v>45841</v>
      </c>
      <c r="C348" t="s">
        <v>339</v>
      </c>
      <c r="D348" t="s">
        <v>119</v>
      </c>
      <c r="E348">
        <v>150</v>
      </c>
      <c r="F348">
        <v>32.57</v>
      </c>
      <c r="G348">
        <v>10</v>
      </c>
      <c r="H348">
        <v>12</v>
      </c>
      <c r="I348" t="s">
        <v>354</v>
      </c>
      <c r="J348" s="9">
        <f t="shared" si="5"/>
        <v>4924.5839999999998</v>
      </c>
    </row>
    <row r="349" spans="1:10">
      <c r="A349" t="s">
        <v>703</v>
      </c>
      <c r="B349" s="2">
        <v>45841</v>
      </c>
      <c r="C349" t="s">
        <v>325</v>
      </c>
      <c r="D349" t="s">
        <v>99</v>
      </c>
      <c r="E349">
        <v>254</v>
      </c>
      <c r="F349">
        <v>209.68</v>
      </c>
      <c r="G349">
        <v>3</v>
      </c>
      <c r="H349">
        <v>18</v>
      </c>
      <c r="I349" t="s">
        <v>354</v>
      </c>
      <c r="J349" s="9">
        <f t="shared" si="5"/>
        <v>60959.930912000003</v>
      </c>
    </row>
    <row r="350" spans="1:10">
      <c r="A350" t="s">
        <v>704</v>
      </c>
      <c r="B350" s="2">
        <v>45842</v>
      </c>
      <c r="C350" t="s">
        <v>305</v>
      </c>
      <c r="D350" t="s">
        <v>91</v>
      </c>
      <c r="E350">
        <v>432</v>
      </c>
      <c r="F350">
        <v>455.35</v>
      </c>
      <c r="G350">
        <v>0</v>
      </c>
      <c r="H350">
        <v>18</v>
      </c>
      <c r="I350" t="s">
        <v>354</v>
      </c>
      <c r="J350" s="9">
        <f t="shared" si="5"/>
        <v>232119.21600000001</v>
      </c>
    </row>
    <row r="351" spans="1:10">
      <c r="A351" t="s">
        <v>705</v>
      </c>
      <c r="B351" s="2">
        <v>45842</v>
      </c>
      <c r="C351" t="s">
        <v>295</v>
      </c>
      <c r="D351" t="s">
        <v>104</v>
      </c>
      <c r="E351">
        <v>450</v>
      </c>
      <c r="F351">
        <v>190.1</v>
      </c>
      <c r="G351">
        <v>0</v>
      </c>
      <c r="H351">
        <v>18</v>
      </c>
      <c r="I351" t="s">
        <v>354</v>
      </c>
      <c r="J351" s="9">
        <f t="shared" si="5"/>
        <v>100943.09999999999</v>
      </c>
    </row>
    <row r="352" spans="1:10">
      <c r="A352" t="s">
        <v>706</v>
      </c>
      <c r="B352" s="2">
        <v>45842</v>
      </c>
      <c r="C352" t="s">
        <v>320</v>
      </c>
      <c r="D352" t="s">
        <v>95</v>
      </c>
      <c r="E352">
        <v>256</v>
      </c>
      <c r="F352">
        <v>254.36</v>
      </c>
      <c r="G352">
        <v>0</v>
      </c>
      <c r="H352">
        <v>18</v>
      </c>
      <c r="I352" t="s">
        <v>354</v>
      </c>
      <c r="J352" s="9">
        <f t="shared" si="5"/>
        <v>76837.068799999994</v>
      </c>
    </row>
    <row r="353" spans="1:10">
      <c r="A353" t="s">
        <v>707</v>
      </c>
      <c r="B353" s="2">
        <v>45843</v>
      </c>
      <c r="C353" t="s">
        <v>274</v>
      </c>
      <c r="D353" t="s">
        <v>87</v>
      </c>
      <c r="E353">
        <v>187</v>
      </c>
      <c r="F353">
        <v>119.79</v>
      </c>
      <c r="G353">
        <v>0</v>
      </c>
      <c r="H353">
        <v>18</v>
      </c>
      <c r="I353" t="s">
        <v>354</v>
      </c>
      <c r="J353" s="9">
        <f t="shared" si="5"/>
        <v>26432.861399999998</v>
      </c>
    </row>
    <row r="354" spans="1:10">
      <c r="A354" t="s">
        <v>708</v>
      </c>
      <c r="B354" s="2">
        <v>45843</v>
      </c>
      <c r="C354" t="s">
        <v>280</v>
      </c>
      <c r="D354" t="s">
        <v>89</v>
      </c>
      <c r="E354">
        <v>716</v>
      </c>
      <c r="F354">
        <v>94.67</v>
      </c>
      <c r="G354">
        <v>0</v>
      </c>
      <c r="H354">
        <v>18</v>
      </c>
      <c r="I354" t="s">
        <v>354</v>
      </c>
      <c r="J354" s="9">
        <f t="shared" si="5"/>
        <v>79984.789600000004</v>
      </c>
    </row>
    <row r="355" spans="1:10">
      <c r="A355" t="s">
        <v>709</v>
      </c>
      <c r="B355" s="2">
        <v>45843</v>
      </c>
      <c r="C355" t="s">
        <v>266</v>
      </c>
      <c r="D355" t="s">
        <v>61</v>
      </c>
      <c r="E355">
        <v>104</v>
      </c>
      <c r="F355">
        <v>655.54</v>
      </c>
      <c r="G355">
        <v>2</v>
      </c>
      <c r="H355">
        <v>18</v>
      </c>
      <c r="I355" t="s">
        <v>354</v>
      </c>
      <c r="J355" s="9">
        <f t="shared" si="5"/>
        <v>78838.911424000005</v>
      </c>
    </row>
    <row r="356" spans="1:10">
      <c r="A356" t="s">
        <v>710</v>
      </c>
      <c r="B356" s="2">
        <v>45844</v>
      </c>
      <c r="C356" t="s">
        <v>305</v>
      </c>
      <c r="D356" t="s">
        <v>95</v>
      </c>
      <c r="E356">
        <v>178</v>
      </c>
      <c r="F356">
        <v>255.76</v>
      </c>
      <c r="G356">
        <v>5</v>
      </c>
      <c r="H356">
        <v>18</v>
      </c>
      <c r="I356" t="s">
        <v>354</v>
      </c>
      <c r="J356" s="9">
        <f t="shared" si="5"/>
        <v>51033.838879999996</v>
      </c>
    </row>
    <row r="357" spans="1:10">
      <c r="A357" t="s">
        <v>711</v>
      </c>
      <c r="B357" s="2">
        <v>45844</v>
      </c>
      <c r="C357" t="s">
        <v>278</v>
      </c>
      <c r="D357" t="s">
        <v>87</v>
      </c>
      <c r="E357">
        <v>320</v>
      </c>
      <c r="F357">
        <v>118.45</v>
      </c>
      <c r="G357">
        <v>0</v>
      </c>
      <c r="H357">
        <v>18</v>
      </c>
      <c r="I357" t="s">
        <v>354</v>
      </c>
      <c r="J357" s="9">
        <f t="shared" si="5"/>
        <v>44726.720000000001</v>
      </c>
    </row>
    <row r="358" spans="1:10">
      <c r="A358" t="s">
        <v>712</v>
      </c>
      <c r="B358" s="2">
        <v>45845</v>
      </c>
      <c r="C358" t="s">
        <v>330</v>
      </c>
      <c r="D358" t="s">
        <v>106</v>
      </c>
      <c r="E358">
        <v>333</v>
      </c>
      <c r="F358">
        <v>345.51</v>
      </c>
      <c r="G358">
        <v>5</v>
      </c>
      <c r="H358">
        <v>18</v>
      </c>
      <c r="I358" t="s">
        <v>365</v>
      </c>
      <c r="J358" s="9">
        <f t="shared" si="5"/>
        <v>128976.46442999999</v>
      </c>
    </row>
    <row r="359" spans="1:10">
      <c r="A359" t="s">
        <v>713</v>
      </c>
      <c r="B359" s="2">
        <v>45846</v>
      </c>
      <c r="C359" t="s">
        <v>285</v>
      </c>
      <c r="D359" t="s">
        <v>73</v>
      </c>
      <c r="E359">
        <v>580</v>
      </c>
      <c r="F359">
        <v>406.5</v>
      </c>
      <c r="G359">
        <v>5</v>
      </c>
      <c r="H359">
        <v>18</v>
      </c>
      <c r="I359" t="s">
        <v>354</v>
      </c>
      <c r="J359" s="9">
        <f t="shared" si="5"/>
        <v>264298.17</v>
      </c>
    </row>
    <row r="360" spans="1:10">
      <c r="A360" t="s">
        <v>714</v>
      </c>
      <c r="B360" s="2">
        <v>45847</v>
      </c>
      <c r="C360" t="s">
        <v>330</v>
      </c>
      <c r="D360" t="s">
        <v>91</v>
      </c>
      <c r="E360">
        <v>173</v>
      </c>
      <c r="F360">
        <v>478.62</v>
      </c>
      <c r="G360">
        <v>7</v>
      </c>
      <c r="H360">
        <v>18</v>
      </c>
      <c r="I360" t="s">
        <v>354</v>
      </c>
      <c r="J360" s="9">
        <f t="shared" si="5"/>
        <v>90866.102723999997</v>
      </c>
    </row>
    <row r="361" spans="1:10">
      <c r="A361" t="s">
        <v>715</v>
      </c>
      <c r="B361" s="2">
        <v>45847</v>
      </c>
      <c r="C361" t="s">
        <v>266</v>
      </c>
      <c r="D361" t="s">
        <v>106</v>
      </c>
      <c r="E361">
        <v>471</v>
      </c>
      <c r="F361">
        <v>351.72</v>
      </c>
      <c r="G361">
        <v>0</v>
      </c>
      <c r="H361">
        <v>18</v>
      </c>
      <c r="I361" t="s">
        <v>354</v>
      </c>
      <c r="J361" s="9">
        <f t="shared" si="5"/>
        <v>195478.94160000002</v>
      </c>
    </row>
    <row r="362" spans="1:10">
      <c r="A362" t="s">
        <v>716</v>
      </c>
      <c r="B362" s="2">
        <v>45848</v>
      </c>
      <c r="C362" t="s">
        <v>293</v>
      </c>
      <c r="D362" t="s">
        <v>104</v>
      </c>
      <c r="E362">
        <v>444</v>
      </c>
      <c r="F362">
        <v>190.07</v>
      </c>
      <c r="G362">
        <v>7</v>
      </c>
      <c r="H362">
        <v>18</v>
      </c>
      <c r="I362" t="s">
        <v>359</v>
      </c>
      <c r="J362" s="9">
        <f t="shared" si="5"/>
        <v>92610.771192</v>
      </c>
    </row>
    <row r="363" spans="1:10">
      <c r="A363" t="s">
        <v>717</v>
      </c>
      <c r="B363" s="2">
        <v>45848</v>
      </c>
      <c r="C363" t="s">
        <v>302</v>
      </c>
      <c r="D363" t="s">
        <v>75</v>
      </c>
      <c r="E363">
        <v>150</v>
      </c>
      <c r="F363">
        <v>88.64</v>
      </c>
      <c r="G363">
        <v>0</v>
      </c>
      <c r="H363">
        <v>18</v>
      </c>
      <c r="I363" t="s">
        <v>354</v>
      </c>
      <c r="J363" s="9">
        <f t="shared" si="5"/>
        <v>15689.279999999999</v>
      </c>
    </row>
    <row r="364" spans="1:10">
      <c r="A364" t="s">
        <v>718</v>
      </c>
      <c r="B364" s="2">
        <v>45848</v>
      </c>
      <c r="C364" t="s">
        <v>295</v>
      </c>
      <c r="D364" t="s">
        <v>108</v>
      </c>
      <c r="E364">
        <v>293</v>
      </c>
      <c r="F364">
        <v>37.6</v>
      </c>
      <c r="G364">
        <v>5</v>
      </c>
      <c r="H364">
        <v>18</v>
      </c>
      <c r="I364" t="s">
        <v>354</v>
      </c>
      <c r="J364" s="9">
        <f t="shared" si="5"/>
        <v>12349.8328</v>
      </c>
    </row>
    <row r="365" spans="1:10">
      <c r="A365" t="s">
        <v>719</v>
      </c>
      <c r="B365" s="2">
        <v>45848</v>
      </c>
      <c r="C365" t="s">
        <v>283</v>
      </c>
      <c r="D365" t="s">
        <v>102</v>
      </c>
      <c r="E365">
        <v>214</v>
      </c>
      <c r="F365">
        <v>642.16</v>
      </c>
      <c r="G365">
        <v>5</v>
      </c>
      <c r="H365">
        <v>18</v>
      </c>
      <c r="I365" t="s">
        <v>354</v>
      </c>
      <c r="J365" s="9">
        <f t="shared" si="5"/>
        <v>154050.33103999996</v>
      </c>
    </row>
    <row r="366" spans="1:10">
      <c r="A366" t="s">
        <v>720</v>
      </c>
      <c r="B366" s="2">
        <v>45849</v>
      </c>
      <c r="C366" t="s">
        <v>307</v>
      </c>
      <c r="D366" t="s">
        <v>65</v>
      </c>
      <c r="E366">
        <v>134</v>
      </c>
      <c r="F366">
        <v>187.84</v>
      </c>
      <c r="G366">
        <v>5</v>
      </c>
      <c r="H366">
        <v>18</v>
      </c>
      <c r="I366" t="s">
        <v>365</v>
      </c>
      <c r="J366" s="9">
        <f t="shared" si="5"/>
        <v>28216.197759999999</v>
      </c>
    </row>
    <row r="367" spans="1:10">
      <c r="A367" t="s">
        <v>721</v>
      </c>
      <c r="B367" s="2">
        <v>45849</v>
      </c>
      <c r="C367" t="s">
        <v>298</v>
      </c>
      <c r="D367" t="s">
        <v>97</v>
      </c>
      <c r="E367">
        <v>172</v>
      </c>
      <c r="F367">
        <v>177.21</v>
      </c>
      <c r="G367">
        <v>2</v>
      </c>
      <c r="H367">
        <v>18</v>
      </c>
      <c r="I367" t="s">
        <v>354</v>
      </c>
      <c r="J367" s="9">
        <f t="shared" si="5"/>
        <v>35247.210768000004</v>
      </c>
    </row>
    <row r="368" spans="1:10">
      <c r="A368" t="s">
        <v>722</v>
      </c>
      <c r="B368" s="2">
        <v>45850</v>
      </c>
      <c r="C368" t="s">
        <v>266</v>
      </c>
      <c r="D368" t="s">
        <v>75</v>
      </c>
      <c r="E368">
        <v>192</v>
      </c>
      <c r="F368">
        <v>85.94</v>
      </c>
      <c r="G368">
        <v>0</v>
      </c>
      <c r="H368">
        <v>18</v>
      </c>
      <c r="I368" t="s">
        <v>365</v>
      </c>
      <c r="J368" s="9">
        <f t="shared" si="5"/>
        <v>19470.5664</v>
      </c>
    </row>
    <row r="369" spans="1:10">
      <c r="A369" t="s">
        <v>723</v>
      </c>
      <c r="B369" s="2">
        <v>45850</v>
      </c>
      <c r="C369" t="s">
        <v>287</v>
      </c>
      <c r="D369" t="s">
        <v>102</v>
      </c>
      <c r="E369">
        <v>223</v>
      </c>
      <c r="F369">
        <v>602.42999999999995</v>
      </c>
      <c r="G369">
        <v>7</v>
      </c>
      <c r="H369">
        <v>18</v>
      </c>
      <c r="I369" t="s">
        <v>359</v>
      </c>
      <c r="J369" s="9">
        <f t="shared" si="5"/>
        <v>147426.79008599996</v>
      </c>
    </row>
    <row r="370" spans="1:10">
      <c r="A370" t="s">
        <v>724</v>
      </c>
      <c r="B370" s="2">
        <v>45850</v>
      </c>
      <c r="C370" t="s">
        <v>274</v>
      </c>
      <c r="D370" t="s">
        <v>108</v>
      </c>
      <c r="E370">
        <v>370</v>
      </c>
      <c r="F370">
        <v>35.049999999999997</v>
      </c>
      <c r="G370">
        <v>5</v>
      </c>
      <c r="H370">
        <v>18</v>
      </c>
      <c r="I370" t="s">
        <v>354</v>
      </c>
      <c r="J370" s="9">
        <f t="shared" si="5"/>
        <v>14537.688499999997</v>
      </c>
    </row>
    <row r="371" spans="1:10">
      <c r="A371" t="s">
        <v>725</v>
      </c>
      <c r="B371" s="2">
        <v>45850</v>
      </c>
      <c r="C371" t="s">
        <v>314</v>
      </c>
      <c r="D371" t="s">
        <v>104</v>
      </c>
      <c r="E371">
        <v>552</v>
      </c>
      <c r="F371">
        <v>189.46</v>
      </c>
      <c r="G371">
        <v>0</v>
      </c>
      <c r="H371">
        <v>18</v>
      </c>
      <c r="I371" t="s">
        <v>354</v>
      </c>
      <c r="J371" s="9">
        <f t="shared" si="5"/>
        <v>123406.66559999999</v>
      </c>
    </row>
    <row r="372" spans="1:10">
      <c r="A372" t="s">
        <v>726</v>
      </c>
      <c r="B372" s="2">
        <v>45851</v>
      </c>
      <c r="C372" t="s">
        <v>320</v>
      </c>
      <c r="D372" t="s">
        <v>104</v>
      </c>
      <c r="E372">
        <v>306</v>
      </c>
      <c r="F372">
        <v>198.57</v>
      </c>
      <c r="G372">
        <v>0</v>
      </c>
      <c r="H372">
        <v>18</v>
      </c>
      <c r="I372" t="s">
        <v>365</v>
      </c>
      <c r="J372" s="9">
        <f t="shared" si="5"/>
        <v>71699.655599999998</v>
      </c>
    </row>
    <row r="373" spans="1:10">
      <c r="A373" t="s">
        <v>727</v>
      </c>
      <c r="B373" s="2">
        <v>45851</v>
      </c>
      <c r="C373" t="s">
        <v>344</v>
      </c>
      <c r="D373" t="s">
        <v>95</v>
      </c>
      <c r="E373">
        <v>395</v>
      </c>
      <c r="F373">
        <v>268.42</v>
      </c>
      <c r="G373">
        <v>10</v>
      </c>
      <c r="H373">
        <v>18</v>
      </c>
      <c r="I373" t="s">
        <v>354</v>
      </c>
      <c r="J373" s="9">
        <f t="shared" si="5"/>
        <v>112599.50580000001</v>
      </c>
    </row>
    <row r="374" spans="1:10">
      <c r="A374" t="s">
        <v>728</v>
      </c>
      <c r="B374" s="2">
        <v>45851</v>
      </c>
      <c r="C374" t="s">
        <v>339</v>
      </c>
      <c r="D374" t="s">
        <v>114</v>
      </c>
      <c r="E374">
        <v>377</v>
      </c>
      <c r="F374">
        <v>67.86</v>
      </c>
      <c r="G374">
        <v>5</v>
      </c>
      <c r="H374">
        <v>12</v>
      </c>
      <c r="I374" t="s">
        <v>354</v>
      </c>
      <c r="J374" s="9">
        <f t="shared" si="5"/>
        <v>27220.546080000004</v>
      </c>
    </row>
    <row r="375" spans="1:10">
      <c r="A375" t="s">
        <v>729</v>
      </c>
      <c r="B375" s="2">
        <v>45851</v>
      </c>
      <c r="C375" t="s">
        <v>298</v>
      </c>
      <c r="D375" t="s">
        <v>81</v>
      </c>
      <c r="E375">
        <v>182</v>
      </c>
      <c r="F375">
        <v>65.81</v>
      </c>
      <c r="G375">
        <v>0</v>
      </c>
      <c r="H375">
        <v>18</v>
      </c>
      <c r="I375" t="s">
        <v>354</v>
      </c>
      <c r="J375" s="9">
        <f t="shared" si="5"/>
        <v>14133.355599999999</v>
      </c>
    </row>
    <row r="376" spans="1:10">
      <c r="A376" t="s">
        <v>730</v>
      </c>
      <c r="B376" s="2">
        <v>45852</v>
      </c>
      <c r="C376" t="s">
        <v>274</v>
      </c>
      <c r="D376" t="s">
        <v>87</v>
      </c>
      <c r="E376">
        <v>88</v>
      </c>
      <c r="F376">
        <v>127.83</v>
      </c>
      <c r="G376">
        <v>0</v>
      </c>
      <c r="H376">
        <v>18</v>
      </c>
      <c r="I376" t="s">
        <v>365</v>
      </c>
      <c r="J376" s="9">
        <f t="shared" si="5"/>
        <v>13273.867199999999</v>
      </c>
    </row>
    <row r="377" spans="1:10">
      <c r="A377" t="s">
        <v>731</v>
      </c>
      <c r="B377" s="2">
        <v>45854</v>
      </c>
      <c r="C377" t="s">
        <v>327</v>
      </c>
      <c r="D377" t="s">
        <v>114</v>
      </c>
      <c r="E377">
        <v>396</v>
      </c>
      <c r="F377">
        <v>64.709999999999994</v>
      </c>
      <c r="G377">
        <v>0</v>
      </c>
      <c r="H377">
        <v>12</v>
      </c>
      <c r="I377" t="s">
        <v>354</v>
      </c>
      <c r="J377" s="9">
        <f t="shared" si="5"/>
        <v>28700.179199999999</v>
      </c>
    </row>
    <row r="378" spans="1:10">
      <c r="A378" t="s">
        <v>732</v>
      </c>
      <c r="B378" s="2">
        <v>45854</v>
      </c>
      <c r="C378" t="s">
        <v>280</v>
      </c>
      <c r="D378" t="s">
        <v>93</v>
      </c>
      <c r="E378">
        <v>204</v>
      </c>
      <c r="F378">
        <v>1454.04</v>
      </c>
      <c r="G378">
        <v>10</v>
      </c>
      <c r="H378">
        <v>18</v>
      </c>
      <c r="I378" t="s">
        <v>354</v>
      </c>
      <c r="J378" s="9">
        <f t="shared" si="5"/>
        <v>315014.85791999998</v>
      </c>
    </row>
    <row r="379" spans="1:10">
      <c r="A379" t="s">
        <v>733</v>
      </c>
      <c r="B379" s="2">
        <v>45854</v>
      </c>
      <c r="C379" t="s">
        <v>278</v>
      </c>
      <c r="D379" t="s">
        <v>108</v>
      </c>
      <c r="E379">
        <v>342</v>
      </c>
      <c r="F379">
        <v>36.79</v>
      </c>
      <c r="G379">
        <v>2</v>
      </c>
      <c r="H379">
        <v>18</v>
      </c>
      <c r="I379" t="s">
        <v>354</v>
      </c>
      <c r="J379" s="9">
        <f t="shared" si="5"/>
        <v>14550.032952</v>
      </c>
    </row>
    <row r="380" spans="1:10">
      <c r="A380" t="s">
        <v>734</v>
      </c>
      <c r="B380" s="2">
        <v>45854</v>
      </c>
      <c r="C380" t="s">
        <v>302</v>
      </c>
      <c r="D380" t="s">
        <v>75</v>
      </c>
      <c r="E380">
        <v>337</v>
      </c>
      <c r="F380">
        <v>90.77</v>
      </c>
      <c r="G380">
        <v>5</v>
      </c>
      <c r="H380">
        <v>18</v>
      </c>
      <c r="I380" t="s">
        <v>354</v>
      </c>
      <c r="J380" s="9">
        <f t="shared" si="5"/>
        <v>34290.818289999996</v>
      </c>
    </row>
    <row r="381" spans="1:10">
      <c r="A381" t="s">
        <v>735</v>
      </c>
      <c r="B381" s="2">
        <v>45855</v>
      </c>
      <c r="C381" t="s">
        <v>293</v>
      </c>
      <c r="D381" t="s">
        <v>106</v>
      </c>
      <c r="E381">
        <v>178</v>
      </c>
      <c r="F381">
        <v>349.17</v>
      </c>
      <c r="G381">
        <v>0</v>
      </c>
      <c r="H381">
        <v>18</v>
      </c>
      <c r="I381" t="s">
        <v>354</v>
      </c>
      <c r="J381" s="9">
        <f t="shared" si="5"/>
        <v>73339.666799999992</v>
      </c>
    </row>
    <row r="382" spans="1:10">
      <c r="A382" t="s">
        <v>736</v>
      </c>
      <c r="B382" s="2">
        <v>45855</v>
      </c>
      <c r="C382" t="s">
        <v>307</v>
      </c>
      <c r="D382" t="s">
        <v>68</v>
      </c>
      <c r="E382">
        <v>508</v>
      </c>
      <c r="F382">
        <v>344</v>
      </c>
      <c r="G382">
        <v>7</v>
      </c>
      <c r="H382">
        <v>18</v>
      </c>
      <c r="I382" t="s">
        <v>354</v>
      </c>
      <c r="J382" s="9">
        <f t="shared" si="5"/>
        <v>191772.84479999996</v>
      </c>
    </row>
    <row r="383" spans="1:10">
      <c r="A383" t="s">
        <v>737</v>
      </c>
      <c r="B383" s="2">
        <v>45857</v>
      </c>
      <c r="C383" t="s">
        <v>330</v>
      </c>
      <c r="D383" t="s">
        <v>91</v>
      </c>
      <c r="E383">
        <v>287</v>
      </c>
      <c r="F383">
        <v>487.72</v>
      </c>
      <c r="G383">
        <v>10</v>
      </c>
      <c r="H383">
        <v>18</v>
      </c>
      <c r="I383" t="s">
        <v>354</v>
      </c>
      <c r="J383" s="9">
        <f t="shared" si="5"/>
        <v>148654.12968000001</v>
      </c>
    </row>
    <row r="384" spans="1:10">
      <c r="A384" t="s">
        <v>738</v>
      </c>
      <c r="B384" s="2">
        <v>45857</v>
      </c>
      <c r="C384" t="s">
        <v>291</v>
      </c>
      <c r="D384" t="s">
        <v>61</v>
      </c>
      <c r="E384">
        <v>128</v>
      </c>
      <c r="F384">
        <v>694.36</v>
      </c>
      <c r="G384">
        <v>0</v>
      </c>
      <c r="H384">
        <v>18</v>
      </c>
      <c r="I384" t="s">
        <v>354</v>
      </c>
      <c r="J384" s="9">
        <f t="shared" si="5"/>
        <v>104876.1344</v>
      </c>
    </row>
    <row r="385" spans="1:10">
      <c r="A385" t="s">
        <v>739</v>
      </c>
      <c r="B385" s="2">
        <v>45858</v>
      </c>
      <c r="C385" t="s">
        <v>332</v>
      </c>
      <c r="D385" t="s">
        <v>110</v>
      </c>
      <c r="E385">
        <v>84</v>
      </c>
      <c r="F385">
        <v>54</v>
      </c>
      <c r="G385">
        <v>2</v>
      </c>
      <c r="H385">
        <v>18</v>
      </c>
      <c r="I385" t="s">
        <v>354</v>
      </c>
      <c r="J385" s="9">
        <f t="shared" si="5"/>
        <v>5245.4303999999993</v>
      </c>
    </row>
    <row r="386" spans="1:10">
      <c r="A386" t="s">
        <v>740</v>
      </c>
      <c r="B386" s="2">
        <v>45858</v>
      </c>
      <c r="C386" t="s">
        <v>291</v>
      </c>
      <c r="D386" t="s">
        <v>106</v>
      </c>
      <c r="E386">
        <v>116</v>
      </c>
      <c r="F386">
        <v>356.59</v>
      </c>
      <c r="G386">
        <v>5</v>
      </c>
      <c r="H386">
        <v>18</v>
      </c>
      <c r="I386" t="s">
        <v>354</v>
      </c>
      <c r="J386" s="9">
        <f t="shared" si="5"/>
        <v>46369.537239999991</v>
      </c>
    </row>
    <row r="387" spans="1:10">
      <c r="A387" t="s">
        <v>741</v>
      </c>
      <c r="B387" s="2">
        <v>45859</v>
      </c>
      <c r="C387" t="s">
        <v>307</v>
      </c>
      <c r="D387" t="s">
        <v>108</v>
      </c>
      <c r="E387">
        <v>171</v>
      </c>
      <c r="F387">
        <v>32.909999999999997</v>
      </c>
      <c r="G387">
        <v>3</v>
      </c>
      <c r="H387">
        <v>18</v>
      </c>
      <c r="I387" t="s">
        <v>354</v>
      </c>
      <c r="J387" s="9">
        <f t="shared" ref="J387:J450" si="6">E387*F387*(1-G387/100)*(1+H387/100)</f>
        <v>6441.3624059999993</v>
      </c>
    </row>
    <row r="388" spans="1:10">
      <c r="A388" t="s">
        <v>742</v>
      </c>
      <c r="B388" s="2">
        <v>45860</v>
      </c>
      <c r="C388" t="s">
        <v>317</v>
      </c>
      <c r="D388" t="s">
        <v>91</v>
      </c>
      <c r="E388">
        <v>301</v>
      </c>
      <c r="F388">
        <v>477.82</v>
      </c>
      <c r="G388">
        <v>5</v>
      </c>
      <c r="H388">
        <v>18</v>
      </c>
      <c r="I388" t="s">
        <v>354</v>
      </c>
      <c r="J388" s="9">
        <f t="shared" si="6"/>
        <v>161226.50221999997</v>
      </c>
    </row>
    <row r="389" spans="1:10">
      <c r="A389" t="s">
        <v>743</v>
      </c>
      <c r="B389" s="2">
        <v>45860</v>
      </c>
      <c r="C389" t="s">
        <v>330</v>
      </c>
      <c r="D389" t="s">
        <v>84</v>
      </c>
      <c r="E389">
        <v>346</v>
      </c>
      <c r="F389">
        <v>819.13</v>
      </c>
      <c r="G389">
        <v>5</v>
      </c>
      <c r="H389">
        <v>18</v>
      </c>
      <c r="I389" t="s">
        <v>354</v>
      </c>
      <c r="J389" s="9">
        <f t="shared" si="6"/>
        <v>317712.67657999991</v>
      </c>
    </row>
    <row r="390" spans="1:10">
      <c r="A390" t="s">
        <v>744</v>
      </c>
      <c r="B390" s="2">
        <v>45861</v>
      </c>
      <c r="C390" t="s">
        <v>320</v>
      </c>
      <c r="D390" t="s">
        <v>91</v>
      </c>
      <c r="E390">
        <v>345</v>
      </c>
      <c r="F390">
        <v>503.88</v>
      </c>
      <c r="G390">
        <v>2</v>
      </c>
      <c r="H390">
        <v>18</v>
      </c>
      <c r="I390" t="s">
        <v>354</v>
      </c>
      <c r="J390" s="9">
        <f t="shared" si="6"/>
        <v>201026.95704000001</v>
      </c>
    </row>
    <row r="391" spans="1:10">
      <c r="A391" t="s">
        <v>745</v>
      </c>
      <c r="B391" s="2">
        <v>45861</v>
      </c>
      <c r="C391" t="s">
        <v>283</v>
      </c>
      <c r="D391" t="s">
        <v>89</v>
      </c>
      <c r="E391">
        <v>1021</v>
      </c>
      <c r="F391">
        <v>97.63</v>
      </c>
      <c r="G391">
        <v>3</v>
      </c>
      <c r="H391">
        <v>18</v>
      </c>
      <c r="I391" t="s">
        <v>354</v>
      </c>
      <c r="J391" s="9">
        <f t="shared" si="6"/>
        <v>114093.99125799998</v>
      </c>
    </row>
    <row r="392" spans="1:10">
      <c r="A392" t="s">
        <v>746</v>
      </c>
      <c r="B392" s="2">
        <v>45863</v>
      </c>
      <c r="C392" t="s">
        <v>291</v>
      </c>
      <c r="D392" t="s">
        <v>95</v>
      </c>
      <c r="E392">
        <v>146</v>
      </c>
      <c r="F392">
        <v>274.05</v>
      </c>
      <c r="G392">
        <v>0</v>
      </c>
      <c r="H392">
        <v>18</v>
      </c>
      <c r="I392" t="s">
        <v>359</v>
      </c>
      <c r="J392" s="9">
        <f t="shared" si="6"/>
        <v>47213.334000000003</v>
      </c>
    </row>
    <row r="393" spans="1:10">
      <c r="A393" t="s">
        <v>747</v>
      </c>
      <c r="B393" s="2">
        <v>45863</v>
      </c>
      <c r="C393" t="s">
        <v>310</v>
      </c>
      <c r="D393" t="s">
        <v>102</v>
      </c>
      <c r="E393">
        <v>420</v>
      </c>
      <c r="F393">
        <v>590.48</v>
      </c>
      <c r="G393">
        <v>0</v>
      </c>
      <c r="H393">
        <v>18</v>
      </c>
      <c r="I393" t="s">
        <v>354</v>
      </c>
      <c r="J393" s="9">
        <f t="shared" si="6"/>
        <v>292641.88799999998</v>
      </c>
    </row>
    <row r="394" spans="1:10">
      <c r="A394" t="s">
        <v>748</v>
      </c>
      <c r="B394" s="2">
        <v>45863</v>
      </c>
      <c r="C394" t="s">
        <v>322</v>
      </c>
      <c r="D394" t="s">
        <v>93</v>
      </c>
      <c r="E394">
        <v>172</v>
      </c>
      <c r="F394">
        <v>1463.61</v>
      </c>
      <c r="G394">
        <v>0</v>
      </c>
      <c r="H394">
        <v>18</v>
      </c>
      <c r="I394" t="s">
        <v>365</v>
      </c>
      <c r="J394" s="9">
        <f t="shared" si="6"/>
        <v>297054.28559999994</v>
      </c>
    </row>
    <row r="395" spans="1:10">
      <c r="A395" t="s">
        <v>749</v>
      </c>
      <c r="B395" s="2">
        <v>45863</v>
      </c>
      <c r="C395" t="s">
        <v>278</v>
      </c>
      <c r="D395" t="s">
        <v>68</v>
      </c>
      <c r="E395">
        <v>67</v>
      </c>
      <c r="F395">
        <v>334.27</v>
      </c>
      <c r="G395">
        <v>0</v>
      </c>
      <c r="H395">
        <v>18</v>
      </c>
      <c r="I395" t="s">
        <v>354</v>
      </c>
      <c r="J395" s="9">
        <f t="shared" si="6"/>
        <v>26427.386199999997</v>
      </c>
    </row>
    <row r="396" spans="1:10">
      <c r="A396" t="s">
        <v>750</v>
      </c>
      <c r="B396" s="2">
        <v>45863</v>
      </c>
      <c r="C396" t="s">
        <v>278</v>
      </c>
      <c r="D396" t="s">
        <v>68</v>
      </c>
      <c r="E396">
        <v>167</v>
      </c>
      <c r="F396">
        <v>333.1</v>
      </c>
      <c r="G396">
        <v>3</v>
      </c>
      <c r="H396">
        <v>18</v>
      </c>
      <c r="I396" t="s">
        <v>354</v>
      </c>
      <c r="J396" s="9">
        <f t="shared" si="6"/>
        <v>63671.46542</v>
      </c>
    </row>
    <row r="397" spans="1:10">
      <c r="A397" t="s">
        <v>751</v>
      </c>
      <c r="B397" s="2">
        <v>45864</v>
      </c>
      <c r="C397" t="s">
        <v>305</v>
      </c>
      <c r="D397" t="s">
        <v>95</v>
      </c>
      <c r="E397">
        <v>271</v>
      </c>
      <c r="F397">
        <v>267.98</v>
      </c>
      <c r="G397">
        <v>3</v>
      </c>
      <c r="H397">
        <v>18</v>
      </c>
      <c r="I397" t="s">
        <v>354</v>
      </c>
      <c r="J397" s="9">
        <f t="shared" si="6"/>
        <v>83123.805068000001</v>
      </c>
    </row>
    <row r="398" spans="1:10">
      <c r="A398" t="s">
        <v>752</v>
      </c>
      <c r="B398" s="2">
        <v>45864</v>
      </c>
      <c r="C398" t="s">
        <v>295</v>
      </c>
      <c r="D398" t="s">
        <v>95</v>
      </c>
      <c r="E398">
        <v>471</v>
      </c>
      <c r="F398">
        <v>273.58999999999997</v>
      </c>
      <c r="G398">
        <v>2</v>
      </c>
      <c r="H398">
        <v>18</v>
      </c>
      <c r="I398" t="s">
        <v>354</v>
      </c>
      <c r="J398" s="9">
        <f t="shared" si="6"/>
        <v>149014.73319599999</v>
      </c>
    </row>
    <row r="399" spans="1:10">
      <c r="A399" t="s">
        <v>753</v>
      </c>
      <c r="B399" s="2">
        <v>45864</v>
      </c>
      <c r="C399" t="s">
        <v>307</v>
      </c>
      <c r="D399" t="s">
        <v>65</v>
      </c>
      <c r="E399">
        <v>415</v>
      </c>
      <c r="F399">
        <v>170.18</v>
      </c>
      <c r="G399">
        <v>2</v>
      </c>
      <c r="H399">
        <v>18</v>
      </c>
      <c r="I399" t="s">
        <v>354</v>
      </c>
      <c r="J399" s="9">
        <f t="shared" si="6"/>
        <v>81670.403079999989</v>
      </c>
    </row>
    <row r="400" spans="1:10">
      <c r="A400" t="s">
        <v>754</v>
      </c>
      <c r="B400" s="2">
        <v>45864</v>
      </c>
      <c r="C400" t="s">
        <v>332</v>
      </c>
      <c r="D400" t="s">
        <v>110</v>
      </c>
      <c r="E400">
        <v>268</v>
      </c>
      <c r="F400">
        <v>57.59</v>
      </c>
      <c r="G400">
        <v>3</v>
      </c>
      <c r="H400">
        <v>18</v>
      </c>
      <c r="I400" t="s">
        <v>354</v>
      </c>
      <c r="J400" s="9">
        <f t="shared" si="6"/>
        <v>17665.893752</v>
      </c>
    </row>
    <row r="401" spans="1:10">
      <c r="A401" t="s">
        <v>755</v>
      </c>
      <c r="B401" s="2">
        <v>45864</v>
      </c>
      <c r="C401" t="s">
        <v>310</v>
      </c>
      <c r="D401" t="s">
        <v>70</v>
      </c>
      <c r="E401">
        <v>532</v>
      </c>
      <c r="F401">
        <v>233.19</v>
      </c>
      <c r="G401">
        <v>2</v>
      </c>
      <c r="H401">
        <v>18</v>
      </c>
      <c r="I401" t="s">
        <v>354</v>
      </c>
      <c r="J401" s="9">
        <f t="shared" si="6"/>
        <v>143459.60731199998</v>
      </c>
    </row>
    <row r="402" spans="1:10">
      <c r="A402" t="s">
        <v>756</v>
      </c>
      <c r="B402" s="2">
        <v>45865</v>
      </c>
      <c r="C402" t="s">
        <v>295</v>
      </c>
      <c r="D402" t="s">
        <v>87</v>
      </c>
      <c r="E402">
        <v>313</v>
      </c>
      <c r="F402">
        <v>118.71</v>
      </c>
      <c r="G402">
        <v>0</v>
      </c>
      <c r="H402">
        <v>18</v>
      </c>
      <c r="I402" t="s">
        <v>354</v>
      </c>
      <c r="J402" s="9">
        <f t="shared" si="6"/>
        <v>43844.351399999992</v>
      </c>
    </row>
    <row r="403" spans="1:10">
      <c r="A403" t="s">
        <v>757</v>
      </c>
      <c r="B403" s="2">
        <v>45865</v>
      </c>
      <c r="C403" t="s">
        <v>302</v>
      </c>
      <c r="D403" t="s">
        <v>84</v>
      </c>
      <c r="E403">
        <v>557</v>
      </c>
      <c r="F403">
        <v>748.47</v>
      </c>
      <c r="G403">
        <v>5</v>
      </c>
      <c r="H403">
        <v>18</v>
      </c>
      <c r="I403" t="s">
        <v>354</v>
      </c>
      <c r="J403" s="9">
        <f t="shared" si="6"/>
        <v>467342.42258999997</v>
      </c>
    </row>
    <row r="404" spans="1:10">
      <c r="A404" t="s">
        <v>758</v>
      </c>
      <c r="B404" s="2">
        <v>45865</v>
      </c>
      <c r="C404" t="s">
        <v>293</v>
      </c>
      <c r="D404" t="s">
        <v>75</v>
      </c>
      <c r="E404">
        <v>120</v>
      </c>
      <c r="F404">
        <v>91.32</v>
      </c>
      <c r="G404">
        <v>5</v>
      </c>
      <c r="H404">
        <v>18</v>
      </c>
      <c r="I404" t="s">
        <v>354</v>
      </c>
      <c r="J404" s="9">
        <f t="shared" si="6"/>
        <v>12284.366399999999</v>
      </c>
    </row>
    <row r="405" spans="1:10">
      <c r="A405" t="s">
        <v>759</v>
      </c>
      <c r="B405" s="2">
        <v>45866</v>
      </c>
      <c r="C405" t="s">
        <v>325</v>
      </c>
      <c r="D405" t="s">
        <v>99</v>
      </c>
      <c r="E405">
        <v>263</v>
      </c>
      <c r="F405">
        <v>223.49</v>
      </c>
      <c r="G405">
        <v>0</v>
      </c>
      <c r="H405">
        <v>18</v>
      </c>
      <c r="I405" t="s">
        <v>354</v>
      </c>
      <c r="J405" s="9">
        <f t="shared" si="6"/>
        <v>69357.886599999998</v>
      </c>
    </row>
    <row r="406" spans="1:10">
      <c r="A406" t="s">
        <v>760</v>
      </c>
      <c r="B406" s="2">
        <v>45867</v>
      </c>
      <c r="C406" t="s">
        <v>327</v>
      </c>
      <c r="D406" t="s">
        <v>119</v>
      </c>
      <c r="E406">
        <v>423</v>
      </c>
      <c r="F406">
        <v>33.950000000000003</v>
      </c>
      <c r="G406">
        <v>7</v>
      </c>
      <c r="H406">
        <v>12</v>
      </c>
      <c r="I406" t="s">
        <v>354</v>
      </c>
      <c r="J406" s="9">
        <f t="shared" si="6"/>
        <v>14958.261360000002</v>
      </c>
    </row>
    <row r="407" spans="1:10">
      <c r="A407" t="s">
        <v>761</v>
      </c>
      <c r="B407" s="2">
        <v>45869</v>
      </c>
      <c r="C407" t="s">
        <v>274</v>
      </c>
      <c r="D407" t="s">
        <v>108</v>
      </c>
      <c r="E407">
        <v>129</v>
      </c>
      <c r="F407">
        <v>37.090000000000003</v>
      </c>
      <c r="G407">
        <v>3</v>
      </c>
      <c r="H407">
        <v>18</v>
      </c>
      <c r="I407" t="s">
        <v>365</v>
      </c>
      <c r="J407" s="9">
        <f t="shared" si="6"/>
        <v>5476.4646060000005</v>
      </c>
    </row>
    <row r="408" spans="1:10">
      <c r="A408" t="s">
        <v>762</v>
      </c>
      <c r="B408" s="2">
        <v>45869</v>
      </c>
      <c r="C408" t="s">
        <v>314</v>
      </c>
      <c r="D408" t="s">
        <v>104</v>
      </c>
      <c r="E408">
        <v>519</v>
      </c>
      <c r="F408">
        <v>183.05</v>
      </c>
      <c r="G408">
        <v>0</v>
      </c>
      <c r="H408">
        <v>18</v>
      </c>
      <c r="I408" t="s">
        <v>354</v>
      </c>
      <c r="J408" s="9">
        <f t="shared" si="6"/>
        <v>112103.48100000001</v>
      </c>
    </row>
    <row r="409" spans="1:10">
      <c r="A409" t="s">
        <v>763</v>
      </c>
      <c r="B409" s="2">
        <v>45869</v>
      </c>
      <c r="C409" t="s">
        <v>310</v>
      </c>
      <c r="D409" t="s">
        <v>93</v>
      </c>
      <c r="E409">
        <v>271</v>
      </c>
      <c r="F409">
        <v>1534.92</v>
      </c>
      <c r="G409">
        <v>7</v>
      </c>
      <c r="H409">
        <v>18</v>
      </c>
      <c r="I409" t="s">
        <v>354</v>
      </c>
      <c r="J409" s="9">
        <f t="shared" si="6"/>
        <v>456478.14736799995</v>
      </c>
    </row>
    <row r="410" spans="1:10">
      <c r="A410" t="s">
        <v>764</v>
      </c>
      <c r="B410" s="2">
        <v>45870</v>
      </c>
      <c r="C410" t="s">
        <v>287</v>
      </c>
      <c r="D410" t="s">
        <v>93</v>
      </c>
      <c r="E410">
        <v>409</v>
      </c>
      <c r="F410">
        <v>1564.69</v>
      </c>
      <c r="G410">
        <v>3</v>
      </c>
      <c r="H410">
        <v>18</v>
      </c>
      <c r="I410" t="s">
        <v>354</v>
      </c>
      <c r="J410" s="9">
        <f t="shared" si="6"/>
        <v>732496.167166</v>
      </c>
    </row>
    <row r="411" spans="1:10">
      <c r="A411" t="s">
        <v>765</v>
      </c>
      <c r="B411" s="2">
        <v>45870</v>
      </c>
      <c r="C411" t="s">
        <v>285</v>
      </c>
      <c r="D411" t="s">
        <v>73</v>
      </c>
      <c r="E411">
        <v>577</v>
      </c>
      <c r="F411">
        <v>420.66</v>
      </c>
      <c r="G411">
        <v>10</v>
      </c>
      <c r="H411">
        <v>18</v>
      </c>
      <c r="I411" t="s">
        <v>365</v>
      </c>
      <c r="J411" s="9">
        <f t="shared" si="6"/>
        <v>257769.51084</v>
      </c>
    </row>
    <row r="412" spans="1:10">
      <c r="A412" t="s">
        <v>766</v>
      </c>
      <c r="B412" s="2">
        <v>45872</v>
      </c>
      <c r="C412" t="s">
        <v>278</v>
      </c>
      <c r="D412" t="s">
        <v>68</v>
      </c>
      <c r="E412">
        <v>260</v>
      </c>
      <c r="F412">
        <v>331.54</v>
      </c>
      <c r="G412">
        <v>2</v>
      </c>
      <c r="H412">
        <v>18</v>
      </c>
      <c r="I412" t="s">
        <v>354</v>
      </c>
      <c r="J412" s="9">
        <f t="shared" si="6"/>
        <v>99682.142560000008</v>
      </c>
    </row>
    <row r="413" spans="1:10">
      <c r="A413" t="s">
        <v>767</v>
      </c>
      <c r="B413" s="2">
        <v>45872</v>
      </c>
      <c r="C413" t="s">
        <v>322</v>
      </c>
      <c r="D413" t="s">
        <v>95</v>
      </c>
      <c r="E413">
        <v>135</v>
      </c>
      <c r="F413">
        <v>257.69</v>
      </c>
      <c r="G413">
        <v>3</v>
      </c>
      <c r="H413">
        <v>18</v>
      </c>
      <c r="I413" t="s">
        <v>354</v>
      </c>
      <c r="J413" s="9">
        <f t="shared" si="6"/>
        <v>39818.516489999995</v>
      </c>
    </row>
    <row r="414" spans="1:10">
      <c r="A414" t="s">
        <v>768</v>
      </c>
      <c r="B414" s="2">
        <v>45872</v>
      </c>
      <c r="C414" t="s">
        <v>342</v>
      </c>
      <c r="D414" t="s">
        <v>114</v>
      </c>
      <c r="E414">
        <v>454</v>
      </c>
      <c r="F414">
        <v>67.150000000000006</v>
      </c>
      <c r="G414">
        <v>5</v>
      </c>
      <c r="H414">
        <v>12</v>
      </c>
      <c r="I414" t="s">
        <v>359</v>
      </c>
      <c r="J414" s="9">
        <f t="shared" si="6"/>
        <v>32437.210400000004</v>
      </c>
    </row>
    <row r="415" spans="1:10">
      <c r="A415" t="s">
        <v>769</v>
      </c>
      <c r="B415" s="2">
        <v>45873</v>
      </c>
      <c r="C415" t="s">
        <v>325</v>
      </c>
      <c r="D415" t="s">
        <v>99</v>
      </c>
      <c r="E415">
        <v>215</v>
      </c>
      <c r="F415">
        <v>199.57</v>
      </c>
      <c r="G415">
        <v>5</v>
      </c>
      <c r="H415">
        <v>18</v>
      </c>
      <c r="I415" t="s">
        <v>354</v>
      </c>
      <c r="J415" s="9">
        <f t="shared" si="6"/>
        <v>48099.363549999987</v>
      </c>
    </row>
    <row r="416" spans="1:10">
      <c r="A416" t="s">
        <v>770</v>
      </c>
      <c r="B416" s="2">
        <v>45873</v>
      </c>
      <c r="C416" t="s">
        <v>291</v>
      </c>
      <c r="D416" t="s">
        <v>79</v>
      </c>
      <c r="E416">
        <v>450</v>
      </c>
      <c r="F416">
        <v>45.29</v>
      </c>
      <c r="G416">
        <v>3</v>
      </c>
      <c r="H416">
        <v>18</v>
      </c>
      <c r="I416" t="s">
        <v>354</v>
      </c>
      <c r="J416" s="9">
        <f t="shared" si="6"/>
        <v>23327.520299999996</v>
      </c>
    </row>
    <row r="417" spans="1:10">
      <c r="A417" t="s">
        <v>771</v>
      </c>
      <c r="B417" s="2">
        <v>45873</v>
      </c>
      <c r="C417" t="s">
        <v>325</v>
      </c>
      <c r="D417" t="s">
        <v>99</v>
      </c>
      <c r="E417">
        <v>291</v>
      </c>
      <c r="F417">
        <v>200.19</v>
      </c>
      <c r="G417">
        <v>3</v>
      </c>
      <c r="H417">
        <v>18</v>
      </c>
      <c r="I417" t="s">
        <v>354</v>
      </c>
      <c r="J417" s="9">
        <f t="shared" si="6"/>
        <v>66679.004933999997</v>
      </c>
    </row>
    <row r="418" spans="1:10">
      <c r="A418" t="s">
        <v>772</v>
      </c>
      <c r="B418" s="2">
        <v>45874</v>
      </c>
      <c r="C418" t="s">
        <v>271</v>
      </c>
      <c r="D418" t="s">
        <v>87</v>
      </c>
      <c r="E418">
        <v>226</v>
      </c>
      <c r="F418">
        <v>121.49</v>
      </c>
      <c r="G418">
        <v>0</v>
      </c>
      <c r="H418">
        <v>18</v>
      </c>
      <c r="I418" t="s">
        <v>359</v>
      </c>
      <c r="J418" s="9">
        <f t="shared" si="6"/>
        <v>32398.953199999996</v>
      </c>
    </row>
    <row r="419" spans="1:10">
      <c r="A419" t="s">
        <v>773</v>
      </c>
      <c r="B419" s="2">
        <v>45874</v>
      </c>
      <c r="C419" t="s">
        <v>330</v>
      </c>
      <c r="D419" t="s">
        <v>95</v>
      </c>
      <c r="E419">
        <v>167</v>
      </c>
      <c r="F419">
        <v>272.89</v>
      </c>
      <c r="G419">
        <v>10</v>
      </c>
      <c r="H419">
        <v>18</v>
      </c>
      <c r="I419" t="s">
        <v>354</v>
      </c>
      <c r="J419" s="9">
        <f t="shared" si="6"/>
        <v>48398.133059999993</v>
      </c>
    </row>
    <row r="420" spans="1:10">
      <c r="A420" t="s">
        <v>774</v>
      </c>
      <c r="B420" s="2">
        <v>45874</v>
      </c>
      <c r="C420" t="s">
        <v>302</v>
      </c>
      <c r="D420" t="s">
        <v>95</v>
      </c>
      <c r="E420">
        <v>175</v>
      </c>
      <c r="F420">
        <v>250.7</v>
      </c>
      <c r="G420">
        <v>0</v>
      </c>
      <c r="H420">
        <v>18</v>
      </c>
      <c r="I420" t="s">
        <v>359</v>
      </c>
      <c r="J420" s="9">
        <f t="shared" si="6"/>
        <v>51769.549999999996</v>
      </c>
    </row>
    <row r="421" spans="1:10">
      <c r="A421" t="s">
        <v>775</v>
      </c>
      <c r="B421" s="2">
        <v>45875</v>
      </c>
      <c r="C421" t="s">
        <v>271</v>
      </c>
      <c r="D421" t="s">
        <v>87</v>
      </c>
      <c r="E421">
        <v>209</v>
      </c>
      <c r="F421">
        <v>130.88999999999999</v>
      </c>
      <c r="G421">
        <v>7</v>
      </c>
      <c r="H421">
        <v>18</v>
      </c>
      <c r="I421" t="s">
        <v>354</v>
      </c>
      <c r="J421" s="9">
        <f t="shared" si="6"/>
        <v>30020.485373999993</v>
      </c>
    </row>
    <row r="422" spans="1:10">
      <c r="A422" t="s">
        <v>776</v>
      </c>
      <c r="B422" s="2">
        <v>45876</v>
      </c>
      <c r="C422" t="s">
        <v>291</v>
      </c>
      <c r="D422" t="s">
        <v>79</v>
      </c>
      <c r="E422">
        <v>416</v>
      </c>
      <c r="F422">
        <v>46.47</v>
      </c>
      <c r="G422">
        <v>10</v>
      </c>
      <c r="H422">
        <v>18</v>
      </c>
      <c r="I422" t="s">
        <v>354</v>
      </c>
      <c r="J422" s="9">
        <f t="shared" si="6"/>
        <v>20530.074240000002</v>
      </c>
    </row>
    <row r="423" spans="1:10">
      <c r="A423" t="s">
        <v>777</v>
      </c>
      <c r="B423" s="2">
        <v>45876</v>
      </c>
      <c r="C423" t="s">
        <v>266</v>
      </c>
      <c r="D423" t="s">
        <v>84</v>
      </c>
      <c r="E423">
        <v>395</v>
      </c>
      <c r="F423">
        <v>741.01</v>
      </c>
      <c r="G423">
        <v>7</v>
      </c>
      <c r="H423">
        <v>18</v>
      </c>
      <c r="I423" t="s">
        <v>354</v>
      </c>
      <c r="J423" s="9">
        <f t="shared" si="6"/>
        <v>321207.82773000002</v>
      </c>
    </row>
    <row r="424" spans="1:10">
      <c r="A424" t="s">
        <v>778</v>
      </c>
      <c r="B424" s="2">
        <v>45877</v>
      </c>
      <c r="C424" t="s">
        <v>285</v>
      </c>
      <c r="D424" t="s">
        <v>73</v>
      </c>
      <c r="E424">
        <v>217</v>
      </c>
      <c r="F424">
        <v>441.61</v>
      </c>
      <c r="G424">
        <v>5</v>
      </c>
      <c r="H424">
        <v>18</v>
      </c>
      <c r="I424" t="s">
        <v>354</v>
      </c>
      <c r="J424" s="9">
        <f t="shared" si="6"/>
        <v>107424.72377</v>
      </c>
    </row>
    <row r="425" spans="1:10">
      <c r="A425" t="s">
        <v>779</v>
      </c>
      <c r="B425" s="2">
        <v>45877</v>
      </c>
      <c r="C425" t="s">
        <v>307</v>
      </c>
      <c r="D425" t="s">
        <v>65</v>
      </c>
      <c r="E425">
        <v>125</v>
      </c>
      <c r="F425">
        <v>191.06</v>
      </c>
      <c r="G425">
        <v>3</v>
      </c>
      <c r="H425">
        <v>18</v>
      </c>
      <c r="I425" t="s">
        <v>354</v>
      </c>
      <c r="J425" s="9">
        <f t="shared" si="6"/>
        <v>27335.909499999994</v>
      </c>
    </row>
    <row r="426" spans="1:10">
      <c r="A426" t="s">
        <v>780</v>
      </c>
      <c r="B426" s="2">
        <v>45877</v>
      </c>
      <c r="C426" t="s">
        <v>285</v>
      </c>
      <c r="D426" t="s">
        <v>70</v>
      </c>
      <c r="E426">
        <v>245</v>
      </c>
      <c r="F426">
        <v>239.46</v>
      </c>
      <c r="G426">
        <v>0</v>
      </c>
      <c r="H426">
        <v>18</v>
      </c>
      <c r="I426" t="s">
        <v>354</v>
      </c>
      <c r="J426" s="9">
        <f t="shared" si="6"/>
        <v>69227.885999999999</v>
      </c>
    </row>
    <row r="427" spans="1:10">
      <c r="A427" t="s">
        <v>781</v>
      </c>
      <c r="B427" s="2">
        <v>45877</v>
      </c>
      <c r="C427" t="s">
        <v>295</v>
      </c>
      <c r="D427" t="s">
        <v>61</v>
      </c>
      <c r="E427">
        <v>693</v>
      </c>
      <c r="F427">
        <v>687.09</v>
      </c>
      <c r="G427">
        <v>0</v>
      </c>
      <c r="H427">
        <v>18</v>
      </c>
      <c r="I427" t="s">
        <v>354</v>
      </c>
      <c r="J427" s="9">
        <f t="shared" si="6"/>
        <v>561860.97659999994</v>
      </c>
    </row>
    <row r="428" spans="1:10">
      <c r="A428" t="s">
        <v>782</v>
      </c>
      <c r="B428" s="2">
        <v>45878</v>
      </c>
      <c r="C428" t="s">
        <v>307</v>
      </c>
      <c r="D428" t="s">
        <v>87</v>
      </c>
      <c r="E428">
        <v>176</v>
      </c>
      <c r="F428">
        <v>124.43</v>
      </c>
      <c r="G428">
        <v>0</v>
      </c>
      <c r="H428">
        <v>18</v>
      </c>
      <c r="I428" t="s">
        <v>354</v>
      </c>
      <c r="J428" s="9">
        <f t="shared" si="6"/>
        <v>25841.6224</v>
      </c>
    </row>
    <row r="429" spans="1:10">
      <c r="A429" t="s">
        <v>783</v>
      </c>
      <c r="B429" s="2">
        <v>45879</v>
      </c>
      <c r="C429" t="s">
        <v>287</v>
      </c>
      <c r="D429" t="s">
        <v>73</v>
      </c>
      <c r="E429">
        <v>157</v>
      </c>
      <c r="F429">
        <v>451.96</v>
      </c>
      <c r="G429">
        <v>3</v>
      </c>
      <c r="H429">
        <v>18</v>
      </c>
      <c r="I429" t="s">
        <v>354</v>
      </c>
      <c r="J429" s="9">
        <f t="shared" si="6"/>
        <v>81218.206311999995</v>
      </c>
    </row>
    <row r="430" spans="1:10">
      <c r="A430" t="s">
        <v>784</v>
      </c>
      <c r="B430" s="2">
        <v>45879</v>
      </c>
      <c r="C430" t="s">
        <v>325</v>
      </c>
      <c r="D430" t="s">
        <v>99</v>
      </c>
      <c r="E430">
        <v>53</v>
      </c>
      <c r="F430">
        <v>209.89</v>
      </c>
      <c r="G430">
        <v>2</v>
      </c>
      <c r="H430">
        <v>18</v>
      </c>
      <c r="I430" t="s">
        <v>354</v>
      </c>
      <c r="J430" s="9">
        <f t="shared" si="6"/>
        <v>12863.990187999998</v>
      </c>
    </row>
    <row r="431" spans="1:10">
      <c r="A431" t="s">
        <v>785</v>
      </c>
      <c r="B431" s="2">
        <v>45880</v>
      </c>
      <c r="C431" t="s">
        <v>327</v>
      </c>
      <c r="D431" t="s">
        <v>117</v>
      </c>
      <c r="E431">
        <v>348</v>
      </c>
      <c r="F431">
        <v>18.02</v>
      </c>
      <c r="G431">
        <v>0</v>
      </c>
      <c r="H431">
        <v>12</v>
      </c>
      <c r="I431" t="s">
        <v>354</v>
      </c>
      <c r="J431" s="9">
        <f t="shared" si="6"/>
        <v>7023.4752000000008</v>
      </c>
    </row>
    <row r="432" spans="1:10">
      <c r="A432" t="s">
        <v>786</v>
      </c>
      <c r="B432" s="2">
        <v>45881</v>
      </c>
      <c r="C432" t="s">
        <v>344</v>
      </c>
      <c r="D432" t="s">
        <v>104</v>
      </c>
      <c r="E432">
        <v>138</v>
      </c>
      <c r="F432">
        <v>180.05</v>
      </c>
      <c r="G432">
        <v>0</v>
      </c>
      <c r="H432">
        <v>18</v>
      </c>
      <c r="I432" t="s">
        <v>365</v>
      </c>
      <c r="J432" s="9">
        <f t="shared" si="6"/>
        <v>29319.342000000001</v>
      </c>
    </row>
    <row r="433" spans="1:10">
      <c r="A433" t="s">
        <v>787</v>
      </c>
      <c r="B433" s="2">
        <v>45881</v>
      </c>
      <c r="C433" t="s">
        <v>320</v>
      </c>
      <c r="D433" t="s">
        <v>104</v>
      </c>
      <c r="E433">
        <v>337</v>
      </c>
      <c r="F433">
        <v>204.35</v>
      </c>
      <c r="G433">
        <v>7</v>
      </c>
      <c r="H433">
        <v>18</v>
      </c>
      <c r="I433" t="s">
        <v>354</v>
      </c>
      <c r="J433" s="9">
        <f t="shared" si="6"/>
        <v>75573.493529999992</v>
      </c>
    </row>
    <row r="434" spans="1:10">
      <c r="A434" t="s">
        <v>788</v>
      </c>
      <c r="B434" s="2">
        <v>45883</v>
      </c>
      <c r="C434" t="s">
        <v>325</v>
      </c>
      <c r="D434" t="s">
        <v>99</v>
      </c>
      <c r="E434">
        <v>431</v>
      </c>
      <c r="F434">
        <v>197.55</v>
      </c>
      <c r="G434">
        <v>5</v>
      </c>
      <c r="H434">
        <v>18</v>
      </c>
      <c r="I434" t="s">
        <v>354</v>
      </c>
      <c r="J434" s="9">
        <f t="shared" si="6"/>
        <v>95446.480049999998</v>
      </c>
    </row>
    <row r="435" spans="1:10">
      <c r="A435" t="s">
        <v>789</v>
      </c>
      <c r="B435" s="2">
        <v>45883</v>
      </c>
      <c r="C435" t="s">
        <v>287</v>
      </c>
      <c r="D435" t="s">
        <v>93</v>
      </c>
      <c r="E435">
        <v>139</v>
      </c>
      <c r="F435">
        <v>1486.9</v>
      </c>
      <c r="G435">
        <v>0</v>
      </c>
      <c r="H435">
        <v>18</v>
      </c>
      <c r="I435" t="s">
        <v>354</v>
      </c>
      <c r="J435" s="9">
        <f t="shared" si="6"/>
        <v>243881.33799999999</v>
      </c>
    </row>
    <row r="436" spans="1:10">
      <c r="A436" t="s">
        <v>790</v>
      </c>
      <c r="B436" s="2">
        <v>45884</v>
      </c>
      <c r="C436" t="s">
        <v>310</v>
      </c>
      <c r="D436" t="s">
        <v>70</v>
      </c>
      <c r="E436">
        <v>652</v>
      </c>
      <c r="F436">
        <v>249.01</v>
      </c>
      <c r="G436">
        <v>0</v>
      </c>
      <c r="H436">
        <v>18</v>
      </c>
      <c r="I436" t="s">
        <v>365</v>
      </c>
      <c r="J436" s="9">
        <f t="shared" si="6"/>
        <v>191578.33359999998</v>
      </c>
    </row>
    <row r="437" spans="1:10">
      <c r="A437" t="s">
        <v>791</v>
      </c>
      <c r="B437" s="2">
        <v>45884</v>
      </c>
      <c r="C437" t="s">
        <v>283</v>
      </c>
      <c r="D437" t="s">
        <v>70</v>
      </c>
      <c r="E437">
        <v>438</v>
      </c>
      <c r="F437">
        <v>245.62</v>
      </c>
      <c r="G437">
        <v>7</v>
      </c>
      <c r="H437">
        <v>18</v>
      </c>
      <c r="I437" t="s">
        <v>354</v>
      </c>
      <c r="J437" s="9">
        <f t="shared" si="6"/>
        <v>118060.00394399998</v>
      </c>
    </row>
    <row r="438" spans="1:10">
      <c r="A438" t="s">
        <v>792</v>
      </c>
      <c r="B438" s="2">
        <v>45887</v>
      </c>
      <c r="C438" t="s">
        <v>344</v>
      </c>
      <c r="D438" t="s">
        <v>95</v>
      </c>
      <c r="E438">
        <v>240</v>
      </c>
      <c r="F438">
        <v>246.17</v>
      </c>
      <c r="G438">
        <v>2</v>
      </c>
      <c r="H438">
        <v>18</v>
      </c>
      <c r="I438" t="s">
        <v>354</v>
      </c>
      <c r="J438" s="9">
        <f t="shared" si="6"/>
        <v>68321.037119999994</v>
      </c>
    </row>
    <row r="439" spans="1:10">
      <c r="A439" t="s">
        <v>793</v>
      </c>
      <c r="B439" s="2">
        <v>45887</v>
      </c>
      <c r="C439" t="s">
        <v>317</v>
      </c>
      <c r="D439" t="s">
        <v>91</v>
      </c>
      <c r="E439">
        <v>139</v>
      </c>
      <c r="F439">
        <v>479.49</v>
      </c>
      <c r="G439">
        <v>2</v>
      </c>
      <c r="H439">
        <v>18</v>
      </c>
      <c r="I439" t="s">
        <v>354</v>
      </c>
      <c r="J439" s="9">
        <f t="shared" si="6"/>
        <v>77073.030803999995</v>
      </c>
    </row>
    <row r="440" spans="1:10">
      <c r="A440" t="s">
        <v>794</v>
      </c>
      <c r="B440" s="2">
        <v>45887</v>
      </c>
      <c r="C440" t="s">
        <v>278</v>
      </c>
      <c r="D440" t="s">
        <v>108</v>
      </c>
      <c r="E440">
        <v>150</v>
      </c>
      <c r="F440">
        <v>34.57</v>
      </c>
      <c r="G440">
        <v>2</v>
      </c>
      <c r="H440">
        <v>18</v>
      </c>
      <c r="I440" t="s">
        <v>365</v>
      </c>
      <c r="J440" s="9">
        <f t="shared" si="6"/>
        <v>5996.5121999999992</v>
      </c>
    </row>
    <row r="441" spans="1:10">
      <c r="A441" t="s">
        <v>795</v>
      </c>
      <c r="B441" s="2">
        <v>45887</v>
      </c>
      <c r="C441" t="s">
        <v>336</v>
      </c>
      <c r="D441" t="s">
        <v>117</v>
      </c>
      <c r="E441">
        <v>275</v>
      </c>
      <c r="F441">
        <v>17.510000000000002</v>
      </c>
      <c r="G441">
        <v>7</v>
      </c>
      <c r="H441">
        <v>12</v>
      </c>
      <c r="I441" t="s">
        <v>354</v>
      </c>
      <c r="J441" s="9">
        <f t="shared" si="6"/>
        <v>5015.5644000000002</v>
      </c>
    </row>
    <row r="442" spans="1:10">
      <c r="A442" t="s">
        <v>796</v>
      </c>
      <c r="B442" s="2">
        <v>45888</v>
      </c>
      <c r="C442" t="s">
        <v>327</v>
      </c>
      <c r="D442" t="s">
        <v>114</v>
      </c>
      <c r="E442">
        <v>241</v>
      </c>
      <c r="F442">
        <v>69.13</v>
      </c>
      <c r="G442">
        <v>3</v>
      </c>
      <c r="H442">
        <v>12</v>
      </c>
      <c r="I442" t="s">
        <v>354</v>
      </c>
      <c r="J442" s="9">
        <f t="shared" si="6"/>
        <v>18099.782511999998</v>
      </c>
    </row>
    <row r="443" spans="1:10">
      <c r="A443" t="s">
        <v>797</v>
      </c>
      <c r="B443" s="2">
        <v>45888</v>
      </c>
      <c r="C443" t="s">
        <v>314</v>
      </c>
      <c r="D443" t="s">
        <v>91</v>
      </c>
      <c r="E443">
        <v>223</v>
      </c>
      <c r="F443">
        <v>456.9</v>
      </c>
      <c r="G443">
        <v>2</v>
      </c>
      <c r="H443">
        <v>18</v>
      </c>
      <c r="I443" t="s">
        <v>354</v>
      </c>
      <c r="J443" s="9">
        <f t="shared" si="6"/>
        <v>117824.09267999999</v>
      </c>
    </row>
    <row r="444" spans="1:10">
      <c r="A444" t="s">
        <v>798</v>
      </c>
      <c r="B444" s="2">
        <v>45889</v>
      </c>
      <c r="C444" t="s">
        <v>322</v>
      </c>
      <c r="D444" t="s">
        <v>95</v>
      </c>
      <c r="E444">
        <v>510</v>
      </c>
      <c r="F444">
        <v>280.14</v>
      </c>
      <c r="G444">
        <v>2</v>
      </c>
      <c r="H444">
        <v>18</v>
      </c>
      <c r="I444" t="s">
        <v>354</v>
      </c>
      <c r="J444" s="9">
        <f t="shared" si="6"/>
        <v>165216.48695999998</v>
      </c>
    </row>
    <row r="445" spans="1:10">
      <c r="A445" t="s">
        <v>799</v>
      </c>
      <c r="B445" s="2">
        <v>45889</v>
      </c>
      <c r="C445" t="s">
        <v>271</v>
      </c>
      <c r="D445" t="s">
        <v>87</v>
      </c>
      <c r="E445">
        <v>244</v>
      </c>
      <c r="F445">
        <v>127.29</v>
      </c>
      <c r="G445">
        <v>0</v>
      </c>
      <c r="H445">
        <v>18</v>
      </c>
      <c r="I445" t="s">
        <v>359</v>
      </c>
      <c r="J445" s="9">
        <f t="shared" si="6"/>
        <v>36649.336799999997</v>
      </c>
    </row>
    <row r="446" spans="1:10">
      <c r="A446" t="s">
        <v>800</v>
      </c>
      <c r="B446" s="2">
        <v>45889</v>
      </c>
      <c r="C446" t="s">
        <v>302</v>
      </c>
      <c r="D446" t="s">
        <v>106</v>
      </c>
      <c r="E446">
        <v>205</v>
      </c>
      <c r="F446">
        <v>345.82</v>
      </c>
      <c r="G446">
        <v>10</v>
      </c>
      <c r="H446">
        <v>18</v>
      </c>
      <c r="I446" t="s">
        <v>354</v>
      </c>
      <c r="J446" s="9">
        <f t="shared" si="6"/>
        <v>75288.472200000004</v>
      </c>
    </row>
    <row r="447" spans="1:10">
      <c r="A447" t="s">
        <v>801</v>
      </c>
      <c r="B447" s="2">
        <v>45889</v>
      </c>
      <c r="C447" t="s">
        <v>336</v>
      </c>
      <c r="D447" t="s">
        <v>119</v>
      </c>
      <c r="E447">
        <v>310</v>
      </c>
      <c r="F447">
        <v>32</v>
      </c>
      <c r="G447">
        <v>0</v>
      </c>
      <c r="H447">
        <v>12</v>
      </c>
      <c r="I447" t="s">
        <v>354</v>
      </c>
      <c r="J447" s="9">
        <f t="shared" si="6"/>
        <v>11110.400000000001</v>
      </c>
    </row>
    <row r="448" spans="1:10">
      <c r="A448" t="s">
        <v>802</v>
      </c>
      <c r="B448" s="2">
        <v>45889</v>
      </c>
      <c r="C448" t="s">
        <v>322</v>
      </c>
      <c r="D448" t="s">
        <v>91</v>
      </c>
      <c r="E448">
        <v>279</v>
      </c>
      <c r="F448">
        <v>501.2</v>
      </c>
      <c r="G448">
        <v>2</v>
      </c>
      <c r="H448">
        <v>18</v>
      </c>
      <c r="I448" t="s">
        <v>354</v>
      </c>
      <c r="J448" s="9">
        <f t="shared" si="6"/>
        <v>161704.96271999998</v>
      </c>
    </row>
    <row r="449" spans="1:10">
      <c r="A449" t="s">
        <v>803</v>
      </c>
      <c r="B449" s="2">
        <v>45891</v>
      </c>
      <c r="C449" t="s">
        <v>280</v>
      </c>
      <c r="D449" t="s">
        <v>73</v>
      </c>
      <c r="E449">
        <v>308</v>
      </c>
      <c r="F449">
        <v>410.72</v>
      </c>
      <c r="G449">
        <v>0</v>
      </c>
      <c r="H449">
        <v>18</v>
      </c>
      <c r="I449" t="s">
        <v>354</v>
      </c>
      <c r="J449" s="9">
        <f t="shared" si="6"/>
        <v>149272.07680000001</v>
      </c>
    </row>
    <row r="450" spans="1:10">
      <c r="A450" t="s">
        <v>804</v>
      </c>
      <c r="B450" s="2">
        <v>45891</v>
      </c>
      <c r="C450" t="s">
        <v>317</v>
      </c>
      <c r="D450" t="s">
        <v>104</v>
      </c>
      <c r="E450">
        <v>210</v>
      </c>
      <c r="F450">
        <v>196.97</v>
      </c>
      <c r="G450">
        <v>10</v>
      </c>
      <c r="H450">
        <v>18</v>
      </c>
      <c r="I450" t="s">
        <v>354</v>
      </c>
      <c r="J450" s="9">
        <f t="shared" si="6"/>
        <v>43928.249400000001</v>
      </c>
    </row>
    <row r="451" spans="1:10">
      <c r="A451" t="s">
        <v>805</v>
      </c>
      <c r="B451" s="2">
        <v>45891</v>
      </c>
      <c r="C451" t="s">
        <v>302</v>
      </c>
      <c r="D451" t="s">
        <v>77</v>
      </c>
      <c r="E451">
        <v>116</v>
      </c>
      <c r="F451">
        <v>103.44</v>
      </c>
      <c r="G451">
        <v>0</v>
      </c>
      <c r="H451">
        <v>18</v>
      </c>
      <c r="I451" t="s">
        <v>354</v>
      </c>
      <c r="J451" s="9">
        <f t="shared" ref="J451:J514" si="7">E451*F451*(1-G451/100)*(1+H451/100)</f>
        <v>14158.867199999999</v>
      </c>
    </row>
    <row r="452" spans="1:10">
      <c r="A452" t="s">
        <v>806</v>
      </c>
      <c r="B452" s="2">
        <v>45892</v>
      </c>
      <c r="C452" t="s">
        <v>302</v>
      </c>
      <c r="D452" t="s">
        <v>77</v>
      </c>
      <c r="E452">
        <v>867</v>
      </c>
      <c r="F452">
        <v>117.55</v>
      </c>
      <c r="G452">
        <v>7</v>
      </c>
      <c r="H452">
        <v>18</v>
      </c>
      <c r="I452" t="s">
        <v>354</v>
      </c>
      <c r="J452" s="9">
        <f t="shared" si="7"/>
        <v>111842.45378999997</v>
      </c>
    </row>
    <row r="453" spans="1:10">
      <c r="A453" t="s">
        <v>807</v>
      </c>
      <c r="B453" s="2">
        <v>45892</v>
      </c>
      <c r="C453" t="s">
        <v>307</v>
      </c>
      <c r="D453" t="s">
        <v>108</v>
      </c>
      <c r="E453">
        <v>175</v>
      </c>
      <c r="F453">
        <v>35.17</v>
      </c>
      <c r="G453">
        <v>0</v>
      </c>
      <c r="H453">
        <v>18</v>
      </c>
      <c r="I453" t="s">
        <v>354</v>
      </c>
      <c r="J453" s="9">
        <f t="shared" si="7"/>
        <v>7262.6049999999996</v>
      </c>
    </row>
    <row r="454" spans="1:10">
      <c r="A454" t="s">
        <v>808</v>
      </c>
      <c r="B454" s="2">
        <v>45893</v>
      </c>
      <c r="C454" t="s">
        <v>307</v>
      </c>
      <c r="D454" t="s">
        <v>68</v>
      </c>
      <c r="E454">
        <v>428</v>
      </c>
      <c r="F454">
        <v>308.89999999999998</v>
      </c>
      <c r="G454">
        <v>0</v>
      </c>
      <c r="H454">
        <v>18</v>
      </c>
      <c r="I454" t="s">
        <v>354</v>
      </c>
      <c r="J454" s="9">
        <f t="shared" si="7"/>
        <v>156006.85599999997</v>
      </c>
    </row>
    <row r="455" spans="1:10">
      <c r="A455" t="s">
        <v>809</v>
      </c>
      <c r="B455" s="2">
        <v>45894</v>
      </c>
      <c r="C455" t="s">
        <v>332</v>
      </c>
      <c r="D455" t="s">
        <v>110</v>
      </c>
      <c r="E455">
        <v>118</v>
      </c>
      <c r="F455">
        <v>57.73</v>
      </c>
      <c r="G455">
        <v>2</v>
      </c>
      <c r="H455">
        <v>18</v>
      </c>
      <c r="I455" t="s">
        <v>354</v>
      </c>
      <c r="J455" s="9">
        <f t="shared" si="7"/>
        <v>7877.5586959999991</v>
      </c>
    </row>
    <row r="456" spans="1:10">
      <c r="A456" t="s">
        <v>810</v>
      </c>
      <c r="B456" s="2">
        <v>45894</v>
      </c>
      <c r="C456" t="s">
        <v>322</v>
      </c>
      <c r="D456" t="s">
        <v>95</v>
      </c>
      <c r="E456">
        <v>344</v>
      </c>
      <c r="F456">
        <v>268.14999999999998</v>
      </c>
      <c r="G456">
        <v>5</v>
      </c>
      <c r="H456">
        <v>18</v>
      </c>
      <c r="I456" t="s">
        <v>354</v>
      </c>
      <c r="J456" s="9">
        <f t="shared" si="7"/>
        <v>103405.07559999998</v>
      </c>
    </row>
    <row r="457" spans="1:10">
      <c r="A457" t="s">
        <v>811</v>
      </c>
      <c r="B457" s="2">
        <v>45894</v>
      </c>
      <c r="C457" t="s">
        <v>310</v>
      </c>
      <c r="D457" t="s">
        <v>93</v>
      </c>
      <c r="E457">
        <v>68</v>
      </c>
      <c r="F457">
        <v>1457.33</v>
      </c>
      <c r="G457">
        <v>0</v>
      </c>
      <c r="H457">
        <v>18</v>
      </c>
      <c r="I457" t="s">
        <v>354</v>
      </c>
      <c r="J457" s="9">
        <f t="shared" si="7"/>
        <v>116936.15919999999</v>
      </c>
    </row>
    <row r="458" spans="1:10">
      <c r="A458" t="s">
        <v>812</v>
      </c>
      <c r="B458" s="2">
        <v>45895</v>
      </c>
      <c r="C458" t="s">
        <v>336</v>
      </c>
      <c r="D458" t="s">
        <v>114</v>
      </c>
      <c r="E458">
        <v>187</v>
      </c>
      <c r="F458">
        <v>62.98</v>
      </c>
      <c r="G458">
        <v>0</v>
      </c>
      <c r="H458">
        <v>12</v>
      </c>
      <c r="I458" t="s">
        <v>354</v>
      </c>
      <c r="J458" s="9">
        <f t="shared" si="7"/>
        <v>13190.531200000001</v>
      </c>
    </row>
    <row r="459" spans="1:10">
      <c r="A459" t="s">
        <v>813</v>
      </c>
      <c r="B459" s="2">
        <v>45895</v>
      </c>
      <c r="C459" t="s">
        <v>305</v>
      </c>
      <c r="D459" t="s">
        <v>75</v>
      </c>
      <c r="E459">
        <v>459</v>
      </c>
      <c r="F459">
        <v>81.430000000000007</v>
      </c>
      <c r="G459">
        <v>3</v>
      </c>
      <c r="H459">
        <v>18</v>
      </c>
      <c r="I459" t="s">
        <v>354</v>
      </c>
      <c r="J459" s="9">
        <f t="shared" si="7"/>
        <v>42780.993102</v>
      </c>
    </row>
    <row r="460" spans="1:10">
      <c r="A460" t="s">
        <v>814</v>
      </c>
      <c r="B460" s="2">
        <v>45896</v>
      </c>
      <c r="C460" t="s">
        <v>293</v>
      </c>
      <c r="D460" t="s">
        <v>104</v>
      </c>
      <c r="E460">
        <v>259</v>
      </c>
      <c r="F460">
        <v>193.07</v>
      </c>
      <c r="G460">
        <v>0</v>
      </c>
      <c r="H460">
        <v>18</v>
      </c>
      <c r="I460" t="s">
        <v>354</v>
      </c>
      <c r="J460" s="9">
        <f t="shared" si="7"/>
        <v>59006.053399999997</v>
      </c>
    </row>
    <row r="461" spans="1:10">
      <c r="A461" t="s">
        <v>815</v>
      </c>
      <c r="B461" s="2">
        <v>45898</v>
      </c>
      <c r="C461" t="s">
        <v>285</v>
      </c>
      <c r="D461" t="s">
        <v>70</v>
      </c>
      <c r="E461">
        <v>668</v>
      </c>
      <c r="F461">
        <v>231.94</v>
      </c>
      <c r="G461">
        <v>3</v>
      </c>
      <c r="H461">
        <v>18</v>
      </c>
      <c r="I461" t="s">
        <v>359</v>
      </c>
      <c r="J461" s="9">
        <f t="shared" si="7"/>
        <v>177339.65403199999</v>
      </c>
    </row>
    <row r="462" spans="1:10">
      <c r="A462" t="s">
        <v>816</v>
      </c>
      <c r="B462" s="2">
        <v>45898</v>
      </c>
      <c r="C462" t="s">
        <v>342</v>
      </c>
      <c r="D462" t="s">
        <v>114</v>
      </c>
      <c r="E462">
        <v>359</v>
      </c>
      <c r="F462">
        <v>62.88</v>
      </c>
      <c r="G462">
        <v>7</v>
      </c>
      <c r="H462">
        <v>12</v>
      </c>
      <c r="I462" t="s">
        <v>354</v>
      </c>
      <c r="J462" s="9">
        <f t="shared" si="7"/>
        <v>23512.995072000005</v>
      </c>
    </row>
    <row r="463" spans="1:10">
      <c r="A463" t="s">
        <v>817</v>
      </c>
      <c r="B463" s="2">
        <v>45899</v>
      </c>
      <c r="C463" t="s">
        <v>266</v>
      </c>
      <c r="D463" t="s">
        <v>77</v>
      </c>
      <c r="E463">
        <v>474</v>
      </c>
      <c r="F463">
        <v>112.77</v>
      </c>
      <c r="G463">
        <v>2</v>
      </c>
      <c r="H463">
        <v>18</v>
      </c>
      <c r="I463" t="s">
        <v>354</v>
      </c>
      <c r="J463" s="9">
        <f t="shared" si="7"/>
        <v>61813.026071999993</v>
      </c>
    </row>
    <row r="464" spans="1:10">
      <c r="A464" t="s">
        <v>818</v>
      </c>
      <c r="B464" s="2">
        <v>45901</v>
      </c>
      <c r="C464" t="s">
        <v>298</v>
      </c>
      <c r="D464" t="s">
        <v>81</v>
      </c>
      <c r="E464">
        <v>222</v>
      </c>
      <c r="F464">
        <v>71.25</v>
      </c>
      <c r="G464">
        <v>5</v>
      </c>
      <c r="H464">
        <v>18</v>
      </c>
      <c r="I464" t="s">
        <v>354</v>
      </c>
      <c r="J464" s="9">
        <f t="shared" si="7"/>
        <v>17731.4175</v>
      </c>
    </row>
    <row r="465" spans="1:10">
      <c r="A465" t="s">
        <v>819</v>
      </c>
      <c r="B465" s="2">
        <v>45902</v>
      </c>
      <c r="C465" t="s">
        <v>327</v>
      </c>
      <c r="D465" t="s">
        <v>117</v>
      </c>
      <c r="E465">
        <v>309</v>
      </c>
      <c r="F465">
        <v>18.350000000000001</v>
      </c>
      <c r="G465">
        <v>5</v>
      </c>
      <c r="H465">
        <v>12</v>
      </c>
      <c r="I465" t="s">
        <v>354</v>
      </c>
      <c r="J465" s="9">
        <f t="shared" si="7"/>
        <v>6033.0396000000001</v>
      </c>
    </row>
    <row r="466" spans="1:10">
      <c r="A466" t="s">
        <v>820</v>
      </c>
      <c r="B466" s="2">
        <v>45902</v>
      </c>
      <c r="C466" t="s">
        <v>314</v>
      </c>
      <c r="D466" t="s">
        <v>84</v>
      </c>
      <c r="E466">
        <v>543</v>
      </c>
      <c r="F466">
        <v>738.94</v>
      </c>
      <c r="G466">
        <v>2</v>
      </c>
      <c r="H466">
        <v>18</v>
      </c>
      <c r="I466" t="s">
        <v>365</v>
      </c>
      <c r="J466" s="9">
        <f t="shared" si="7"/>
        <v>463999.047288</v>
      </c>
    </row>
    <row r="467" spans="1:10">
      <c r="A467" t="s">
        <v>821</v>
      </c>
      <c r="B467" s="2">
        <v>45902</v>
      </c>
      <c r="C467" t="s">
        <v>285</v>
      </c>
      <c r="D467" t="s">
        <v>89</v>
      </c>
      <c r="E467">
        <v>330</v>
      </c>
      <c r="F467">
        <v>95.11</v>
      </c>
      <c r="G467">
        <v>5</v>
      </c>
      <c r="H467">
        <v>18</v>
      </c>
      <c r="I467" t="s">
        <v>354</v>
      </c>
      <c r="J467" s="9">
        <f t="shared" si="7"/>
        <v>35184.042299999994</v>
      </c>
    </row>
    <row r="468" spans="1:10">
      <c r="A468" t="s">
        <v>822</v>
      </c>
      <c r="B468" s="2">
        <v>45902</v>
      </c>
      <c r="C468" t="s">
        <v>339</v>
      </c>
      <c r="D468" t="s">
        <v>119</v>
      </c>
      <c r="E468">
        <v>95</v>
      </c>
      <c r="F468">
        <v>33.53</v>
      </c>
      <c r="G468">
        <v>5</v>
      </c>
      <c r="H468">
        <v>12</v>
      </c>
      <c r="I468" t="s">
        <v>354</v>
      </c>
      <c r="J468" s="9">
        <f t="shared" si="7"/>
        <v>3389.2124000000003</v>
      </c>
    </row>
    <row r="469" spans="1:10">
      <c r="A469" t="s">
        <v>823</v>
      </c>
      <c r="B469" s="2">
        <v>45903</v>
      </c>
      <c r="C469" t="s">
        <v>278</v>
      </c>
      <c r="D469" t="s">
        <v>87</v>
      </c>
      <c r="E469">
        <v>286</v>
      </c>
      <c r="F469">
        <v>122.42</v>
      </c>
      <c r="G469">
        <v>5</v>
      </c>
      <c r="H469">
        <v>18</v>
      </c>
      <c r="I469" t="s">
        <v>354</v>
      </c>
      <c r="J469" s="9">
        <f t="shared" si="7"/>
        <v>39248.586520000004</v>
      </c>
    </row>
    <row r="470" spans="1:10">
      <c r="A470" t="s">
        <v>824</v>
      </c>
      <c r="B470" s="2">
        <v>45903</v>
      </c>
      <c r="C470" t="s">
        <v>330</v>
      </c>
      <c r="D470" t="s">
        <v>106</v>
      </c>
      <c r="E470">
        <v>218</v>
      </c>
      <c r="F470">
        <v>330.58</v>
      </c>
      <c r="G470">
        <v>7</v>
      </c>
      <c r="H470">
        <v>18</v>
      </c>
      <c r="I470" t="s">
        <v>354</v>
      </c>
      <c r="J470" s="9">
        <f t="shared" si="7"/>
        <v>79085.711255999995</v>
      </c>
    </row>
    <row r="471" spans="1:10">
      <c r="A471" t="s">
        <v>825</v>
      </c>
      <c r="B471" s="2">
        <v>45904</v>
      </c>
      <c r="C471" t="s">
        <v>274</v>
      </c>
      <c r="D471" t="s">
        <v>87</v>
      </c>
      <c r="E471">
        <v>152</v>
      </c>
      <c r="F471">
        <v>123.45</v>
      </c>
      <c r="G471">
        <v>2</v>
      </c>
      <c r="H471">
        <v>18</v>
      </c>
      <c r="I471" t="s">
        <v>354</v>
      </c>
      <c r="J471" s="9">
        <f t="shared" si="7"/>
        <v>21699.152160000001</v>
      </c>
    </row>
    <row r="472" spans="1:10">
      <c r="A472" t="s">
        <v>826</v>
      </c>
      <c r="B472" s="2">
        <v>45904</v>
      </c>
      <c r="C472" t="s">
        <v>344</v>
      </c>
      <c r="D472" t="s">
        <v>95</v>
      </c>
      <c r="E472">
        <v>186</v>
      </c>
      <c r="F472">
        <v>274.05</v>
      </c>
      <c r="G472">
        <v>5</v>
      </c>
      <c r="H472">
        <v>18</v>
      </c>
      <c r="I472" t="s">
        <v>354</v>
      </c>
      <c r="J472" s="9">
        <f t="shared" si="7"/>
        <v>57141.069300000003</v>
      </c>
    </row>
    <row r="473" spans="1:10">
      <c r="A473" t="s">
        <v>827</v>
      </c>
      <c r="B473" s="2">
        <v>45904</v>
      </c>
      <c r="C473" t="s">
        <v>287</v>
      </c>
      <c r="D473" t="s">
        <v>73</v>
      </c>
      <c r="E473">
        <v>307</v>
      </c>
      <c r="F473">
        <v>448.33</v>
      </c>
      <c r="G473">
        <v>3</v>
      </c>
      <c r="H473">
        <v>18</v>
      </c>
      <c r="I473" t="s">
        <v>354</v>
      </c>
      <c r="J473" s="9">
        <f t="shared" si="7"/>
        <v>157539.665026</v>
      </c>
    </row>
    <row r="474" spans="1:10">
      <c r="A474" t="s">
        <v>828</v>
      </c>
      <c r="B474" s="2">
        <v>45906</v>
      </c>
      <c r="C474" t="s">
        <v>271</v>
      </c>
      <c r="D474" t="s">
        <v>65</v>
      </c>
      <c r="E474">
        <v>170</v>
      </c>
      <c r="F474">
        <v>194.38</v>
      </c>
      <c r="G474">
        <v>5</v>
      </c>
      <c r="H474">
        <v>18</v>
      </c>
      <c r="I474" t="s">
        <v>354</v>
      </c>
      <c r="J474" s="9">
        <f t="shared" si="7"/>
        <v>37042.996599999991</v>
      </c>
    </row>
    <row r="475" spans="1:10">
      <c r="A475" t="s">
        <v>829</v>
      </c>
      <c r="B475" s="2">
        <v>45906</v>
      </c>
      <c r="C475" t="s">
        <v>330</v>
      </c>
      <c r="D475" t="s">
        <v>95</v>
      </c>
      <c r="E475">
        <v>309</v>
      </c>
      <c r="F475">
        <v>256.64</v>
      </c>
      <c r="G475">
        <v>0</v>
      </c>
      <c r="H475">
        <v>18</v>
      </c>
      <c r="I475" t="s">
        <v>354</v>
      </c>
      <c r="J475" s="9">
        <f t="shared" si="7"/>
        <v>93576.076799999995</v>
      </c>
    </row>
    <row r="476" spans="1:10">
      <c r="A476" t="s">
        <v>830</v>
      </c>
      <c r="B476" s="2">
        <v>45906</v>
      </c>
      <c r="C476" t="s">
        <v>280</v>
      </c>
      <c r="D476" t="s">
        <v>89</v>
      </c>
      <c r="E476">
        <v>326</v>
      </c>
      <c r="F476">
        <v>89.98</v>
      </c>
      <c r="G476">
        <v>2</v>
      </c>
      <c r="H476">
        <v>18</v>
      </c>
      <c r="I476" t="s">
        <v>354</v>
      </c>
      <c r="J476" s="9">
        <f t="shared" si="7"/>
        <v>33921.236271999995</v>
      </c>
    </row>
    <row r="477" spans="1:10">
      <c r="A477" t="s">
        <v>831</v>
      </c>
      <c r="B477" s="2">
        <v>45906</v>
      </c>
      <c r="C477" t="s">
        <v>314</v>
      </c>
      <c r="D477" t="s">
        <v>91</v>
      </c>
      <c r="E477">
        <v>446</v>
      </c>
      <c r="F477">
        <v>494.64</v>
      </c>
      <c r="G477">
        <v>7</v>
      </c>
      <c r="H477">
        <v>18</v>
      </c>
      <c r="I477" t="s">
        <v>354</v>
      </c>
      <c r="J477" s="9">
        <f t="shared" si="7"/>
        <v>242096.79945599998</v>
      </c>
    </row>
    <row r="478" spans="1:10">
      <c r="A478" t="s">
        <v>832</v>
      </c>
      <c r="B478" s="2">
        <v>45907</v>
      </c>
      <c r="C478" t="s">
        <v>320</v>
      </c>
      <c r="D478" t="s">
        <v>95</v>
      </c>
      <c r="E478">
        <v>137</v>
      </c>
      <c r="F478">
        <v>247.1</v>
      </c>
      <c r="G478">
        <v>2</v>
      </c>
      <c r="H478">
        <v>18</v>
      </c>
      <c r="I478" t="s">
        <v>354</v>
      </c>
      <c r="J478" s="9">
        <f t="shared" si="7"/>
        <v>39147.262279999988</v>
      </c>
    </row>
    <row r="479" spans="1:10">
      <c r="A479" t="s">
        <v>833</v>
      </c>
      <c r="B479" s="2">
        <v>45907</v>
      </c>
      <c r="C479" t="s">
        <v>305</v>
      </c>
      <c r="D479" t="s">
        <v>104</v>
      </c>
      <c r="E479">
        <v>83</v>
      </c>
      <c r="F479">
        <v>205.17</v>
      </c>
      <c r="G479">
        <v>0</v>
      </c>
      <c r="H479">
        <v>18</v>
      </c>
      <c r="I479" t="s">
        <v>354</v>
      </c>
      <c r="J479" s="9">
        <f t="shared" si="7"/>
        <v>20094.3498</v>
      </c>
    </row>
    <row r="480" spans="1:10">
      <c r="A480" t="s">
        <v>834</v>
      </c>
      <c r="B480" s="2">
        <v>45908</v>
      </c>
      <c r="C480" t="s">
        <v>291</v>
      </c>
      <c r="D480" t="s">
        <v>104</v>
      </c>
      <c r="E480">
        <v>90</v>
      </c>
      <c r="F480">
        <v>203.52</v>
      </c>
      <c r="G480">
        <v>5</v>
      </c>
      <c r="H480">
        <v>18</v>
      </c>
      <c r="I480" t="s">
        <v>354</v>
      </c>
      <c r="J480" s="9">
        <f t="shared" si="7"/>
        <v>20533.132799999999</v>
      </c>
    </row>
    <row r="481" spans="1:10">
      <c r="A481" t="s">
        <v>835</v>
      </c>
      <c r="B481" s="2">
        <v>45909</v>
      </c>
      <c r="C481" t="s">
        <v>339</v>
      </c>
      <c r="D481" t="s">
        <v>117</v>
      </c>
      <c r="E481">
        <v>471</v>
      </c>
      <c r="F481">
        <v>17.18</v>
      </c>
      <c r="G481">
        <v>0</v>
      </c>
      <c r="H481">
        <v>12</v>
      </c>
      <c r="I481" t="s">
        <v>365</v>
      </c>
      <c r="J481" s="9">
        <f t="shared" si="7"/>
        <v>9062.7936000000009</v>
      </c>
    </row>
    <row r="482" spans="1:10">
      <c r="A482" t="s">
        <v>836</v>
      </c>
      <c r="B482" s="2">
        <v>45910</v>
      </c>
      <c r="C482" t="s">
        <v>283</v>
      </c>
      <c r="D482" t="s">
        <v>70</v>
      </c>
      <c r="E482">
        <v>247</v>
      </c>
      <c r="F482">
        <v>234.4</v>
      </c>
      <c r="G482">
        <v>2</v>
      </c>
      <c r="H482">
        <v>18</v>
      </c>
      <c r="I482" t="s">
        <v>354</v>
      </c>
      <c r="J482" s="9">
        <f t="shared" si="7"/>
        <v>66951.859519999998</v>
      </c>
    </row>
    <row r="483" spans="1:10">
      <c r="A483" t="s">
        <v>837</v>
      </c>
      <c r="B483" s="2">
        <v>45910</v>
      </c>
      <c r="C483" t="s">
        <v>317</v>
      </c>
      <c r="D483" t="s">
        <v>104</v>
      </c>
      <c r="E483">
        <v>192</v>
      </c>
      <c r="F483">
        <v>203.71</v>
      </c>
      <c r="G483">
        <v>7</v>
      </c>
      <c r="H483">
        <v>18</v>
      </c>
      <c r="I483" t="s">
        <v>354</v>
      </c>
      <c r="J483" s="9">
        <f t="shared" si="7"/>
        <v>42921.85996799999</v>
      </c>
    </row>
    <row r="484" spans="1:10">
      <c r="A484" t="s">
        <v>838</v>
      </c>
      <c r="B484" s="2">
        <v>45911</v>
      </c>
      <c r="C484" t="s">
        <v>336</v>
      </c>
      <c r="D484" t="s">
        <v>114</v>
      </c>
      <c r="E484">
        <v>197</v>
      </c>
      <c r="F484">
        <v>61.46</v>
      </c>
      <c r="G484">
        <v>3</v>
      </c>
      <c r="H484">
        <v>12</v>
      </c>
      <c r="I484" t="s">
        <v>354</v>
      </c>
      <c r="J484" s="9">
        <f t="shared" si="7"/>
        <v>13153.718368000002</v>
      </c>
    </row>
    <row r="485" spans="1:10">
      <c r="A485" t="s">
        <v>839</v>
      </c>
      <c r="B485" s="2">
        <v>45911</v>
      </c>
      <c r="C485" t="s">
        <v>307</v>
      </c>
      <c r="D485" t="s">
        <v>108</v>
      </c>
      <c r="E485">
        <v>151</v>
      </c>
      <c r="F485">
        <v>35.75</v>
      </c>
      <c r="G485">
        <v>5</v>
      </c>
      <c r="H485">
        <v>18</v>
      </c>
      <c r="I485" t="s">
        <v>354</v>
      </c>
      <c r="J485" s="9">
        <f t="shared" si="7"/>
        <v>6051.4382499999992</v>
      </c>
    </row>
    <row r="486" spans="1:10">
      <c r="A486" t="s">
        <v>840</v>
      </c>
      <c r="B486" s="2">
        <v>45911</v>
      </c>
      <c r="C486" t="s">
        <v>283</v>
      </c>
      <c r="D486" t="s">
        <v>89</v>
      </c>
      <c r="E486">
        <v>254</v>
      </c>
      <c r="F486">
        <v>100.75</v>
      </c>
      <c r="G486">
        <v>3</v>
      </c>
      <c r="H486">
        <v>18</v>
      </c>
      <c r="I486" t="s">
        <v>354</v>
      </c>
      <c r="J486" s="9">
        <f t="shared" si="7"/>
        <v>29290.886299999998</v>
      </c>
    </row>
    <row r="487" spans="1:10">
      <c r="A487" t="s">
        <v>841</v>
      </c>
      <c r="B487" s="2">
        <v>45912</v>
      </c>
      <c r="C487" t="s">
        <v>336</v>
      </c>
      <c r="D487" t="s">
        <v>117</v>
      </c>
      <c r="E487">
        <v>265</v>
      </c>
      <c r="F487">
        <v>18.62</v>
      </c>
      <c r="G487">
        <v>5</v>
      </c>
      <c r="H487">
        <v>12</v>
      </c>
      <c r="I487" t="s">
        <v>365</v>
      </c>
      <c r="J487" s="9">
        <f t="shared" si="7"/>
        <v>5250.0952000000007</v>
      </c>
    </row>
    <row r="488" spans="1:10">
      <c r="A488" t="s">
        <v>842</v>
      </c>
      <c r="B488" s="2">
        <v>45913</v>
      </c>
      <c r="C488" t="s">
        <v>344</v>
      </c>
      <c r="D488" t="s">
        <v>106</v>
      </c>
      <c r="E488">
        <v>268</v>
      </c>
      <c r="F488">
        <v>358.17</v>
      </c>
      <c r="G488">
        <v>7</v>
      </c>
      <c r="H488">
        <v>18</v>
      </c>
      <c r="I488" t="s">
        <v>354</v>
      </c>
      <c r="J488" s="9">
        <f t="shared" si="7"/>
        <v>105338.94314399998</v>
      </c>
    </row>
    <row r="489" spans="1:10">
      <c r="A489" t="s">
        <v>843</v>
      </c>
      <c r="B489" s="2">
        <v>45915</v>
      </c>
      <c r="C489" t="s">
        <v>280</v>
      </c>
      <c r="D489" t="s">
        <v>102</v>
      </c>
      <c r="E489">
        <v>320</v>
      </c>
      <c r="F489">
        <v>639.08000000000004</v>
      </c>
      <c r="G489">
        <v>0</v>
      </c>
      <c r="H489">
        <v>18</v>
      </c>
      <c r="I489" t="s">
        <v>354</v>
      </c>
      <c r="J489" s="9">
        <f t="shared" si="7"/>
        <v>241316.60800000001</v>
      </c>
    </row>
    <row r="490" spans="1:10">
      <c r="A490" t="s">
        <v>844</v>
      </c>
      <c r="B490" s="2">
        <v>45916</v>
      </c>
      <c r="C490" t="s">
        <v>266</v>
      </c>
      <c r="D490" t="s">
        <v>104</v>
      </c>
      <c r="E490">
        <v>199</v>
      </c>
      <c r="F490">
        <v>182.74</v>
      </c>
      <c r="G490">
        <v>7</v>
      </c>
      <c r="H490">
        <v>18</v>
      </c>
      <c r="I490" t="s">
        <v>354</v>
      </c>
      <c r="J490" s="9">
        <f t="shared" si="7"/>
        <v>39907.236323999998</v>
      </c>
    </row>
    <row r="491" spans="1:10">
      <c r="A491" t="s">
        <v>845</v>
      </c>
      <c r="B491" s="2">
        <v>45917</v>
      </c>
      <c r="C491" t="s">
        <v>320</v>
      </c>
      <c r="D491" t="s">
        <v>91</v>
      </c>
      <c r="E491">
        <v>140</v>
      </c>
      <c r="F491">
        <v>517.36</v>
      </c>
      <c r="G491">
        <v>0</v>
      </c>
      <c r="H491">
        <v>18</v>
      </c>
      <c r="I491" t="s">
        <v>365</v>
      </c>
      <c r="J491" s="9">
        <f t="shared" si="7"/>
        <v>85467.872000000003</v>
      </c>
    </row>
    <row r="492" spans="1:10">
      <c r="A492" t="s">
        <v>846</v>
      </c>
      <c r="B492" s="2">
        <v>45917</v>
      </c>
      <c r="C492" t="s">
        <v>285</v>
      </c>
      <c r="D492" t="s">
        <v>102</v>
      </c>
      <c r="E492">
        <v>539</v>
      </c>
      <c r="F492">
        <v>656.7</v>
      </c>
      <c r="G492">
        <v>3</v>
      </c>
      <c r="H492">
        <v>18</v>
      </c>
      <c r="I492" t="s">
        <v>354</v>
      </c>
      <c r="J492" s="9">
        <f t="shared" si="7"/>
        <v>405144.10398000001</v>
      </c>
    </row>
    <row r="493" spans="1:10">
      <c r="A493" t="s">
        <v>847</v>
      </c>
      <c r="B493" s="2">
        <v>45917</v>
      </c>
      <c r="C493" t="s">
        <v>287</v>
      </c>
      <c r="D493" t="s">
        <v>73</v>
      </c>
      <c r="E493">
        <v>489</v>
      </c>
      <c r="F493">
        <v>433.4</v>
      </c>
      <c r="G493">
        <v>5</v>
      </c>
      <c r="H493">
        <v>18</v>
      </c>
      <c r="I493" t="s">
        <v>354</v>
      </c>
      <c r="J493" s="9">
        <f t="shared" si="7"/>
        <v>237576.44459999996</v>
      </c>
    </row>
    <row r="494" spans="1:10">
      <c r="A494" t="s">
        <v>848</v>
      </c>
      <c r="B494" s="2">
        <v>45917</v>
      </c>
      <c r="C494" t="s">
        <v>339</v>
      </c>
      <c r="D494" t="s">
        <v>117</v>
      </c>
      <c r="E494">
        <v>335</v>
      </c>
      <c r="F494">
        <v>19.14</v>
      </c>
      <c r="G494">
        <v>2</v>
      </c>
      <c r="H494">
        <v>12</v>
      </c>
      <c r="I494" t="s">
        <v>354</v>
      </c>
      <c r="J494" s="9">
        <f t="shared" si="7"/>
        <v>7037.7014400000007</v>
      </c>
    </row>
    <row r="495" spans="1:10">
      <c r="A495" t="s">
        <v>849</v>
      </c>
      <c r="B495" s="2">
        <v>45918</v>
      </c>
      <c r="C495" t="s">
        <v>332</v>
      </c>
      <c r="D495" t="s">
        <v>110</v>
      </c>
      <c r="E495">
        <v>501</v>
      </c>
      <c r="F495">
        <v>58.02</v>
      </c>
      <c r="G495">
        <v>0</v>
      </c>
      <c r="H495">
        <v>18</v>
      </c>
      <c r="I495" t="s">
        <v>354</v>
      </c>
      <c r="J495" s="9">
        <f t="shared" si="7"/>
        <v>34300.263599999998</v>
      </c>
    </row>
    <row r="496" spans="1:10">
      <c r="A496" t="s">
        <v>850</v>
      </c>
      <c r="B496" s="2">
        <v>45918</v>
      </c>
      <c r="C496" t="s">
        <v>298</v>
      </c>
      <c r="D496" t="s">
        <v>97</v>
      </c>
      <c r="E496">
        <v>98</v>
      </c>
      <c r="F496">
        <v>179.63</v>
      </c>
      <c r="G496">
        <v>0</v>
      </c>
      <c r="H496">
        <v>18</v>
      </c>
      <c r="I496" t="s">
        <v>354</v>
      </c>
      <c r="J496" s="9">
        <f t="shared" si="7"/>
        <v>20772.413199999995</v>
      </c>
    </row>
    <row r="497" spans="1:10">
      <c r="A497" t="s">
        <v>851</v>
      </c>
      <c r="B497" s="2">
        <v>45919</v>
      </c>
      <c r="C497" t="s">
        <v>291</v>
      </c>
      <c r="D497" t="s">
        <v>75</v>
      </c>
      <c r="E497">
        <v>198</v>
      </c>
      <c r="F497">
        <v>80.17</v>
      </c>
      <c r="G497">
        <v>5</v>
      </c>
      <c r="H497">
        <v>18</v>
      </c>
      <c r="I497" t="s">
        <v>354</v>
      </c>
      <c r="J497" s="9">
        <f t="shared" si="7"/>
        <v>17794.372859999999</v>
      </c>
    </row>
    <row r="498" spans="1:10">
      <c r="A498" t="s">
        <v>852</v>
      </c>
      <c r="B498" s="2">
        <v>45919</v>
      </c>
      <c r="C498" t="s">
        <v>280</v>
      </c>
      <c r="D498" t="s">
        <v>93</v>
      </c>
      <c r="E498">
        <v>406</v>
      </c>
      <c r="F498">
        <v>1451.26</v>
      </c>
      <c r="G498">
        <v>5</v>
      </c>
      <c r="H498">
        <v>18</v>
      </c>
      <c r="I498" t="s">
        <v>354</v>
      </c>
      <c r="J498" s="9">
        <f t="shared" si="7"/>
        <v>660506.1587599999</v>
      </c>
    </row>
    <row r="499" spans="1:10">
      <c r="A499" t="s">
        <v>853</v>
      </c>
      <c r="B499" s="2">
        <v>45919</v>
      </c>
      <c r="C499" t="s">
        <v>274</v>
      </c>
      <c r="D499" t="s">
        <v>65</v>
      </c>
      <c r="E499">
        <v>293</v>
      </c>
      <c r="F499">
        <v>177.55</v>
      </c>
      <c r="G499">
        <v>2</v>
      </c>
      <c r="H499">
        <v>18</v>
      </c>
      <c r="I499" t="s">
        <v>354</v>
      </c>
      <c r="J499" s="9">
        <f t="shared" si="7"/>
        <v>60158.414259999998</v>
      </c>
    </row>
    <row r="500" spans="1:10">
      <c r="A500" t="s">
        <v>854</v>
      </c>
      <c r="B500" s="2">
        <v>45920</v>
      </c>
      <c r="C500" t="s">
        <v>327</v>
      </c>
      <c r="D500" t="s">
        <v>119</v>
      </c>
      <c r="E500">
        <v>250</v>
      </c>
      <c r="F500">
        <v>32.81</v>
      </c>
      <c r="G500">
        <v>5</v>
      </c>
      <c r="H500">
        <v>12</v>
      </c>
      <c r="I500" t="s">
        <v>354</v>
      </c>
      <c r="J500" s="9">
        <f t="shared" si="7"/>
        <v>8727.4600000000009</v>
      </c>
    </row>
    <row r="501" spans="1:10">
      <c r="A501" t="s">
        <v>855</v>
      </c>
      <c r="B501" s="2">
        <v>45920</v>
      </c>
      <c r="C501" t="s">
        <v>266</v>
      </c>
      <c r="D501" t="s">
        <v>84</v>
      </c>
      <c r="E501">
        <v>177</v>
      </c>
      <c r="F501">
        <v>831.13</v>
      </c>
      <c r="G501">
        <v>0</v>
      </c>
      <c r="H501">
        <v>18</v>
      </c>
      <c r="I501" t="s">
        <v>354</v>
      </c>
      <c r="J501" s="9">
        <f t="shared" si="7"/>
        <v>173589.8118</v>
      </c>
    </row>
    <row r="502" spans="1:10">
      <c r="A502" t="s">
        <v>856</v>
      </c>
      <c r="B502" s="2">
        <v>45920</v>
      </c>
      <c r="C502" t="s">
        <v>327</v>
      </c>
      <c r="D502" t="s">
        <v>114</v>
      </c>
      <c r="E502">
        <v>440</v>
      </c>
      <c r="F502">
        <v>66.45</v>
      </c>
      <c r="G502">
        <v>0</v>
      </c>
      <c r="H502">
        <v>12</v>
      </c>
      <c r="I502" t="s">
        <v>354</v>
      </c>
      <c r="J502" s="9">
        <f t="shared" si="7"/>
        <v>32746.560000000001</v>
      </c>
    </row>
    <row r="503" spans="1:10">
      <c r="A503" t="s">
        <v>857</v>
      </c>
      <c r="B503" s="2">
        <v>45920</v>
      </c>
      <c r="C503" t="s">
        <v>287</v>
      </c>
      <c r="D503" t="s">
        <v>93</v>
      </c>
      <c r="E503">
        <v>231</v>
      </c>
      <c r="F503">
        <v>1478.25</v>
      </c>
      <c r="G503">
        <v>3</v>
      </c>
      <c r="H503">
        <v>18</v>
      </c>
      <c r="I503" t="s">
        <v>354</v>
      </c>
      <c r="J503" s="9">
        <f t="shared" si="7"/>
        <v>390853.14344999997</v>
      </c>
    </row>
    <row r="504" spans="1:10">
      <c r="A504" t="s">
        <v>858</v>
      </c>
      <c r="B504" s="2">
        <v>45921</v>
      </c>
      <c r="C504" t="s">
        <v>271</v>
      </c>
      <c r="D504" t="s">
        <v>68</v>
      </c>
      <c r="E504">
        <v>953</v>
      </c>
      <c r="F504">
        <v>334.89</v>
      </c>
      <c r="G504">
        <v>0</v>
      </c>
      <c r="H504">
        <v>18</v>
      </c>
      <c r="I504" t="s">
        <v>354</v>
      </c>
      <c r="J504" s="9">
        <f t="shared" si="7"/>
        <v>376597.20059999998</v>
      </c>
    </row>
    <row r="505" spans="1:10">
      <c r="A505" t="s">
        <v>859</v>
      </c>
      <c r="B505" s="2">
        <v>45923</v>
      </c>
      <c r="C505" t="s">
        <v>266</v>
      </c>
      <c r="D505" t="s">
        <v>95</v>
      </c>
      <c r="E505">
        <v>516</v>
      </c>
      <c r="F505">
        <v>274.52</v>
      </c>
      <c r="G505">
        <v>3</v>
      </c>
      <c r="H505">
        <v>18</v>
      </c>
      <c r="I505" t="s">
        <v>354</v>
      </c>
      <c r="J505" s="9">
        <f t="shared" si="7"/>
        <v>162135.24547199995</v>
      </c>
    </row>
    <row r="506" spans="1:10">
      <c r="A506" t="s">
        <v>860</v>
      </c>
      <c r="B506" s="2">
        <v>45923</v>
      </c>
      <c r="C506" t="s">
        <v>336</v>
      </c>
      <c r="D506" t="s">
        <v>117</v>
      </c>
      <c r="E506">
        <v>279</v>
      </c>
      <c r="F506">
        <v>17.73</v>
      </c>
      <c r="G506">
        <v>5</v>
      </c>
      <c r="H506">
        <v>12</v>
      </c>
      <c r="I506" t="s">
        <v>354</v>
      </c>
      <c r="J506" s="9">
        <f t="shared" si="7"/>
        <v>5263.2568799999999</v>
      </c>
    </row>
    <row r="507" spans="1:10">
      <c r="A507" t="s">
        <v>861</v>
      </c>
      <c r="B507" s="2">
        <v>45923</v>
      </c>
      <c r="C507" t="s">
        <v>291</v>
      </c>
      <c r="D507" t="s">
        <v>77</v>
      </c>
      <c r="E507">
        <v>964</v>
      </c>
      <c r="F507">
        <v>104.22</v>
      </c>
      <c r="G507">
        <v>0</v>
      </c>
      <c r="H507">
        <v>18</v>
      </c>
      <c r="I507" t="s">
        <v>354</v>
      </c>
      <c r="J507" s="9">
        <f t="shared" si="7"/>
        <v>118552.33439999999</v>
      </c>
    </row>
    <row r="508" spans="1:10">
      <c r="A508" t="s">
        <v>862</v>
      </c>
      <c r="B508" s="2">
        <v>45925</v>
      </c>
      <c r="C508" t="s">
        <v>305</v>
      </c>
      <c r="D508" t="s">
        <v>79</v>
      </c>
      <c r="E508">
        <v>295</v>
      </c>
      <c r="F508">
        <v>43.09</v>
      </c>
      <c r="G508">
        <v>5</v>
      </c>
      <c r="H508">
        <v>18</v>
      </c>
      <c r="I508" t="s">
        <v>354</v>
      </c>
      <c r="J508" s="9">
        <f t="shared" si="7"/>
        <v>14249.64755</v>
      </c>
    </row>
    <row r="509" spans="1:10">
      <c r="A509" t="s">
        <v>863</v>
      </c>
      <c r="B509" s="2">
        <v>45925</v>
      </c>
      <c r="C509" t="s">
        <v>278</v>
      </c>
      <c r="D509" t="s">
        <v>87</v>
      </c>
      <c r="E509">
        <v>154</v>
      </c>
      <c r="F509">
        <v>125.2</v>
      </c>
      <c r="G509">
        <v>5</v>
      </c>
      <c r="H509">
        <v>18</v>
      </c>
      <c r="I509" t="s">
        <v>359</v>
      </c>
      <c r="J509" s="9">
        <f t="shared" si="7"/>
        <v>21613.776799999996</v>
      </c>
    </row>
    <row r="510" spans="1:10">
      <c r="A510" t="s">
        <v>864</v>
      </c>
      <c r="B510" s="2">
        <v>45926</v>
      </c>
      <c r="C510" t="s">
        <v>302</v>
      </c>
      <c r="D510" t="s">
        <v>84</v>
      </c>
      <c r="E510">
        <v>633</v>
      </c>
      <c r="F510">
        <v>778.72</v>
      </c>
      <c r="G510">
        <v>2</v>
      </c>
      <c r="H510">
        <v>18</v>
      </c>
      <c r="I510" t="s">
        <v>354</v>
      </c>
      <c r="J510" s="9">
        <f t="shared" si="7"/>
        <v>570023.97446399997</v>
      </c>
    </row>
    <row r="511" spans="1:10">
      <c r="A511" t="s">
        <v>865</v>
      </c>
      <c r="B511" s="2">
        <v>45927</v>
      </c>
      <c r="C511" t="s">
        <v>302</v>
      </c>
      <c r="D511" t="s">
        <v>77</v>
      </c>
      <c r="E511">
        <v>158</v>
      </c>
      <c r="F511">
        <v>110.46</v>
      </c>
      <c r="G511">
        <v>0</v>
      </c>
      <c r="H511">
        <v>18</v>
      </c>
      <c r="I511" t="s">
        <v>365</v>
      </c>
      <c r="J511" s="9">
        <f t="shared" si="7"/>
        <v>20594.162400000001</v>
      </c>
    </row>
    <row r="512" spans="1:10">
      <c r="A512" t="s">
        <v>866</v>
      </c>
      <c r="B512" s="2">
        <v>45927</v>
      </c>
      <c r="C512" t="s">
        <v>283</v>
      </c>
      <c r="D512" t="s">
        <v>89</v>
      </c>
      <c r="E512">
        <v>273</v>
      </c>
      <c r="F512">
        <v>89.59</v>
      </c>
      <c r="G512">
        <v>0</v>
      </c>
      <c r="H512">
        <v>18</v>
      </c>
      <c r="I512" t="s">
        <v>354</v>
      </c>
      <c r="J512" s="9">
        <f t="shared" si="7"/>
        <v>28860.522599999997</v>
      </c>
    </row>
    <row r="513" spans="1:10">
      <c r="A513" t="s">
        <v>867</v>
      </c>
      <c r="B513" s="2">
        <v>45927</v>
      </c>
      <c r="C513" t="s">
        <v>325</v>
      </c>
      <c r="D513" t="s">
        <v>99</v>
      </c>
      <c r="E513">
        <v>297</v>
      </c>
      <c r="F513">
        <v>209.25</v>
      </c>
      <c r="G513">
        <v>5</v>
      </c>
      <c r="H513">
        <v>18</v>
      </c>
      <c r="I513" t="s">
        <v>354</v>
      </c>
      <c r="J513" s="9">
        <f t="shared" si="7"/>
        <v>69667.067249999993</v>
      </c>
    </row>
    <row r="514" spans="1:10">
      <c r="A514" t="s">
        <v>868</v>
      </c>
      <c r="B514" s="2">
        <v>45927</v>
      </c>
      <c r="C514" t="s">
        <v>339</v>
      </c>
      <c r="D514" t="s">
        <v>114</v>
      </c>
      <c r="E514">
        <v>233</v>
      </c>
      <c r="F514">
        <v>68.27</v>
      </c>
      <c r="G514">
        <v>7</v>
      </c>
      <c r="H514">
        <v>12</v>
      </c>
      <c r="I514" t="s">
        <v>359</v>
      </c>
      <c r="J514" s="9">
        <f t="shared" si="7"/>
        <v>16568.637456</v>
      </c>
    </row>
    <row r="515" spans="1:10">
      <c r="A515" t="s">
        <v>869</v>
      </c>
      <c r="B515" s="2">
        <v>45927</v>
      </c>
      <c r="C515" t="s">
        <v>293</v>
      </c>
      <c r="D515" t="s">
        <v>75</v>
      </c>
      <c r="E515">
        <v>290</v>
      </c>
      <c r="F515">
        <v>84.42</v>
      </c>
      <c r="G515">
        <v>2</v>
      </c>
      <c r="H515">
        <v>18</v>
      </c>
      <c r="I515" t="s">
        <v>354</v>
      </c>
      <c r="J515" s="9">
        <f t="shared" ref="J515:J578" si="8">E515*F515*(1-G515/100)*(1+H515/100)</f>
        <v>28310.753519999998</v>
      </c>
    </row>
    <row r="516" spans="1:10">
      <c r="A516" t="s">
        <v>870</v>
      </c>
      <c r="B516" s="2">
        <v>45928</v>
      </c>
      <c r="C516" t="s">
        <v>295</v>
      </c>
      <c r="D516" t="s">
        <v>65</v>
      </c>
      <c r="E516">
        <v>112</v>
      </c>
      <c r="F516">
        <v>186.22</v>
      </c>
      <c r="G516">
        <v>5</v>
      </c>
      <c r="H516">
        <v>18</v>
      </c>
      <c r="I516" t="s">
        <v>365</v>
      </c>
      <c r="J516" s="9">
        <f t="shared" si="8"/>
        <v>23380.293439999994</v>
      </c>
    </row>
    <row r="517" spans="1:10">
      <c r="A517" t="s">
        <v>871</v>
      </c>
      <c r="B517" s="2">
        <v>45928</v>
      </c>
      <c r="C517" t="s">
        <v>332</v>
      </c>
      <c r="D517" t="s">
        <v>110</v>
      </c>
      <c r="E517">
        <v>322</v>
      </c>
      <c r="F517">
        <v>56.1</v>
      </c>
      <c r="G517">
        <v>7</v>
      </c>
      <c r="H517">
        <v>18</v>
      </c>
      <c r="I517" t="s">
        <v>354</v>
      </c>
      <c r="J517" s="9">
        <f t="shared" si="8"/>
        <v>19823.653079999996</v>
      </c>
    </row>
    <row r="518" spans="1:10">
      <c r="A518" t="s">
        <v>872</v>
      </c>
      <c r="B518" s="2">
        <v>45929</v>
      </c>
      <c r="C518" t="s">
        <v>266</v>
      </c>
      <c r="D518" t="s">
        <v>79</v>
      </c>
      <c r="E518">
        <v>81</v>
      </c>
      <c r="F518">
        <v>47.67</v>
      </c>
      <c r="G518">
        <v>2</v>
      </c>
      <c r="H518">
        <v>18</v>
      </c>
      <c r="I518" t="s">
        <v>354</v>
      </c>
      <c r="J518" s="9">
        <f t="shared" si="8"/>
        <v>4465.1726279999993</v>
      </c>
    </row>
    <row r="519" spans="1:10">
      <c r="A519" t="s">
        <v>873</v>
      </c>
      <c r="B519" s="2">
        <v>45929</v>
      </c>
      <c r="C519" t="s">
        <v>330</v>
      </c>
      <c r="D519" t="s">
        <v>91</v>
      </c>
      <c r="E519">
        <v>483</v>
      </c>
      <c r="F519">
        <v>481.63</v>
      </c>
      <c r="G519">
        <v>2</v>
      </c>
      <c r="H519">
        <v>18</v>
      </c>
      <c r="I519" t="s">
        <v>354</v>
      </c>
      <c r="J519" s="9">
        <f t="shared" si="8"/>
        <v>269010.198156</v>
      </c>
    </row>
    <row r="520" spans="1:10">
      <c r="A520" t="s">
        <v>874</v>
      </c>
      <c r="B520" s="2">
        <v>45930</v>
      </c>
      <c r="C520" t="s">
        <v>302</v>
      </c>
      <c r="D520" t="s">
        <v>79</v>
      </c>
      <c r="E520">
        <v>331</v>
      </c>
      <c r="F520">
        <v>45.81</v>
      </c>
      <c r="G520">
        <v>0</v>
      </c>
      <c r="H520">
        <v>18</v>
      </c>
      <c r="I520" t="s">
        <v>354</v>
      </c>
      <c r="J520" s="9">
        <f t="shared" si="8"/>
        <v>17892.469799999999</v>
      </c>
    </row>
    <row r="521" spans="1:10">
      <c r="A521" t="s">
        <v>875</v>
      </c>
      <c r="B521" s="2">
        <v>45930</v>
      </c>
      <c r="C521" t="s">
        <v>274</v>
      </c>
      <c r="D521" t="s">
        <v>87</v>
      </c>
      <c r="E521">
        <v>125</v>
      </c>
      <c r="F521">
        <v>122.09</v>
      </c>
      <c r="G521">
        <v>0</v>
      </c>
      <c r="H521">
        <v>18</v>
      </c>
      <c r="I521" t="s">
        <v>354</v>
      </c>
      <c r="J521" s="9">
        <f t="shared" si="8"/>
        <v>18008.274999999998</v>
      </c>
    </row>
    <row r="522" spans="1:10">
      <c r="A522" t="s">
        <v>876</v>
      </c>
      <c r="B522" s="2">
        <v>45930</v>
      </c>
      <c r="C522" t="s">
        <v>325</v>
      </c>
      <c r="D522" t="s">
        <v>99</v>
      </c>
      <c r="E522">
        <v>127</v>
      </c>
      <c r="F522">
        <v>224.31</v>
      </c>
      <c r="G522">
        <v>2</v>
      </c>
      <c r="H522">
        <v>18</v>
      </c>
      <c r="I522" t="s">
        <v>354</v>
      </c>
      <c r="J522" s="9">
        <f t="shared" si="8"/>
        <v>32942.794667999995</v>
      </c>
    </row>
    <row r="523" spans="1:10">
      <c r="A523" t="s">
        <v>877</v>
      </c>
      <c r="B523" s="2">
        <v>45930</v>
      </c>
      <c r="C523" t="s">
        <v>332</v>
      </c>
      <c r="D523" t="s">
        <v>110</v>
      </c>
      <c r="E523">
        <v>216</v>
      </c>
      <c r="F523">
        <v>54.43</v>
      </c>
      <c r="G523">
        <v>0</v>
      </c>
      <c r="H523">
        <v>18</v>
      </c>
      <c r="I523" t="s">
        <v>354</v>
      </c>
      <c r="J523" s="9">
        <f t="shared" si="8"/>
        <v>13873.118399999998</v>
      </c>
    </row>
    <row r="524" spans="1:10">
      <c r="A524" t="s">
        <v>878</v>
      </c>
      <c r="B524" s="2">
        <v>45931</v>
      </c>
      <c r="C524" t="s">
        <v>327</v>
      </c>
      <c r="D524" t="s">
        <v>117</v>
      </c>
      <c r="E524">
        <v>128</v>
      </c>
      <c r="F524">
        <v>18.97</v>
      </c>
      <c r="G524">
        <v>5</v>
      </c>
      <c r="H524">
        <v>12</v>
      </c>
      <c r="I524" t="s">
        <v>354</v>
      </c>
      <c r="J524" s="9">
        <f t="shared" si="8"/>
        <v>2583.5622400000002</v>
      </c>
    </row>
    <row r="525" spans="1:10">
      <c r="A525" t="s">
        <v>879</v>
      </c>
      <c r="B525" s="2">
        <v>45932</v>
      </c>
      <c r="C525" t="s">
        <v>342</v>
      </c>
      <c r="D525" t="s">
        <v>117</v>
      </c>
      <c r="E525">
        <v>221</v>
      </c>
      <c r="F525">
        <v>17.440000000000001</v>
      </c>
      <c r="G525">
        <v>7</v>
      </c>
      <c r="H525">
        <v>12</v>
      </c>
      <c r="I525" t="s">
        <v>354</v>
      </c>
      <c r="J525" s="9">
        <f t="shared" si="8"/>
        <v>4014.5763840000004</v>
      </c>
    </row>
    <row r="526" spans="1:10">
      <c r="A526" t="s">
        <v>880</v>
      </c>
      <c r="B526" s="2">
        <v>45932</v>
      </c>
      <c r="C526" t="s">
        <v>274</v>
      </c>
      <c r="D526" t="s">
        <v>108</v>
      </c>
      <c r="E526">
        <v>228</v>
      </c>
      <c r="F526">
        <v>34.340000000000003</v>
      </c>
      <c r="G526">
        <v>5</v>
      </c>
      <c r="H526">
        <v>18</v>
      </c>
      <c r="I526" t="s">
        <v>354</v>
      </c>
      <c r="J526" s="9">
        <f t="shared" si="8"/>
        <v>8776.89192</v>
      </c>
    </row>
    <row r="527" spans="1:10">
      <c r="A527" t="s">
        <v>881</v>
      </c>
      <c r="B527" s="2">
        <v>45934</v>
      </c>
      <c r="C527" t="s">
        <v>283</v>
      </c>
      <c r="D527" t="s">
        <v>73</v>
      </c>
      <c r="E527">
        <v>375</v>
      </c>
      <c r="F527">
        <v>453.06</v>
      </c>
      <c r="G527">
        <v>3</v>
      </c>
      <c r="H527">
        <v>18</v>
      </c>
      <c r="I527" t="s">
        <v>354</v>
      </c>
      <c r="J527" s="9">
        <f t="shared" si="8"/>
        <v>194464.67849999998</v>
      </c>
    </row>
    <row r="528" spans="1:10">
      <c r="A528" t="s">
        <v>882</v>
      </c>
      <c r="B528" s="2">
        <v>45934</v>
      </c>
      <c r="C528" t="s">
        <v>336</v>
      </c>
      <c r="D528" t="s">
        <v>114</v>
      </c>
      <c r="E528">
        <v>251</v>
      </c>
      <c r="F528">
        <v>70.13</v>
      </c>
      <c r="G528">
        <v>7</v>
      </c>
      <c r="H528">
        <v>12</v>
      </c>
      <c r="I528" t="s">
        <v>354</v>
      </c>
      <c r="J528" s="9">
        <f t="shared" si="8"/>
        <v>18334.899407999997</v>
      </c>
    </row>
    <row r="529" spans="1:10">
      <c r="A529" t="s">
        <v>883</v>
      </c>
      <c r="B529" s="2">
        <v>45935</v>
      </c>
      <c r="C529" t="s">
        <v>298</v>
      </c>
      <c r="D529" t="s">
        <v>81</v>
      </c>
      <c r="E529">
        <v>318</v>
      </c>
      <c r="F529">
        <v>68.06</v>
      </c>
      <c r="G529">
        <v>3</v>
      </c>
      <c r="H529">
        <v>18</v>
      </c>
      <c r="I529" t="s">
        <v>354</v>
      </c>
      <c r="J529" s="9">
        <f t="shared" si="8"/>
        <v>24772.669367999999</v>
      </c>
    </row>
    <row r="530" spans="1:10">
      <c r="A530" t="s">
        <v>884</v>
      </c>
      <c r="B530" s="2">
        <v>45935</v>
      </c>
      <c r="C530" t="s">
        <v>310</v>
      </c>
      <c r="D530" t="s">
        <v>70</v>
      </c>
      <c r="E530">
        <v>625</v>
      </c>
      <c r="F530">
        <v>241.48</v>
      </c>
      <c r="G530">
        <v>3</v>
      </c>
      <c r="H530">
        <v>18</v>
      </c>
      <c r="I530" t="s">
        <v>365</v>
      </c>
      <c r="J530" s="9">
        <f t="shared" si="8"/>
        <v>172748.755</v>
      </c>
    </row>
    <row r="531" spans="1:10">
      <c r="A531" t="s">
        <v>885</v>
      </c>
      <c r="B531" s="2">
        <v>45935</v>
      </c>
      <c r="C531" t="s">
        <v>344</v>
      </c>
      <c r="D531" t="s">
        <v>104</v>
      </c>
      <c r="E531">
        <v>242</v>
      </c>
      <c r="F531">
        <v>199.51</v>
      </c>
      <c r="G531">
        <v>2</v>
      </c>
      <c r="H531">
        <v>18</v>
      </c>
      <c r="I531" t="s">
        <v>354</v>
      </c>
      <c r="J531" s="9">
        <f t="shared" si="8"/>
        <v>55832.634087999992</v>
      </c>
    </row>
    <row r="532" spans="1:10">
      <c r="A532" t="s">
        <v>886</v>
      </c>
      <c r="B532" s="2">
        <v>45936</v>
      </c>
      <c r="C532" t="s">
        <v>320</v>
      </c>
      <c r="D532" t="s">
        <v>104</v>
      </c>
      <c r="E532">
        <v>223</v>
      </c>
      <c r="F532">
        <v>187.91</v>
      </c>
      <c r="G532">
        <v>0</v>
      </c>
      <c r="H532">
        <v>18</v>
      </c>
      <c r="I532" t="s">
        <v>365</v>
      </c>
      <c r="J532" s="9">
        <f t="shared" si="8"/>
        <v>49446.6374</v>
      </c>
    </row>
    <row r="533" spans="1:10">
      <c r="A533" t="s">
        <v>887</v>
      </c>
      <c r="B533" s="2">
        <v>45937</v>
      </c>
      <c r="C533" t="s">
        <v>320</v>
      </c>
      <c r="D533" t="s">
        <v>91</v>
      </c>
      <c r="E533">
        <v>171</v>
      </c>
      <c r="F533">
        <v>506.94</v>
      </c>
      <c r="G533">
        <v>0</v>
      </c>
      <c r="H533">
        <v>18</v>
      </c>
      <c r="I533" t="s">
        <v>354</v>
      </c>
      <c r="J533" s="9">
        <f t="shared" si="8"/>
        <v>102290.3532</v>
      </c>
    </row>
    <row r="534" spans="1:10">
      <c r="A534" t="s">
        <v>888</v>
      </c>
      <c r="B534" s="2">
        <v>45937</v>
      </c>
      <c r="C534" t="s">
        <v>302</v>
      </c>
      <c r="D534" t="s">
        <v>75</v>
      </c>
      <c r="E534">
        <v>395</v>
      </c>
      <c r="F534">
        <v>89.5</v>
      </c>
      <c r="G534">
        <v>7</v>
      </c>
      <c r="H534">
        <v>18</v>
      </c>
      <c r="I534" t="s">
        <v>354</v>
      </c>
      <c r="J534" s="9">
        <f t="shared" si="8"/>
        <v>38795.833499999993</v>
      </c>
    </row>
    <row r="535" spans="1:10">
      <c r="A535" t="s">
        <v>889</v>
      </c>
      <c r="B535" s="2">
        <v>45938</v>
      </c>
      <c r="C535" t="s">
        <v>305</v>
      </c>
      <c r="D535" t="s">
        <v>84</v>
      </c>
      <c r="E535">
        <v>233</v>
      </c>
      <c r="F535">
        <v>826.24</v>
      </c>
      <c r="G535">
        <v>7</v>
      </c>
      <c r="H535">
        <v>18</v>
      </c>
      <c r="I535" t="s">
        <v>354</v>
      </c>
      <c r="J535" s="9">
        <f t="shared" si="8"/>
        <v>211264.77580800001</v>
      </c>
    </row>
    <row r="536" spans="1:10">
      <c r="A536" t="s">
        <v>890</v>
      </c>
      <c r="B536" s="2">
        <v>45938</v>
      </c>
      <c r="C536" t="s">
        <v>302</v>
      </c>
      <c r="D536" t="s">
        <v>79</v>
      </c>
      <c r="E536">
        <v>205</v>
      </c>
      <c r="F536">
        <v>46.92</v>
      </c>
      <c r="G536">
        <v>3</v>
      </c>
      <c r="H536">
        <v>18</v>
      </c>
      <c r="I536" t="s">
        <v>354</v>
      </c>
      <c r="J536" s="9">
        <f t="shared" si="8"/>
        <v>11009.449559999999</v>
      </c>
    </row>
    <row r="537" spans="1:10">
      <c r="A537" t="s">
        <v>891</v>
      </c>
      <c r="B537" s="2">
        <v>45939</v>
      </c>
      <c r="C537" t="s">
        <v>295</v>
      </c>
      <c r="D537" t="s">
        <v>77</v>
      </c>
      <c r="E537">
        <v>303</v>
      </c>
      <c r="F537">
        <v>111.72</v>
      </c>
      <c r="G537">
        <v>0</v>
      </c>
      <c r="H537">
        <v>18</v>
      </c>
      <c r="I537" t="s">
        <v>354</v>
      </c>
      <c r="J537" s="9">
        <f t="shared" si="8"/>
        <v>39944.368799999997</v>
      </c>
    </row>
    <row r="538" spans="1:10">
      <c r="A538" t="s">
        <v>892</v>
      </c>
      <c r="B538" s="2">
        <v>45939</v>
      </c>
      <c r="C538" t="s">
        <v>307</v>
      </c>
      <c r="D538" t="s">
        <v>108</v>
      </c>
      <c r="E538">
        <v>341</v>
      </c>
      <c r="F538">
        <v>34.76</v>
      </c>
      <c r="G538">
        <v>10</v>
      </c>
      <c r="H538">
        <v>18</v>
      </c>
      <c r="I538" t="s">
        <v>354</v>
      </c>
      <c r="J538" s="9">
        <f t="shared" si="8"/>
        <v>12588.055920000001</v>
      </c>
    </row>
    <row r="539" spans="1:10">
      <c r="A539" t="s">
        <v>893</v>
      </c>
      <c r="B539" s="2">
        <v>45940</v>
      </c>
      <c r="C539" t="s">
        <v>302</v>
      </c>
      <c r="D539" t="s">
        <v>104</v>
      </c>
      <c r="E539">
        <v>211</v>
      </c>
      <c r="F539">
        <v>179.53</v>
      </c>
      <c r="G539">
        <v>5</v>
      </c>
      <c r="H539">
        <v>18</v>
      </c>
      <c r="I539" t="s">
        <v>354</v>
      </c>
      <c r="J539" s="9">
        <f t="shared" si="8"/>
        <v>42464.410430000004</v>
      </c>
    </row>
    <row r="540" spans="1:10">
      <c r="A540" t="s">
        <v>894</v>
      </c>
      <c r="B540" s="2">
        <v>45940</v>
      </c>
      <c r="C540" t="s">
        <v>336</v>
      </c>
      <c r="D540" t="s">
        <v>114</v>
      </c>
      <c r="E540">
        <v>217</v>
      </c>
      <c r="F540">
        <v>63.4</v>
      </c>
      <c r="G540">
        <v>5</v>
      </c>
      <c r="H540">
        <v>12</v>
      </c>
      <c r="I540" t="s">
        <v>365</v>
      </c>
      <c r="J540" s="9">
        <f t="shared" si="8"/>
        <v>14638.299199999999</v>
      </c>
    </row>
    <row r="541" spans="1:10">
      <c r="A541" t="s">
        <v>895</v>
      </c>
      <c r="B541" s="2">
        <v>45941</v>
      </c>
      <c r="C541" t="s">
        <v>305</v>
      </c>
      <c r="D541" t="s">
        <v>77</v>
      </c>
      <c r="E541">
        <v>184</v>
      </c>
      <c r="F541">
        <v>104.48</v>
      </c>
      <c r="G541">
        <v>7</v>
      </c>
      <c r="H541">
        <v>18</v>
      </c>
      <c r="I541" t="s">
        <v>354</v>
      </c>
      <c r="J541" s="9">
        <f t="shared" si="8"/>
        <v>21096.768767999994</v>
      </c>
    </row>
    <row r="542" spans="1:10">
      <c r="A542" t="s">
        <v>896</v>
      </c>
      <c r="B542" s="2">
        <v>45942</v>
      </c>
      <c r="C542" t="s">
        <v>322</v>
      </c>
      <c r="D542" t="s">
        <v>106</v>
      </c>
      <c r="E542">
        <v>138</v>
      </c>
      <c r="F542">
        <v>361.91</v>
      </c>
      <c r="G542">
        <v>7</v>
      </c>
      <c r="H542">
        <v>18</v>
      </c>
      <c r="I542" t="s">
        <v>354</v>
      </c>
      <c r="J542" s="9">
        <f t="shared" si="8"/>
        <v>54808.084691999997</v>
      </c>
    </row>
    <row r="543" spans="1:10">
      <c r="A543" t="s">
        <v>897</v>
      </c>
      <c r="B543" s="2">
        <v>45943</v>
      </c>
      <c r="C543" t="s">
        <v>298</v>
      </c>
      <c r="D543" t="s">
        <v>81</v>
      </c>
      <c r="E543">
        <v>115</v>
      </c>
      <c r="F543">
        <v>69.19</v>
      </c>
      <c r="G543">
        <v>0</v>
      </c>
      <c r="H543">
        <v>18</v>
      </c>
      <c r="I543" t="s">
        <v>354</v>
      </c>
      <c r="J543" s="9">
        <f t="shared" si="8"/>
        <v>9389.0829999999987</v>
      </c>
    </row>
    <row r="544" spans="1:10">
      <c r="A544" t="s">
        <v>898</v>
      </c>
      <c r="B544" s="2">
        <v>45943</v>
      </c>
      <c r="C544" t="s">
        <v>278</v>
      </c>
      <c r="D544" t="s">
        <v>65</v>
      </c>
      <c r="E544">
        <v>93</v>
      </c>
      <c r="F544">
        <v>192.85</v>
      </c>
      <c r="G544">
        <v>2</v>
      </c>
      <c r="H544">
        <v>18</v>
      </c>
      <c r="I544" t="s">
        <v>365</v>
      </c>
      <c r="J544" s="9">
        <f t="shared" si="8"/>
        <v>20740.091819999998</v>
      </c>
    </row>
    <row r="545" spans="1:10">
      <c r="A545" t="s">
        <v>899</v>
      </c>
      <c r="B545" s="2">
        <v>45943</v>
      </c>
      <c r="C545" t="s">
        <v>274</v>
      </c>
      <c r="D545" t="s">
        <v>65</v>
      </c>
      <c r="E545">
        <v>278</v>
      </c>
      <c r="F545">
        <v>192.95</v>
      </c>
      <c r="G545">
        <v>3</v>
      </c>
      <c r="H545">
        <v>18</v>
      </c>
      <c r="I545" t="s">
        <v>354</v>
      </c>
      <c r="J545" s="9">
        <f t="shared" si="8"/>
        <v>61396.458459999994</v>
      </c>
    </row>
    <row r="546" spans="1:10">
      <c r="A546" t="s">
        <v>900</v>
      </c>
      <c r="B546" s="2">
        <v>45943</v>
      </c>
      <c r="C546" t="s">
        <v>320</v>
      </c>
      <c r="D546" t="s">
        <v>104</v>
      </c>
      <c r="E546">
        <v>230</v>
      </c>
      <c r="F546">
        <v>189.99</v>
      </c>
      <c r="G546">
        <v>7</v>
      </c>
      <c r="H546">
        <v>18</v>
      </c>
      <c r="I546" t="s">
        <v>354</v>
      </c>
      <c r="J546" s="9">
        <f t="shared" si="8"/>
        <v>47953.85598</v>
      </c>
    </row>
    <row r="547" spans="1:10">
      <c r="A547" t="s">
        <v>901</v>
      </c>
      <c r="B547" s="2">
        <v>45944</v>
      </c>
      <c r="C547" t="s">
        <v>320</v>
      </c>
      <c r="D547" t="s">
        <v>106</v>
      </c>
      <c r="E547">
        <v>275</v>
      </c>
      <c r="F547">
        <v>370.83</v>
      </c>
      <c r="G547">
        <v>3</v>
      </c>
      <c r="H547">
        <v>18</v>
      </c>
      <c r="I547" t="s">
        <v>354</v>
      </c>
      <c r="J547" s="9">
        <f t="shared" si="8"/>
        <v>116724.30494999999</v>
      </c>
    </row>
    <row r="548" spans="1:10">
      <c r="A548" t="s">
        <v>902</v>
      </c>
      <c r="B548" s="2">
        <v>45944</v>
      </c>
      <c r="C548" t="s">
        <v>302</v>
      </c>
      <c r="D548" t="s">
        <v>84</v>
      </c>
      <c r="E548">
        <v>293</v>
      </c>
      <c r="F548">
        <v>802.7</v>
      </c>
      <c r="G548">
        <v>0</v>
      </c>
      <c r="H548">
        <v>18</v>
      </c>
      <c r="I548" t="s">
        <v>365</v>
      </c>
      <c r="J548" s="9">
        <f t="shared" si="8"/>
        <v>277525.49799999996</v>
      </c>
    </row>
    <row r="549" spans="1:10">
      <c r="A549" t="s">
        <v>903</v>
      </c>
      <c r="B549" s="2">
        <v>45944</v>
      </c>
      <c r="C549" t="s">
        <v>344</v>
      </c>
      <c r="D549" t="s">
        <v>84</v>
      </c>
      <c r="E549">
        <v>158</v>
      </c>
      <c r="F549">
        <v>838.86</v>
      </c>
      <c r="G549">
        <v>0</v>
      </c>
      <c r="H549">
        <v>18</v>
      </c>
      <c r="I549" t="s">
        <v>354</v>
      </c>
      <c r="J549" s="9">
        <f t="shared" si="8"/>
        <v>156397.05840000001</v>
      </c>
    </row>
    <row r="550" spans="1:10">
      <c r="A550" t="s">
        <v>904</v>
      </c>
      <c r="B550" s="2">
        <v>45945</v>
      </c>
      <c r="C550" t="s">
        <v>332</v>
      </c>
      <c r="D550" t="s">
        <v>110</v>
      </c>
      <c r="E550">
        <v>493</v>
      </c>
      <c r="F550">
        <v>58.73</v>
      </c>
      <c r="G550">
        <v>5</v>
      </c>
      <c r="H550">
        <v>18</v>
      </c>
      <c r="I550" t="s">
        <v>354</v>
      </c>
      <c r="J550" s="9">
        <f t="shared" si="8"/>
        <v>32457.310689999995</v>
      </c>
    </row>
    <row r="551" spans="1:10">
      <c r="A551" t="s">
        <v>905</v>
      </c>
      <c r="B551" s="2">
        <v>45945</v>
      </c>
      <c r="C551" t="s">
        <v>322</v>
      </c>
      <c r="D551" t="s">
        <v>104</v>
      </c>
      <c r="E551">
        <v>206</v>
      </c>
      <c r="F551">
        <v>179.44</v>
      </c>
      <c r="G551">
        <v>3</v>
      </c>
      <c r="H551">
        <v>18</v>
      </c>
      <c r="I551" t="s">
        <v>354</v>
      </c>
      <c r="J551" s="9">
        <f t="shared" si="8"/>
        <v>42309.726943999995</v>
      </c>
    </row>
    <row r="552" spans="1:10">
      <c r="A552" t="s">
        <v>906</v>
      </c>
      <c r="B552" s="2">
        <v>45946</v>
      </c>
      <c r="C552" t="s">
        <v>336</v>
      </c>
      <c r="D552" t="s">
        <v>119</v>
      </c>
      <c r="E552">
        <v>311</v>
      </c>
      <c r="F552">
        <v>34.43</v>
      </c>
      <c r="G552">
        <v>10</v>
      </c>
      <c r="H552">
        <v>12</v>
      </c>
      <c r="I552" t="s">
        <v>354</v>
      </c>
      <c r="J552" s="9">
        <f t="shared" si="8"/>
        <v>10793.391840000002</v>
      </c>
    </row>
    <row r="553" spans="1:10">
      <c r="A553" t="s">
        <v>907</v>
      </c>
      <c r="B553" s="2">
        <v>45948</v>
      </c>
      <c r="C553" t="s">
        <v>332</v>
      </c>
      <c r="D553" t="s">
        <v>110</v>
      </c>
      <c r="E553">
        <v>204</v>
      </c>
      <c r="F553">
        <v>56.24</v>
      </c>
      <c r="G553">
        <v>2</v>
      </c>
      <c r="H553">
        <v>18</v>
      </c>
      <c r="I553" t="s">
        <v>354</v>
      </c>
      <c r="J553" s="9">
        <f t="shared" si="8"/>
        <v>13267.330944000001</v>
      </c>
    </row>
    <row r="554" spans="1:10">
      <c r="A554" t="s">
        <v>908</v>
      </c>
      <c r="B554" s="2">
        <v>45948</v>
      </c>
      <c r="C554" t="s">
        <v>322</v>
      </c>
      <c r="D554" t="s">
        <v>93</v>
      </c>
      <c r="E554">
        <v>154</v>
      </c>
      <c r="F554">
        <v>1409.34</v>
      </c>
      <c r="G554">
        <v>0</v>
      </c>
      <c r="H554">
        <v>18</v>
      </c>
      <c r="I554" t="s">
        <v>354</v>
      </c>
      <c r="J554" s="9">
        <f t="shared" si="8"/>
        <v>256105.26479999998</v>
      </c>
    </row>
    <row r="555" spans="1:10">
      <c r="A555" t="s">
        <v>909</v>
      </c>
      <c r="B555" s="2">
        <v>45948</v>
      </c>
      <c r="C555" t="s">
        <v>293</v>
      </c>
      <c r="D555" t="s">
        <v>84</v>
      </c>
      <c r="E555">
        <v>70</v>
      </c>
      <c r="F555">
        <v>787.11</v>
      </c>
      <c r="G555">
        <v>2</v>
      </c>
      <c r="H555">
        <v>18</v>
      </c>
      <c r="I555" t="s">
        <v>354</v>
      </c>
      <c r="J555" s="9">
        <f t="shared" si="8"/>
        <v>63714.980280000003</v>
      </c>
    </row>
    <row r="556" spans="1:10">
      <c r="A556" t="s">
        <v>910</v>
      </c>
      <c r="B556" s="2">
        <v>45949</v>
      </c>
      <c r="C556" t="s">
        <v>339</v>
      </c>
      <c r="D556" t="s">
        <v>114</v>
      </c>
      <c r="E556">
        <v>126</v>
      </c>
      <c r="F556">
        <v>69.930000000000007</v>
      </c>
      <c r="G556">
        <v>3</v>
      </c>
      <c r="H556">
        <v>12</v>
      </c>
      <c r="I556" t="s">
        <v>354</v>
      </c>
      <c r="J556" s="9">
        <f t="shared" si="8"/>
        <v>9572.4659520000005</v>
      </c>
    </row>
    <row r="557" spans="1:10">
      <c r="A557" t="s">
        <v>911</v>
      </c>
      <c r="B557" s="2">
        <v>45949</v>
      </c>
      <c r="C557" t="s">
        <v>291</v>
      </c>
      <c r="D557" t="s">
        <v>84</v>
      </c>
      <c r="E557">
        <v>487</v>
      </c>
      <c r="F557">
        <v>798.8</v>
      </c>
      <c r="G557">
        <v>2</v>
      </c>
      <c r="H557">
        <v>18</v>
      </c>
      <c r="I557" t="s">
        <v>354</v>
      </c>
      <c r="J557" s="9">
        <f t="shared" si="8"/>
        <v>449857.6398399999</v>
      </c>
    </row>
    <row r="558" spans="1:10">
      <c r="A558" t="s">
        <v>912</v>
      </c>
      <c r="B558" s="2">
        <v>45949</v>
      </c>
      <c r="C558" t="s">
        <v>330</v>
      </c>
      <c r="D558" t="s">
        <v>104</v>
      </c>
      <c r="E558">
        <v>179</v>
      </c>
      <c r="F558">
        <v>187.01</v>
      </c>
      <c r="G558">
        <v>2</v>
      </c>
      <c r="H558">
        <v>18</v>
      </c>
      <c r="I558" t="s">
        <v>354</v>
      </c>
      <c r="J558" s="9">
        <f t="shared" si="8"/>
        <v>38710.24715599999</v>
      </c>
    </row>
    <row r="559" spans="1:10">
      <c r="A559" t="s">
        <v>913</v>
      </c>
      <c r="B559" s="2">
        <v>45949</v>
      </c>
      <c r="C559" t="s">
        <v>327</v>
      </c>
      <c r="D559" t="s">
        <v>119</v>
      </c>
      <c r="E559">
        <v>138</v>
      </c>
      <c r="F559">
        <v>32.78</v>
      </c>
      <c r="G559">
        <v>0</v>
      </c>
      <c r="H559">
        <v>12</v>
      </c>
      <c r="I559" t="s">
        <v>354</v>
      </c>
      <c r="J559" s="9">
        <f t="shared" si="8"/>
        <v>5066.4768000000013</v>
      </c>
    </row>
    <row r="560" spans="1:10">
      <c r="A560" t="s">
        <v>914</v>
      </c>
      <c r="B560" s="2">
        <v>45950</v>
      </c>
      <c r="C560" t="s">
        <v>327</v>
      </c>
      <c r="D560" t="s">
        <v>119</v>
      </c>
      <c r="E560">
        <v>199</v>
      </c>
      <c r="F560">
        <v>31.29</v>
      </c>
      <c r="G560">
        <v>0</v>
      </c>
      <c r="H560">
        <v>12</v>
      </c>
      <c r="I560" t="s">
        <v>354</v>
      </c>
      <c r="J560" s="9">
        <f t="shared" si="8"/>
        <v>6973.9152000000004</v>
      </c>
    </row>
    <row r="561" spans="1:10">
      <c r="A561" t="s">
        <v>915</v>
      </c>
      <c r="B561" s="2">
        <v>45950</v>
      </c>
      <c r="C561" t="s">
        <v>314</v>
      </c>
      <c r="D561" t="s">
        <v>106</v>
      </c>
      <c r="E561">
        <v>68</v>
      </c>
      <c r="F561">
        <v>340.69</v>
      </c>
      <c r="G561">
        <v>0</v>
      </c>
      <c r="H561">
        <v>18</v>
      </c>
      <c r="I561" t="s">
        <v>354</v>
      </c>
      <c r="J561" s="9">
        <f t="shared" si="8"/>
        <v>27336.965599999996</v>
      </c>
    </row>
    <row r="562" spans="1:10">
      <c r="A562" t="s">
        <v>916</v>
      </c>
      <c r="B562" s="2">
        <v>45951</v>
      </c>
      <c r="C562" t="s">
        <v>266</v>
      </c>
      <c r="D562" t="s">
        <v>75</v>
      </c>
      <c r="E562">
        <v>203</v>
      </c>
      <c r="F562">
        <v>88.75</v>
      </c>
      <c r="G562">
        <v>10</v>
      </c>
      <c r="H562">
        <v>18</v>
      </c>
      <c r="I562" t="s">
        <v>354</v>
      </c>
      <c r="J562" s="9">
        <f t="shared" si="8"/>
        <v>19133.2575</v>
      </c>
    </row>
    <row r="563" spans="1:10">
      <c r="A563" t="s">
        <v>917</v>
      </c>
      <c r="B563" s="2">
        <v>45951</v>
      </c>
      <c r="C563" t="s">
        <v>342</v>
      </c>
      <c r="D563" t="s">
        <v>119</v>
      </c>
      <c r="E563">
        <v>363</v>
      </c>
      <c r="F563">
        <v>32.06</v>
      </c>
      <c r="G563">
        <v>0</v>
      </c>
      <c r="H563">
        <v>12</v>
      </c>
      <c r="I563" t="s">
        <v>365</v>
      </c>
      <c r="J563" s="9">
        <f t="shared" si="8"/>
        <v>13034.313600000001</v>
      </c>
    </row>
    <row r="564" spans="1:10">
      <c r="A564" t="s">
        <v>918</v>
      </c>
      <c r="B564" s="2">
        <v>45952</v>
      </c>
      <c r="C564" t="s">
        <v>336</v>
      </c>
      <c r="D564" t="s">
        <v>117</v>
      </c>
      <c r="E564">
        <v>266</v>
      </c>
      <c r="F564">
        <v>17.54</v>
      </c>
      <c r="G564">
        <v>0</v>
      </c>
      <c r="H564">
        <v>12</v>
      </c>
      <c r="I564" t="s">
        <v>354</v>
      </c>
      <c r="J564" s="9">
        <f t="shared" si="8"/>
        <v>5225.5167999999994</v>
      </c>
    </row>
    <row r="565" spans="1:10">
      <c r="A565" t="s">
        <v>919</v>
      </c>
      <c r="B565" s="2">
        <v>45954</v>
      </c>
      <c r="C565" t="s">
        <v>332</v>
      </c>
      <c r="D565" t="s">
        <v>110</v>
      </c>
      <c r="E565">
        <v>642</v>
      </c>
      <c r="F565">
        <v>57.37</v>
      </c>
      <c r="G565">
        <v>2</v>
      </c>
      <c r="H565">
        <v>18</v>
      </c>
      <c r="I565" t="s">
        <v>354</v>
      </c>
      <c r="J565" s="9">
        <f t="shared" si="8"/>
        <v>42591.992855999997</v>
      </c>
    </row>
    <row r="566" spans="1:10">
      <c r="A566" t="s">
        <v>920</v>
      </c>
      <c r="B566" s="2">
        <v>45954</v>
      </c>
      <c r="C566" t="s">
        <v>298</v>
      </c>
      <c r="D566" t="s">
        <v>97</v>
      </c>
      <c r="E566">
        <v>121</v>
      </c>
      <c r="F566">
        <v>181.95</v>
      </c>
      <c r="G566">
        <v>2</v>
      </c>
      <c r="H566">
        <v>18</v>
      </c>
      <c r="I566" t="s">
        <v>354</v>
      </c>
      <c r="J566" s="9">
        <f t="shared" si="8"/>
        <v>25459.244579999995</v>
      </c>
    </row>
    <row r="567" spans="1:10">
      <c r="A567" t="s">
        <v>921</v>
      </c>
      <c r="B567" s="2">
        <v>45955</v>
      </c>
      <c r="C567" t="s">
        <v>287</v>
      </c>
      <c r="D567" t="s">
        <v>89</v>
      </c>
      <c r="E567">
        <v>303</v>
      </c>
      <c r="F567">
        <v>91.81</v>
      </c>
      <c r="G567">
        <v>10</v>
      </c>
      <c r="H567">
        <v>18</v>
      </c>
      <c r="I567" t="s">
        <v>354</v>
      </c>
      <c r="J567" s="9">
        <f t="shared" si="8"/>
        <v>29543.172659999997</v>
      </c>
    </row>
    <row r="568" spans="1:10">
      <c r="A568" t="s">
        <v>922</v>
      </c>
      <c r="B568" s="2">
        <v>45957</v>
      </c>
      <c r="C568" t="s">
        <v>266</v>
      </c>
      <c r="D568" t="s">
        <v>106</v>
      </c>
      <c r="E568">
        <v>211</v>
      </c>
      <c r="F568">
        <v>361.16</v>
      </c>
      <c r="G568">
        <v>0</v>
      </c>
      <c r="H568">
        <v>18</v>
      </c>
      <c r="I568" t="s">
        <v>354</v>
      </c>
      <c r="J568" s="9">
        <f t="shared" si="8"/>
        <v>89921.616800000003</v>
      </c>
    </row>
    <row r="569" spans="1:10">
      <c r="A569" t="s">
        <v>923</v>
      </c>
      <c r="B569" s="2">
        <v>45957</v>
      </c>
      <c r="C569" t="s">
        <v>307</v>
      </c>
      <c r="D569" t="s">
        <v>108</v>
      </c>
      <c r="E569">
        <v>343</v>
      </c>
      <c r="F569">
        <v>35.32</v>
      </c>
      <c r="G569">
        <v>0</v>
      </c>
      <c r="H569">
        <v>18</v>
      </c>
      <c r="I569" t="s">
        <v>365</v>
      </c>
      <c r="J569" s="9">
        <f t="shared" si="8"/>
        <v>14295.416799999999</v>
      </c>
    </row>
    <row r="570" spans="1:10">
      <c r="A570" t="s">
        <v>924</v>
      </c>
      <c r="B570" s="2">
        <v>45957</v>
      </c>
      <c r="C570" t="s">
        <v>325</v>
      </c>
      <c r="D570" t="s">
        <v>99</v>
      </c>
      <c r="E570">
        <v>199</v>
      </c>
      <c r="F570">
        <v>212.06</v>
      </c>
      <c r="G570">
        <v>5</v>
      </c>
      <c r="H570">
        <v>18</v>
      </c>
      <c r="I570" t="s">
        <v>359</v>
      </c>
      <c r="J570" s="9">
        <f t="shared" si="8"/>
        <v>47306.132739999994</v>
      </c>
    </row>
    <row r="571" spans="1:10">
      <c r="A571" t="s">
        <v>925</v>
      </c>
      <c r="B571" s="2">
        <v>45957</v>
      </c>
      <c r="C571" t="s">
        <v>293</v>
      </c>
      <c r="D571" t="s">
        <v>95</v>
      </c>
      <c r="E571">
        <v>54</v>
      </c>
      <c r="F571">
        <v>250.14</v>
      </c>
      <c r="G571">
        <v>3</v>
      </c>
      <c r="H571">
        <v>18</v>
      </c>
      <c r="I571" t="s">
        <v>354</v>
      </c>
      <c r="J571" s="9">
        <f t="shared" si="8"/>
        <v>15460.753175999998</v>
      </c>
    </row>
    <row r="572" spans="1:10">
      <c r="A572" t="s">
        <v>926</v>
      </c>
      <c r="B572" s="2">
        <v>45957</v>
      </c>
      <c r="C572" t="s">
        <v>322</v>
      </c>
      <c r="D572" t="s">
        <v>95</v>
      </c>
      <c r="E572">
        <v>207</v>
      </c>
      <c r="F572">
        <v>262</v>
      </c>
      <c r="G572">
        <v>0</v>
      </c>
      <c r="H572">
        <v>18</v>
      </c>
      <c r="I572" t="s">
        <v>354</v>
      </c>
      <c r="J572" s="9">
        <f t="shared" si="8"/>
        <v>63996.119999999995</v>
      </c>
    </row>
    <row r="573" spans="1:10">
      <c r="A573" t="s">
        <v>927</v>
      </c>
      <c r="B573" s="2">
        <v>45959</v>
      </c>
      <c r="C573" t="s">
        <v>285</v>
      </c>
      <c r="D573" t="s">
        <v>89</v>
      </c>
      <c r="E573">
        <v>520</v>
      </c>
      <c r="F573">
        <v>92.08</v>
      </c>
      <c r="G573">
        <v>0</v>
      </c>
      <c r="H573">
        <v>18</v>
      </c>
      <c r="I573" t="s">
        <v>354</v>
      </c>
      <c r="J573" s="9">
        <f t="shared" si="8"/>
        <v>56500.287999999993</v>
      </c>
    </row>
    <row r="574" spans="1:10">
      <c r="A574" t="s">
        <v>928</v>
      </c>
      <c r="B574" s="2">
        <v>45959</v>
      </c>
      <c r="C574" t="s">
        <v>280</v>
      </c>
      <c r="D574" t="s">
        <v>70</v>
      </c>
      <c r="E574">
        <v>214</v>
      </c>
      <c r="F574">
        <v>236.03</v>
      </c>
      <c r="G574">
        <v>7</v>
      </c>
      <c r="H574">
        <v>18</v>
      </c>
      <c r="I574" t="s">
        <v>354</v>
      </c>
      <c r="J574" s="9">
        <f t="shared" si="8"/>
        <v>55430.134907999993</v>
      </c>
    </row>
    <row r="575" spans="1:10">
      <c r="A575" t="s">
        <v>929</v>
      </c>
      <c r="B575" s="2">
        <v>45960</v>
      </c>
      <c r="C575" t="s">
        <v>283</v>
      </c>
      <c r="D575" t="s">
        <v>93</v>
      </c>
      <c r="E575">
        <v>691</v>
      </c>
      <c r="F575">
        <v>1507.13</v>
      </c>
      <c r="G575">
        <v>7</v>
      </c>
      <c r="H575">
        <v>18</v>
      </c>
      <c r="I575" t="s">
        <v>354</v>
      </c>
      <c r="J575" s="9">
        <f t="shared" si="8"/>
        <v>1142861.8032419998</v>
      </c>
    </row>
    <row r="576" spans="1:10">
      <c r="A576" t="s">
        <v>930</v>
      </c>
      <c r="B576" s="2">
        <v>45960</v>
      </c>
      <c r="C576" t="s">
        <v>295</v>
      </c>
      <c r="D576" t="s">
        <v>77</v>
      </c>
      <c r="E576">
        <v>149</v>
      </c>
      <c r="F576">
        <v>115.85</v>
      </c>
      <c r="G576">
        <v>10</v>
      </c>
      <c r="H576">
        <v>18</v>
      </c>
      <c r="I576" t="s">
        <v>354</v>
      </c>
      <c r="J576" s="9">
        <f t="shared" si="8"/>
        <v>18331.872299999999</v>
      </c>
    </row>
    <row r="577" spans="1:10">
      <c r="A577" t="s">
        <v>931</v>
      </c>
      <c r="B577" s="2">
        <v>45961</v>
      </c>
      <c r="C577" t="s">
        <v>280</v>
      </c>
      <c r="D577" t="s">
        <v>89</v>
      </c>
      <c r="E577">
        <v>519</v>
      </c>
      <c r="F577">
        <v>89.99</v>
      </c>
      <c r="G577">
        <v>7</v>
      </c>
      <c r="H577">
        <v>18</v>
      </c>
      <c r="I577" t="s">
        <v>354</v>
      </c>
      <c r="J577" s="9">
        <f t="shared" si="8"/>
        <v>51253.858493999993</v>
      </c>
    </row>
    <row r="578" spans="1:10">
      <c r="A578" t="s">
        <v>932</v>
      </c>
      <c r="B578" s="2">
        <v>45961</v>
      </c>
      <c r="C578" t="s">
        <v>332</v>
      </c>
      <c r="D578" t="s">
        <v>110</v>
      </c>
      <c r="E578">
        <v>315</v>
      </c>
      <c r="F578">
        <v>52.77</v>
      </c>
      <c r="G578">
        <v>5</v>
      </c>
      <c r="H578">
        <v>18</v>
      </c>
      <c r="I578" t="s">
        <v>365</v>
      </c>
      <c r="J578" s="9">
        <f t="shared" si="8"/>
        <v>18633.878549999998</v>
      </c>
    </row>
    <row r="579" spans="1:10">
      <c r="A579" t="s">
        <v>933</v>
      </c>
      <c r="B579" s="2">
        <v>45962</v>
      </c>
      <c r="C579" t="s">
        <v>271</v>
      </c>
      <c r="D579" t="s">
        <v>87</v>
      </c>
      <c r="E579">
        <v>338</v>
      </c>
      <c r="F579">
        <v>126.66</v>
      </c>
      <c r="G579">
        <v>7</v>
      </c>
      <c r="H579">
        <v>18</v>
      </c>
      <c r="I579" t="s">
        <v>354</v>
      </c>
      <c r="J579" s="9">
        <f t="shared" ref="J579:J642" si="9">E579*F579*(1-G579/100)*(1+H579/100)</f>
        <v>46980.879192</v>
      </c>
    </row>
    <row r="580" spans="1:10">
      <c r="A580" t="s">
        <v>934</v>
      </c>
      <c r="B580" s="2">
        <v>45963</v>
      </c>
      <c r="C580" t="s">
        <v>305</v>
      </c>
      <c r="D580" t="s">
        <v>91</v>
      </c>
      <c r="E580">
        <v>257</v>
      </c>
      <c r="F580">
        <v>471.82</v>
      </c>
      <c r="G580">
        <v>0</v>
      </c>
      <c r="H580">
        <v>18</v>
      </c>
      <c r="I580" t="s">
        <v>354</v>
      </c>
      <c r="J580" s="9">
        <f t="shared" si="9"/>
        <v>143084.13320000001</v>
      </c>
    </row>
    <row r="581" spans="1:10">
      <c r="A581" t="s">
        <v>935</v>
      </c>
      <c r="B581" s="2">
        <v>45963</v>
      </c>
      <c r="C581" t="s">
        <v>295</v>
      </c>
      <c r="D581" t="s">
        <v>87</v>
      </c>
      <c r="E581">
        <v>129</v>
      </c>
      <c r="F581">
        <v>118.81</v>
      </c>
      <c r="G581">
        <v>10</v>
      </c>
      <c r="H581">
        <v>18</v>
      </c>
      <c r="I581" t="s">
        <v>365</v>
      </c>
      <c r="J581" s="9">
        <f t="shared" si="9"/>
        <v>16276.732379999999</v>
      </c>
    </row>
    <row r="582" spans="1:10">
      <c r="A582" t="s">
        <v>936</v>
      </c>
      <c r="B582" s="2">
        <v>45963</v>
      </c>
      <c r="C582" t="s">
        <v>298</v>
      </c>
      <c r="D582" t="s">
        <v>81</v>
      </c>
      <c r="E582">
        <v>261</v>
      </c>
      <c r="F582">
        <v>70.989999999999995</v>
      </c>
      <c r="G582">
        <v>5</v>
      </c>
      <c r="H582">
        <v>18</v>
      </c>
      <c r="I582" t="s">
        <v>354</v>
      </c>
      <c r="J582" s="9">
        <f t="shared" si="9"/>
        <v>20770.32519</v>
      </c>
    </row>
    <row r="583" spans="1:10">
      <c r="A583" t="s">
        <v>937</v>
      </c>
      <c r="B583" s="2">
        <v>45964</v>
      </c>
      <c r="C583" t="s">
        <v>317</v>
      </c>
      <c r="D583" t="s">
        <v>104</v>
      </c>
      <c r="E583">
        <v>292</v>
      </c>
      <c r="F583">
        <v>179.49</v>
      </c>
      <c r="G583">
        <v>0</v>
      </c>
      <c r="H583">
        <v>18</v>
      </c>
      <c r="I583" t="s">
        <v>354</v>
      </c>
      <c r="J583" s="9">
        <f t="shared" si="9"/>
        <v>61845.074399999998</v>
      </c>
    </row>
    <row r="584" spans="1:10">
      <c r="A584" t="s">
        <v>938</v>
      </c>
      <c r="B584" s="2">
        <v>45965</v>
      </c>
      <c r="C584" t="s">
        <v>274</v>
      </c>
      <c r="D584" t="s">
        <v>108</v>
      </c>
      <c r="E584">
        <v>133</v>
      </c>
      <c r="F584">
        <v>37.32</v>
      </c>
      <c r="G584">
        <v>5</v>
      </c>
      <c r="H584">
        <v>18</v>
      </c>
      <c r="I584" t="s">
        <v>354</v>
      </c>
      <c r="J584" s="9">
        <f t="shared" si="9"/>
        <v>5564.1507600000004</v>
      </c>
    </row>
    <row r="585" spans="1:10">
      <c r="A585" t="s">
        <v>939</v>
      </c>
      <c r="B585" s="2">
        <v>45965</v>
      </c>
      <c r="C585" t="s">
        <v>327</v>
      </c>
      <c r="D585" t="s">
        <v>117</v>
      </c>
      <c r="E585">
        <v>278</v>
      </c>
      <c r="F585">
        <v>19.11</v>
      </c>
      <c r="G585">
        <v>3</v>
      </c>
      <c r="H585">
        <v>12</v>
      </c>
      <c r="I585" t="s">
        <v>354</v>
      </c>
      <c r="J585" s="9">
        <f t="shared" si="9"/>
        <v>5771.5869119999998</v>
      </c>
    </row>
    <row r="586" spans="1:10">
      <c r="A586" t="s">
        <v>940</v>
      </c>
      <c r="B586" s="2">
        <v>45965</v>
      </c>
      <c r="C586" t="s">
        <v>332</v>
      </c>
      <c r="D586" t="s">
        <v>110</v>
      </c>
      <c r="E586">
        <v>222</v>
      </c>
      <c r="F586">
        <v>56.61</v>
      </c>
      <c r="G586">
        <v>5</v>
      </c>
      <c r="H586">
        <v>18</v>
      </c>
      <c r="I586" t="s">
        <v>354</v>
      </c>
      <c r="J586" s="9">
        <f t="shared" si="9"/>
        <v>14088.077819999999</v>
      </c>
    </row>
    <row r="587" spans="1:10">
      <c r="A587" t="s">
        <v>941</v>
      </c>
      <c r="B587" s="2">
        <v>45965</v>
      </c>
      <c r="C587" t="s">
        <v>320</v>
      </c>
      <c r="D587" t="s">
        <v>91</v>
      </c>
      <c r="E587">
        <v>289</v>
      </c>
      <c r="F587">
        <v>517.79999999999995</v>
      </c>
      <c r="G587">
        <v>5</v>
      </c>
      <c r="H587">
        <v>18</v>
      </c>
      <c r="I587" t="s">
        <v>365</v>
      </c>
      <c r="J587" s="9">
        <f t="shared" si="9"/>
        <v>167751.14819999997</v>
      </c>
    </row>
    <row r="588" spans="1:10">
      <c r="A588" t="s">
        <v>942</v>
      </c>
      <c r="B588" s="2">
        <v>45966</v>
      </c>
      <c r="C588" t="s">
        <v>287</v>
      </c>
      <c r="D588" t="s">
        <v>70</v>
      </c>
      <c r="E588">
        <v>389</v>
      </c>
      <c r="F588">
        <v>250.74</v>
      </c>
      <c r="G588">
        <v>3</v>
      </c>
      <c r="H588">
        <v>18</v>
      </c>
      <c r="I588" t="s">
        <v>354</v>
      </c>
      <c r="J588" s="9">
        <f t="shared" si="9"/>
        <v>111641.83455599999</v>
      </c>
    </row>
    <row r="589" spans="1:10">
      <c r="A589" t="s">
        <v>943</v>
      </c>
      <c r="B589" s="2">
        <v>45966</v>
      </c>
      <c r="C589" t="s">
        <v>283</v>
      </c>
      <c r="D589" t="s">
        <v>93</v>
      </c>
      <c r="E589">
        <v>152</v>
      </c>
      <c r="F589">
        <v>1523.42</v>
      </c>
      <c r="G589">
        <v>0</v>
      </c>
      <c r="H589">
        <v>18</v>
      </c>
      <c r="I589" t="s">
        <v>354</v>
      </c>
      <c r="J589" s="9">
        <f t="shared" si="9"/>
        <v>273240.61120000004</v>
      </c>
    </row>
    <row r="590" spans="1:10">
      <c r="A590" t="s">
        <v>944</v>
      </c>
      <c r="B590" s="2">
        <v>45968</v>
      </c>
      <c r="C590" t="s">
        <v>278</v>
      </c>
      <c r="D590" t="s">
        <v>68</v>
      </c>
      <c r="E590">
        <v>834</v>
      </c>
      <c r="F590">
        <v>304.86</v>
      </c>
      <c r="G590">
        <v>2</v>
      </c>
      <c r="H590">
        <v>18</v>
      </c>
      <c r="I590" t="s">
        <v>365</v>
      </c>
      <c r="J590" s="9">
        <f t="shared" si="9"/>
        <v>294018.44673600001</v>
      </c>
    </row>
    <row r="591" spans="1:10">
      <c r="A591" t="s">
        <v>945</v>
      </c>
      <c r="B591" s="2">
        <v>45968</v>
      </c>
      <c r="C591" t="s">
        <v>314</v>
      </c>
      <c r="D591" t="s">
        <v>84</v>
      </c>
      <c r="E591">
        <v>219</v>
      </c>
      <c r="F591">
        <v>782.9</v>
      </c>
      <c r="G591">
        <v>0</v>
      </c>
      <c r="H591">
        <v>18</v>
      </c>
      <c r="I591" t="s">
        <v>354</v>
      </c>
      <c r="J591" s="9">
        <f t="shared" si="9"/>
        <v>202317.01799999998</v>
      </c>
    </row>
    <row r="592" spans="1:10">
      <c r="A592" t="s">
        <v>946</v>
      </c>
      <c r="B592" s="2">
        <v>45968</v>
      </c>
      <c r="C592" t="s">
        <v>344</v>
      </c>
      <c r="D592" t="s">
        <v>95</v>
      </c>
      <c r="E592">
        <v>404</v>
      </c>
      <c r="F592">
        <v>245.95</v>
      </c>
      <c r="G592">
        <v>0</v>
      </c>
      <c r="H592">
        <v>18</v>
      </c>
      <c r="I592" t="s">
        <v>354</v>
      </c>
      <c r="J592" s="9">
        <f t="shared" si="9"/>
        <v>117249.28399999999</v>
      </c>
    </row>
    <row r="593" spans="1:10">
      <c r="A593" t="s">
        <v>947</v>
      </c>
      <c r="B593" s="2">
        <v>45968</v>
      </c>
      <c r="C593" t="s">
        <v>336</v>
      </c>
      <c r="D593" t="s">
        <v>119</v>
      </c>
      <c r="E593">
        <v>101</v>
      </c>
      <c r="F593">
        <v>30.42</v>
      </c>
      <c r="G593">
        <v>5</v>
      </c>
      <c r="H593">
        <v>12</v>
      </c>
      <c r="I593" t="s">
        <v>354</v>
      </c>
      <c r="J593" s="9">
        <f t="shared" si="9"/>
        <v>3269.0548800000001</v>
      </c>
    </row>
    <row r="594" spans="1:10">
      <c r="A594" t="s">
        <v>948</v>
      </c>
      <c r="B594" s="2">
        <v>45968</v>
      </c>
      <c r="C594" t="s">
        <v>307</v>
      </c>
      <c r="D594" t="s">
        <v>87</v>
      </c>
      <c r="E594">
        <v>510</v>
      </c>
      <c r="F594">
        <v>125.05</v>
      </c>
      <c r="G594">
        <v>5</v>
      </c>
      <c r="H594">
        <v>18</v>
      </c>
      <c r="I594" t="s">
        <v>359</v>
      </c>
      <c r="J594" s="9">
        <f t="shared" si="9"/>
        <v>71492.335500000001</v>
      </c>
    </row>
    <row r="595" spans="1:10">
      <c r="A595" t="s">
        <v>949</v>
      </c>
      <c r="B595" s="2">
        <v>45968</v>
      </c>
      <c r="C595" t="s">
        <v>274</v>
      </c>
      <c r="D595" t="s">
        <v>65</v>
      </c>
      <c r="E595">
        <v>46</v>
      </c>
      <c r="F595">
        <v>184.67</v>
      </c>
      <c r="G595">
        <v>2</v>
      </c>
      <c r="H595">
        <v>18</v>
      </c>
      <c r="I595" t="s">
        <v>354</v>
      </c>
      <c r="J595" s="9">
        <f t="shared" si="9"/>
        <v>9823.4098479999993</v>
      </c>
    </row>
    <row r="596" spans="1:10">
      <c r="A596" t="s">
        <v>950</v>
      </c>
      <c r="B596" s="2">
        <v>45970</v>
      </c>
      <c r="C596" t="s">
        <v>342</v>
      </c>
      <c r="D596" t="s">
        <v>117</v>
      </c>
      <c r="E596">
        <v>381</v>
      </c>
      <c r="F596">
        <v>18.04</v>
      </c>
      <c r="G596">
        <v>7</v>
      </c>
      <c r="H596">
        <v>12</v>
      </c>
      <c r="I596" t="s">
        <v>354</v>
      </c>
      <c r="J596" s="9">
        <f t="shared" si="9"/>
        <v>7159.166784</v>
      </c>
    </row>
    <row r="597" spans="1:10">
      <c r="A597" t="s">
        <v>951</v>
      </c>
      <c r="B597" s="2">
        <v>45971</v>
      </c>
      <c r="C597" t="s">
        <v>285</v>
      </c>
      <c r="D597" t="s">
        <v>102</v>
      </c>
      <c r="E597">
        <v>129</v>
      </c>
      <c r="F597">
        <v>615.63</v>
      </c>
      <c r="G597">
        <v>0</v>
      </c>
      <c r="H597">
        <v>18</v>
      </c>
      <c r="I597" t="s">
        <v>354</v>
      </c>
      <c r="J597" s="9">
        <f t="shared" si="9"/>
        <v>93711.198600000003</v>
      </c>
    </row>
    <row r="598" spans="1:10">
      <c r="A598" t="s">
        <v>952</v>
      </c>
      <c r="B598" s="2">
        <v>45971</v>
      </c>
      <c r="C598" t="s">
        <v>325</v>
      </c>
      <c r="D598" t="s">
        <v>99</v>
      </c>
      <c r="E598">
        <v>479</v>
      </c>
      <c r="F598">
        <v>224.83</v>
      </c>
      <c r="G598">
        <v>3</v>
      </c>
      <c r="H598">
        <v>18</v>
      </c>
      <c r="I598" t="s">
        <v>354</v>
      </c>
      <c r="J598" s="9">
        <f t="shared" si="9"/>
        <v>123266.060222</v>
      </c>
    </row>
    <row r="599" spans="1:10">
      <c r="A599" t="s">
        <v>953</v>
      </c>
      <c r="B599" s="2">
        <v>45971</v>
      </c>
      <c r="C599" t="s">
        <v>307</v>
      </c>
      <c r="D599" t="s">
        <v>87</v>
      </c>
      <c r="E599">
        <v>334</v>
      </c>
      <c r="F599">
        <v>125.34</v>
      </c>
      <c r="G599">
        <v>7</v>
      </c>
      <c r="H599">
        <v>18</v>
      </c>
      <c r="I599" t="s">
        <v>354</v>
      </c>
      <c r="J599" s="9">
        <f t="shared" si="9"/>
        <v>45941.07074399999</v>
      </c>
    </row>
    <row r="600" spans="1:10">
      <c r="A600" t="s">
        <v>954</v>
      </c>
      <c r="B600" s="2">
        <v>45973</v>
      </c>
      <c r="C600" t="s">
        <v>305</v>
      </c>
      <c r="D600" t="s">
        <v>104</v>
      </c>
      <c r="E600">
        <v>455</v>
      </c>
      <c r="F600">
        <v>185.53</v>
      </c>
      <c r="G600">
        <v>0</v>
      </c>
      <c r="H600">
        <v>18</v>
      </c>
      <c r="I600" t="s">
        <v>354</v>
      </c>
      <c r="J600" s="9">
        <f t="shared" si="9"/>
        <v>99611.056999999986</v>
      </c>
    </row>
    <row r="601" spans="1:10">
      <c r="A601" t="s">
        <v>955</v>
      </c>
      <c r="B601" s="2">
        <v>45973</v>
      </c>
      <c r="C601" t="s">
        <v>302</v>
      </c>
      <c r="D601" t="s">
        <v>104</v>
      </c>
      <c r="E601">
        <v>210</v>
      </c>
      <c r="F601">
        <v>197.84</v>
      </c>
      <c r="G601">
        <v>2</v>
      </c>
      <c r="H601">
        <v>18</v>
      </c>
      <c r="I601" t="s">
        <v>354</v>
      </c>
      <c r="J601" s="9">
        <f t="shared" si="9"/>
        <v>48044.256959999999</v>
      </c>
    </row>
    <row r="602" spans="1:10">
      <c r="A602" t="s">
        <v>956</v>
      </c>
      <c r="B602" s="2">
        <v>45974</v>
      </c>
      <c r="C602" t="s">
        <v>314</v>
      </c>
      <c r="D602" t="s">
        <v>106</v>
      </c>
      <c r="E602">
        <v>183</v>
      </c>
      <c r="F602">
        <v>358.55</v>
      </c>
      <c r="G602">
        <v>2</v>
      </c>
      <c r="H602">
        <v>18</v>
      </c>
      <c r="I602" t="s">
        <v>354</v>
      </c>
      <c r="J602" s="9">
        <f t="shared" si="9"/>
        <v>75876.781260000003</v>
      </c>
    </row>
    <row r="603" spans="1:10">
      <c r="A603" t="s">
        <v>957</v>
      </c>
      <c r="B603" s="2">
        <v>45974</v>
      </c>
      <c r="C603" t="s">
        <v>287</v>
      </c>
      <c r="D603" t="s">
        <v>89</v>
      </c>
      <c r="E603">
        <v>270</v>
      </c>
      <c r="F603">
        <v>99.22</v>
      </c>
      <c r="G603">
        <v>0</v>
      </c>
      <c r="H603">
        <v>18</v>
      </c>
      <c r="I603" t="s">
        <v>354</v>
      </c>
      <c r="J603" s="9">
        <f t="shared" si="9"/>
        <v>31611.491999999998</v>
      </c>
    </row>
    <row r="604" spans="1:10">
      <c r="A604" t="s">
        <v>958</v>
      </c>
      <c r="B604" s="2">
        <v>45974</v>
      </c>
      <c r="C604" t="s">
        <v>320</v>
      </c>
      <c r="D604" t="s">
        <v>91</v>
      </c>
      <c r="E604">
        <v>54</v>
      </c>
      <c r="F604">
        <v>518.32000000000005</v>
      </c>
      <c r="G604">
        <v>7</v>
      </c>
      <c r="H604">
        <v>18</v>
      </c>
      <c r="I604" t="s">
        <v>365</v>
      </c>
      <c r="J604" s="9">
        <f t="shared" si="9"/>
        <v>30715.435871999998</v>
      </c>
    </row>
    <row r="605" spans="1:10">
      <c r="A605" t="s">
        <v>959</v>
      </c>
      <c r="B605" s="2">
        <v>45975</v>
      </c>
      <c r="C605" t="s">
        <v>325</v>
      </c>
      <c r="D605" t="s">
        <v>99</v>
      </c>
      <c r="E605">
        <v>229</v>
      </c>
      <c r="F605">
        <v>223.16</v>
      </c>
      <c r="G605">
        <v>0</v>
      </c>
      <c r="H605">
        <v>18</v>
      </c>
      <c r="I605" t="s">
        <v>354</v>
      </c>
      <c r="J605" s="9">
        <f t="shared" si="9"/>
        <v>60302.295199999993</v>
      </c>
    </row>
    <row r="606" spans="1:10">
      <c r="A606" t="s">
        <v>960</v>
      </c>
      <c r="B606" s="2">
        <v>45976</v>
      </c>
      <c r="C606" t="s">
        <v>307</v>
      </c>
      <c r="D606" t="s">
        <v>108</v>
      </c>
      <c r="E606">
        <v>149</v>
      </c>
      <c r="F606">
        <v>36.229999999999997</v>
      </c>
      <c r="G606">
        <v>3</v>
      </c>
      <c r="H606">
        <v>18</v>
      </c>
      <c r="I606" t="s">
        <v>354</v>
      </c>
      <c r="J606" s="9">
        <f t="shared" si="9"/>
        <v>6178.8598419999989</v>
      </c>
    </row>
    <row r="607" spans="1:10">
      <c r="A607" t="s">
        <v>961</v>
      </c>
      <c r="B607" s="2">
        <v>45977</v>
      </c>
      <c r="C607" t="s">
        <v>342</v>
      </c>
      <c r="D607" t="s">
        <v>117</v>
      </c>
      <c r="E607">
        <v>324</v>
      </c>
      <c r="F607">
        <v>17.309999999999999</v>
      </c>
      <c r="G607">
        <v>0</v>
      </c>
      <c r="H607">
        <v>12</v>
      </c>
      <c r="I607" t="s">
        <v>365</v>
      </c>
      <c r="J607" s="9">
        <f t="shared" si="9"/>
        <v>6281.4528</v>
      </c>
    </row>
    <row r="608" spans="1:10">
      <c r="A608" t="s">
        <v>962</v>
      </c>
      <c r="B608" s="2">
        <v>45977</v>
      </c>
      <c r="C608" t="s">
        <v>298</v>
      </c>
      <c r="D608" t="s">
        <v>81</v>
      </c>
      <c r="E608">
        <v>64</v>
      </c>
      <c r="F608">
        <v>75.36</v>
      </c>
      <c r="G608">
        <v>0</v>
      </c>
      <c r="H608">
        <v>18</v>
      </c>
      <c r="I608" t="s">
        <v>354</v>
      </c>
      <c r="J608" s="9">
        <f t="shared" si="9"/>
        <v>5691.1871999999994</v>
      </c>
    </row>
    <row r="609" spans="1:10">
      <c r="A609" t="s">
        <v>963</v>
      </c>
      <c r="B609" s="2">
        <v>45977</v>
      </c>
      <c r="C609" t="s">
        <v>339</v>
      </c>
      <c r="D609" t="s">
        <v>117</v>
      </c>
      <c r="E609">
        <v>79</v>
      </c>
      <c r="F609">
        <v>19.23</v>
      </c>
      <c r="G609">
        <v>10</v>
      </c>
      <c r="H609">
        <v>12</v>
      </c>
      <c r="I609" t="s">
        <v>354</v>
      </c>
      <c r="J609" s="9">
        <f t="shared" si="9"/>
        <v>1531.3233600000003</v>
      </c>
    </row>
    <row r="610" spans="1:10">
      <c r="A610" t="s">
        <v>964</v>
      </c>
      <c r="B610" s="2">
        <v>45978</v>
      </c>
      <c r="C610" t="s">
        <v>298</v>
      </c>
      <c r="D610" t="s">
        <v>81</v>
      </c>
      <c r="E610">
        <v>275</v>
      </c>
      <c r="F610">
        <v>68.45</v>
      </c>
      <c r="G610">
        <v>2</v>
      </c>
      <c r="H610">
        <v>18</v>
      </c>
      <c r="I610" t="s">
        <v>354</v>
      </c>
      <c r="J610" s="9">
        <f t="shared" si="9"/>
        <v>21767.784500000002</v>
      </c>
    </row>
    <row r="611" spans="1:10">
      <c r="A611" t="s">
        <v>965</v>
      </c>
      <c r="B611" s="2">
        <v>45978</v>
      </c>
      <c r="C611" t="s">
        <v>339</v>
      </c>
      <c r="D611" t="s">
        <v>117</v>
      </c>
      <c r="E611">
        <v>617</v>
      </c>
      <c r="F611">
        <v>19.34</v>
      </c>
      <c r="G611">
        <v>7</v>
      </c>
      <c r="H611">
        <v>12</v>
      </c>
      <c r="I611" t="s">
        <v>354</v>
      </c>
      <c r="J611" s="9">
        <f t="shared" si="9"/>
        <v>12429.183648</v>
      </c>
    </row>
    <row r="612" spans="1:10">
      <c r="A612" t="s">
        <v>966</v>
      </c>
      <c r="B612" s="2">
        <v>45979</v>
      </c>
      <c r="C612" t="s">
        <v>310</v>
      </c>
      <c r="D612" t="s">
        <v>89</v>
      </c>
      <c r="E612">
        <v>247</v>
      </c>
      <c r="F612">
        <v>101.67</v>
      </c>
      <c r="G612">
        <v>10</v>
      </c>
      <c r="H612">
        <v>18</v>
      </c>
      <c r="I612" t="s">
        <v>354</v>
      </c>
      <c r="J612" s="9">
        <f t="shared" si="9"/>
        <v>26669.464380000001</v>
      </c>
    </row>
    <row r="613" spans="1:10">
      <c r="A613" t="s">
        <v>967</v>
      </c>
      <c r="B613" s="2">
        <v>45980</v>
      </c>
      <c r="C613" t="s">
        <v>285</v>
      </c>
      <c r="D613" t="s">
        <v>70</v>
      </c>
      <c r="E613">
        <v>187</v>
      </c>
      <c r="F613">
        <v>238.16</v>
      </c>
      <c r="G613">
        <v>2</v>
      </c>
      <c r="H613">
        <v>18</v>
      </c>
      <c r="I613" t="s">
        <v>354</v>
      </c>
      <c r="J613" s="9">
        <f t="shared" si="9"/>
        <v>51501.337887999995</v>
      </c>
    </row>
    <row r="614" spans="1:10">
      <c r="A614" t="s">
        <v>968</v>
      </c>
      <c r="B614" s="2">
        <v>45980</v>
      </c>
      <c r="C614" t="s">
        <v>325</v>
      </c>
      <c r="D614" t="s">
        <v>99</v>
      </c>
      <c r="E614">
        <v>393</v>
      </c>
      <c r="F614">
        <v>204.58</v>
      </c>
      <c r="G614">
        <v>5</v>
      </c>
      <c r="H614">
        <v>18</v>
      </c>
      <c r="I614" t="s">
        <v>354</v>
      </c>
      <c r="J614" s="9">
        <f t="shared" si="9"/>
        <v>90128.332739999998</v>
      </c>
    </row>
    <row r="615" spans="1:10">
      <c r="A615" t="s">
        <v>969</v>
      </c>
      <c r="B615" s="2">
        <v>45981</v>
      </c>
      <c r="C615" t="s">
        <v>278</v>
      </c>
      <c r="D615" t="s">
        <v>87</v>
      </c>
      <c r="E615">
        <v>276</v>
      </c>
      <c r="F615">
        <v>123.03</v>
      </c>
      <c r="G615">
        <v>5</v>
      </c>
      <c r="H615">
        <v>18</v>
      </c>
      <c r="I615" t="s">
        <v>354</v>
      </c>
      <c r="J615" s="9">
        <f t="shared" si="9"/>
        <v>38064.989879999994</v>
      </c>
    </row>
    <row r="616" spans="1:10">
      <c r="A616" t="s">
        <v>970</v>
      </c>
      <c r="B616" s="2">
        <v>45982</v>
      </c>
      <c r="C616" t="s">
        <v>344</v>
      </c>
      <c r="D616" t="s">
        <v>95</v>
      </c>
      <c r="E616">
        <v>165</v>
      </c>
      <c r="F616">
        <v>276.25</v>
      </c>
      <c r="G616">
        <v>0</v>
      </c>
      <c r="H616">
        <v>18</v>
      </c>
      <c r="I616" t="s">
        <v>354</v>
      </c>
      <c r="J616" s="9">
        <f t="shared" si="9"/>
        <v>53785.875</v>
      </c>
    </row>
    <row r="617" spans="1:10">
      <c r="A617" t="s">
        <v>971</v>
      </c>
      <c r="B617" s="2">
        <v>45982</v>
      </c>
      <c r="C617" t="s">
        <v>317</v>
      </c>
      <c r="D617" t="s">
        <v>91</v>
      </c>
      <c r="E617">
        <v>221</v>
      </c>
      <c r="F617">
        <v>491.69</v>
      </c>
      <c r="G617">
        <v>2</v>
      </c>
      <c r="H617">
        <v>18</v>
      </c>
      <c r="I617" t="s">
        <v>354</v>
      </c>
      <c r="J617" s="9">
        <f t="shared" si="9"/>
        <v>125658.45983599999</v>
      </c>
    </row>
    <row r="618" spans="1:10">
      <c r="A618" t="s">
        <v>972</v>
      </c>
      <c r="B618" s="2">
        <v>45982</v>
      </c>
      <c r="C618" t="s">
        <v>278</v>
      </c>
      <c r="D618" t="s">
        <v>87</v>
      </c>
      <c r="E618">
        <v>278</v>
      </c>
      <c r="F618">
        <v>123.43</v>
      </c>
      <c r="G618">
        <v>0</v>
      </c>
      <c r="H618">
        <v>18</v>
      </c>
      <c r="I618" t="s">
        <v>365</v>
      </c>
      <c r="J618" s="9">
        <f t="shared" si="9"/>
        <v>40489.977200000001</v>
      </c>
    </row>
    <row r="619" spans="1:10">
      <c r="A619" t="s">
        <v>973</v>
      </c>
      <c r="B619" s="2">
        <v>45982</v>
      </c>
      <c r="C619" t="s">
        <v>339</v>
      </c>
      <c r="D619" t="s">
        <v>117</v>
      </c>
      <c r="E619">
        <v>117</v>
      </c>
      <c r="F619">
        <v>18.63</v>
      </c>
      <c r="G619">
        <v>2</v>
      </c>
      <c r="H619">
        <v>12</v>
      </c>
      <c r="I619" t="s">
        <v>354</v>
      </c>
      <c r="J619" s="9">
        <f t="shared" si="9"/>
        <v>2392.4496960000001</v>
      </c>
    </row>
    <row r="620" spans="1:10">
      <c r="A620" t="s">
        <v>974</v>
      </c>
      <c r="B620" s="2">
        <v>45983</v>
      </c>
      <c r="C620" t="s">
        <v>330</v>
      </c>
      <c r="D620" t="s">
        <v>104</v>
      </c>
      <c r="E620">
        <v>218</v>
      </c>
      <c r="F620">
        <v>178.89</v>
      </c>
      <c r="G620">
        <v>7</v>
      </c>
      <c r="H620">
        <v>18</v>
      </c>
      <c r="I620" t="s">
        <v>354</v>
      </c>
      <c r="J620" s="9">
        <f t="shared" si="9"/>
        <v>42796.427147999995</v>
      </c>
    </row>
    <row r="621" spans="1:10">
      <c r="A621" t="s">
        <v>975</v>
      </c>
      <c r="B621" s="2">
        <v>45983</v>
      </c>
      <c r="C621" t="s">
        <v>307</v>
      </c>
      <c r="D621" t="s">
        <v>87</v>
      </c>
      <c r="E621">
        <v>234</v>
      </c>
      <c r="F621">
        <v>122.48</v>
      </c>
      <c r="G621">
        <v>0</v>
      </c>
      <c r="H621">
        <v>18</v>
      </c>
      <c r="I621" t="s">
        <v>354</v>
      </c>
      <c r="J621" s="9">
        <f t="shared" si="9"/>
        <v>33819.177599999995</v>
      </c>
    </row>
    <row r="622" spans="1:10">
      <c r="A622" t="s">
        <v>976</v>
      </c>
      <c r="B622" s="2">
        <v>45983</v>
      </c>
      <c r="C622" t="s">
        <v>344</v>
      </c>
      <c r="D622" t="s">
        <v>95</v>
      </c>
      <c r="E622">
        <v>352</v>
      </c>
      <c r="F622">
        <v>245.17</v>
      </c>
      <c r="G622">
        <v>0</v>
      </c>
      <c r="H622">
        <v>18</v>
      </c>
      <c r="I622" t="s">
        <v>354</v>
      </c>
      <c r="J622" s="9">
        <f t="shared" si="9"/>
        <v>101833.8112</v>
      </c>
    </row>
    <row r="623" spans="1:10">
      <c r="A623" t="s">
        <v>977</v>
      </c>
      <c r="B623" s="2">
        <v>45984</v>
      </c>
      <c r="C623" t="s">
        <v>342</v>
      </c>
      <c r="D623" t="s">
        <v>114</v>
      </c>
      <c r="E623">
        <v>294</v>
      </c>
      <c r="F623">
        <v>62.79</v>
      </c>
      <c r="G623">
        <v>3</v>
      </c>
      <c r="H623">
        <v>12</v>
      </c>
      <c r="I623" t="s">
        <v>354</v>
      </c>
      <c r="J623" s="9">
        <f t="shared" si="9"/>
        <v>20055.226464000003</v>
      </c>
    </row>
    <row r="624" spans="1:10">
      <c r="A624" t="s">
        <v>978</v>
      </c>
      <c r="B624" s="2">
        <v>45985</v>
      </c>
      <c r="C624" t="s">
        <v>283</v>
      </c>
      <c r="D624" t="s">
        <v>89</v>
      </c>
      <c r="E624">
        <v>319</v>
      </c>
      <c r="F624">
        <v>92.67</v>
      </c>
      <c r="G624">
        <v>0</v>
      </c>
      <c r="H624">
        <v>18</v>
      </c>
      <c r="I624" t="s">
        <v>354</v>
      </c>
      <c r="J624" s="9">
        <f t="shared" si="9"/>
        <v>34882.841399999998</v>
      </c>
    </row>
    <row r="625" spans="1:10">
      <c r="A625" t="s">
        <v>979</v>
      </c>
      <c r="B625" s="2">
        <v>45985</v>
      </c>
      <c r="C625" t="s">
        <v>278</v>
      </c>
      <c r="D625" t="s">
        <v>87</v>
      </c>
      <c r="E625">
        <v>219</v>
      </c>
      <c r="F625">
        <v>132.91</v>
      </c>
      <c r="G625">
        <v>5</v>
      </c>
      <c r="H625">
        <v>18</v>
      </c>
      <c r="I625" t="s">
        <v>354</v>
      </c>
      <c r="J625" s="9">
        <f t="shared" si="9"/>
        <v>32629.272089999999</v>
      </c>
    </row>
    <row r="626" spans="1:10">
      <c r="A626" t="s">
        <v>980</v>
      </c>
      <c r="B626" s="2">
        <v>45988</v>
      </c>
      <c r="C626" t="s">
        <v>266</v>
      </c>
      <c r="D626" t="s">
        <v>95</v>
      </c>
      <c r="E626">
        <v>139</v>
      </c>
      <c r="F626">
        <v>274.88</v>
      </c>
      <c r="G626">
        <v>7</v>
      </c>
      <c r="H626">
        <v>18</v>
      </c>
      <c r="I626" t="s">
        <v>354</v>
      </c>
      <c r="J626" s="9">
        <f t="shared" si="9"/>
        <v>41929.810367999999</v>
      </c>
    </row>
    <row r="627" spans="1:10">
      <c r="A627" t="s">
        <v>981</v>
      </c>
      <c r="B627" s="2">
        <v>45989</v>
      </c>
      <c r="C627" t="s">
        <v>342</v>
      </c>
      <c r="D627" t="s">
        <v>117</v>
      </c>
      <c r="E627">
        <v>199</v>
      </c>
      <c r="F627">
        <v>18.68</v>
      </c>
      <c r="G627">
        <v>10</v>
      </c>
      <c r="H627">
        <v>12</v>
      </c>
      <c r="I627" t="s">
        <v>354</v>
      </c>
      <c r="J627" s="9">
        <f t="shared" si="9"/>
        <v>3747.0585600000004</v>
      </c>
    </row>
    <row r="628" spans="1:10">
      <c r="A628" t="s">
        <v>982</v>
      </c>
      <c r="B628" s="2">
        <v>45989</v>
      </c>
      <c r="C628" t="s">
        <v>325</v>
      </c>
      <c r="D628" t="s">
        <v>99</v>
      </c>
      <c r="E628">
        <v>237</v>
      </c>
      <c r="F628">
        <v>209.73</v>
      </c>
      <c r="G628">
        <v>0</v>
      </c>
      <c r="H628">
        <v>18</v>
      </c>
      <c r="I628" t="s">
        <v>354</v>
      </c>
      <c r="J628" s="9">
        <f t="shared" si="9"/>
        <v>58653.091799999987</v>
      </c>
    </row>
    <row r="629" spans="1:10">
      <c r="A629" t="s">
        <v>983</v>
      </c>
      <c r="B629" s="2">
        <v>45990</v>
      </c>
      <c r="C629" t="s">
        <v>293</v>
      </c>
      <c r="D629" t="s">
        <v>79</v>
      </c>
      <c r="E629">
        <v>218</v>
      </c>
      <c r="F629">
        <v>43.41</v>
      </c>
      <c r="G629">
        <v>2</v>
      </c>
      <c r="H629">
        <v>18</v>
      </c>
      <c r="I629" t="s">
        <v>354</v>
      </c>
      <c r="J629" s="9">
        <f t="shared" si="9"/>
        <v>10943.452631999997</v>
      </c>
    </row>
    <row r="630" spans="1:10">
      <c r="A630" t="s">
        <v>984</v>
      </c>
      <c r="B630" s="2">
        <v>45990</v>
      </c>
      <c r="C630" t="s">
        <v>322</v>
      </c>
      <c r="D630" t="s">
        <v>104</v>
      </c>
      <c r="E630">
        <v>179</v>
      </c>
      <c r="F630">
        <v>186.45</v>
      </c>
      <c r="G630">
        <v>0</v>
      </c>
      <c r="H630">
        <v>18</v>
      </c>
      <c r="I630" t="s">
        <v>354</v>
      </c>
      <c r="J630" s="9">
        <f t="shared" si="9"/>
        <v>39381.96899999999</v>
      </c>
    </row>
    <row r="631" spans="1:10">
      <c r="A631" t="s">
        <v>985</v>
      </c>
      <c r="B631" s="2">
        <v>45991</v>
      </c>
      <c r="C631" t="s">
        <v>274</v>
      </c>
      <c r="D631" t="s">
        <v>68</v>
      </c>
      <c r="E631">
        <v>388</v>
      </c>
      <c r="F631">
        <v>322.94</v>
      </c>
      <c r="G631">
        <v>7</v>
      </c>
      <c r="H631">
        <v>18</v>
      </c>
      <c r="I631" t="s">
        <v>354</v>
      </c>
      <c r="J631" s="9">
        <f t="shared" si="9"/>
        <v>137505.01012799999</v>
      </c>
    </row>
    <row r="632" spans="1:10">
      <c r="A632" t="s">
        <v>986</v>
      </c>
      <c r="B632" s="2">
        <v>45991</v>
      </c>
      <c r="C632" t="s">
        <v>307</v>
      </c>
      <c r="D632" t="s">
        <v>65</v>
      </c>
      <c r="E632">
        <v>239</v>
      </c>
      <c r="F632">
        <v>179.71</v>
      </c>
      <c r="G632">
        <v>0</v>
      </c>
      <c r="H632">
        <v>18</v>
      </c>
      <c r="I632" t="s">
        <v>354</v>
      </c>
      <c r="J632" s="9">
        <f t="shared" si="9"/>
        <v>50681.814200000001</v>
      </c>
    </row>
    <row r="633" spans="1:10">
      <c r="A633" t="s">
        <v>987</v>
      </c>
      <c r="B633" s="2">
        <v>45991</v>
      </c>
      <c r="C633" t="s">
        <v>280</v>
      </c>
      <c r="D633" t="s">
        <v>102</v>
      </c>
      <c r="E633">
        <v>297</v>
      </c>
      <c r="F633">
        <v>640.82000000000005</v>
      </c>
      <c r="G633">
        <v>7</v>
      </c>
      <c r="H633">
        <v>18</v>
      </c>
      <c r="I633" t="s">
        <v>354</v>
      </c>
      <c r="J633" s="9">
        <f t="shared" si="9"/>
        <v>208861.052796</v>
      </c>
    </row>
    <row r="634" spans="1:10">
      <c r="A634" t="s">
        <v>988</v>
      </c>
      <c r="B634" s="2">
        <v>45991</v>
      </c>
      <c r="C634" t="s">
        <v>336</v>
      </c>
      <c r="D634" t="s">
        <v>119</v>
      </c>
      <c r="E634">
        <v>76</v>
      </c>
      <c r="F634">
        <v>31.03</v>
      </c>
      <c r="G634">
        <v>5</v>
      </c>
      <c r="H634">
        <v>12</v>
      </c>
      <c r="I634" t="s">
        <v>365</v>
      </c>
      <c r="J634" s="9">
        <f t="shared" si="9"/>
        <v>2509.2099200000002</v>
      </c>
    </row>
    <row r="635" spans="1:10">
      <c r="A635" t="s">
        <v>989</v>
      </c>
      <c r="B635" s="2">
        <v>45993</v>
      </c>
      <c r="C635" t="s">
        <v>271</v>
      </c>
      <c r="D635" t="s">
        <v>68</v>
      </c>
      <c r="E635">
        <v>284</v>
      </c>
      <c r="F635">
        <v>345.17</v>
      </c>
      <c r="G635">
        <v>5</v>
      </c>
      <c r="H635">
        <v>18</v>
      </c>
      <c r="I635" t="s">
        <v>354</v>
      </c>
      <c r="J635" s="9">
        <f t="shared" si="9"/>
        <v>109889.70187999999</v>
      </c>
    </row>
    <row r="636" spans="1:10">
      <c r="A636" t="s">
        <v>990</v>
      </c>
      <c r="B636" s="2">
        <v>45993</v>
      </c>
      <c r="C636" t="s">
        <v>310</v>
      </c>
      <c r="D636" t="s">
        <v>93</v>
      </c>
      <c r="E636">
        <v>127</v>
      </c>
      <c r="F636">
        <v>1423.88</v>
      </c>
      <c r="G636">
        <v>3</v>
      </c>
      <c r="H636">
        <v>18</v>
      </c>
      <c r="I636" t="s">
        <v>354</v>
      </c>
      <c r="J636" s="9">
        <f t="shared" si="9"/>
        <v>206981.177096</v>
      </c>
    </row>
    <row r="637" spans="1:10">
      <c r="A637" t="s">
        <v>991</v>
      </c>
      <c r="B637" s="2">
        <v>45993</v>
      </c>
      <c r="C637" t="s">
        <v>280</v>
      </c>
      <c r="D637" t="s">
        <v>93</v>
      </c>
      <c r="E637">
        <v>131</v>
      </c>
      <c r="F637">
        <v>1393.32</v>
      </c>
      <c r="G637">
        <v>0</v>
      </c>
      <c r="H637">
        <v>18</v>
      </c>
      <c r="I637" t="s">
        <v>354</v>
      </c>
      <c r="J637" s="9">
        <f t="shared" si="9"/>
        <v>215379.40559999997</v>
      </c>
    </row>
    <row r="638" spans="1:10">
      <c r="A638" t="s">
        <v>992</v>
      </c>
      <c r="B638" s="2">
        <v>45993</v>
      </c>
      <c r="C638" t="s">
        <v>307</v>
      </c>
      <c r="D638" t="s">
        <v>108</v>
      </c>
      <c r="E638">
        <v>141</v>
      </c>
      <c r="F638">
        <v>36.24</v>
      </c>
      <c r="G638">
        <v>2</v>
      </c>
      <c r="H638">
        <v>18</v>
      </c>
      <c r="I638" t="s">
        <v>354</v>
      </c>
      <c r="J638" s="9">
        <f t="shared" si="9"/>
        <v>5909.0189760000003</v>
      </c>
    </row>
    <row r="639" spans="1:10">
      <c r="A639" t="s">
        <v>993</v>
      </c>
      <c r="B639" s="2">
        <v>45993</v>
      </c>
      <c r="C639" t="s">
        <v>285</v>
      </c>
      <c r="D639" t="s">
        <v>93</v>
      </c>
      <c r="E639">
        <v>164</v>
      </c>
      <c r="F639">
        <v>1496.67</v>
      </c>
      <c r="G639">
        <v>0</v>
      </c>
      <c r="H639">
        <v>18</v>
      </c>
      <c r="I639" t="s">
        <v>354</v>
      </c>
      <c r="J639" s="9">
        <f t="shared" si="9"/>
        <v>289635.5784</v>
      </c>
    </row>
    <row r="640" spans="1:10">
      <c r="A640" t="s">
        <v>994</v>
      </c>
      <c r="B640" s="2">
        <v>45994</v>
      </c>
      <c r="C640" t="s">
        <v>332</v>
      </c>
      <c r="D640" t="s">
        <v>110</v>
      </c>
      <c r="E640">
        <v>306</v>
      </c>
      <c r="F640">
        <v>59.21</v>
      </c>
      <c r="G640">
        <v>10</v>
      </c>
      <c r="H640">
        <v>18</v>
      </c>
      <c r="I640" t="s">
        <v>354</v>
      </c>
      <c r="J640" s="9">
        <f t="shared" si="9"/>
        <v>19241.592120000001</v>
      </c>
    </row>
    <row r="641" spans="1:10">
      <c r="A641" t="s">
        <v>995</v>
      </c>
      <c r="B641" s="2">
        <v>45994</v>
      </c>
      <c r="C641" t="s">
        <v>336</v>
      </c>
      <c r="D641" t="s">
        <v>114</v>
      </c>
      <c r="E641">
        <v>223</v>
      </c>
      <c r="F641">
        <v>65.680000000000007</v>
      </c>
      <c r="G641">
        <v>5</v>
      </c>
      <c r="H641">
        <v>12</v>
      </c>
      <c r="I641" t="s">
        <v>354</v>
      </c>
      <c r="J641" s="9">
        <f t="shared" si="9"/>
        <v>15584.024960000002</v>
      </c>
    </row>
    <row r="642" spans="1:10">
      <c r="A642" t="s">
        <v>996</v>
      </c>
      <c r="B642" s="2">
        <v>45994</v>
      </c>
      <c r="C642" t="s">
        <v>332</v>
      </c>
      <c r="D642" t="s">
        <v>110</v>
      </c>
      <c r="E642">
        <v>165</v>
      </c>
      <c r="F642">
        <v>54.33</v>
      </c>
      <c r="G642">
        <v>0</v>
      </c>
      <c r="H642">
        <v>18</v>
      </c>
      <c r="I642" t="s">
        <v>354</v>
      </c>
      <c r="J642" s="9">
        <f t="shared" si="9"/>
        <v>10578.050999999998</v>
      </c>
    </row>
    <row r="643" spans="1:10">
      <c r="A643" t="s">
        <v>997</v>
      </c>
      <c r="B643" s="2">
        <v>45995</v>
      </c>
      <c r="C643" t="s">
        <v>305</v>
      </c>
      <c r="D643" t="s">
        <v>84</v>
      </c>
      <c r="E643">
        <v>216</v>
      </c>
      <c r="F643">
        <v>801.2</v>
      </c>
      <c r="G643">
        <v>5</v>
      </c>
      <c r="H643">
        <v>18</v>
      </c>
      <c r="I643" t="s">
        <v>354</v>
      </c>
      <c r="J643" s="9">
        <f t="shared" ref="J643:J701" si="10">E643*F643*(1-G643/100)*(1+H643/100)</f>
        <v>193999.36319999999</v>
      </c>
    </row>
    <row r="644" spans="1:10">
      <c r="A644" t="s">
        <v>998</v>
      </c>
      <c r="B644" s="2">
        <v>45995</v>
      </c>
      <c r="C644" t="s">
        <v>271</v>
      </c>
      <c r="D644" t="s">
        <v>108</v>
      </c>
      <c r="E644">
        <v>335</v>
      </c>
      <c r="F644">
        <v>37.229999999999997</v>
      </c>
      <c r="G644">
        <v>3</v>
      </c>
      <c r="H644">
        <v>18</v>
      </c>
      <c r="I644" t="s">
        <v>354</v>
      </c>
      <c r="J644" s="9">
        <f t="shared" si="10"/>
        <v>14275.508429999998</v>
      </c>
    </row>
    <row r="645" spans="1:10">
      <c r="A645" t="s">
        <v>999</v>
      </c>
      <c r="B645" s="2">
        <v>45995</v>
      </c>
      <c r="C645" t="s">
        <v>330</v>
      </c>
      <c r="D645" t="s">
        <v>91</v>
      </c>
      <c r="E645">
        <v>313</v>
      </c>
      <c r="F645">
        <v>506.48</v>
      </c>
      <c r="G645">
        <v>2</v>
      </c>
      <c r="H645">
        <v>18</v>
      </c>
      <c r="I645" t="s">
        <v>354</v>
      </c>
      <c r="J645" s="9">
        <f t="shared" si="10"/>
        <v>183322.05673600003</v>
      </c>
    </row>
    <row r="646" spans="1:10">
      <c r="A646" t="s">
        <v>1000</v>
      </c>
      <c r="B646" s="2">
        <v>45996</v>
      </c>
      <c r="C646" t="s">
        <v>327</v>
      </c>
      <c r="D646" t="s">
        <v>114</v>
      </c>
      <c r="E646">
        <v>230</v>
      </c>
      <c r="F646">
        <v>62.9</v>
      </c>
      <c r="G646">
        <v>0</v>
      </c>
      <c r="H646">
        <v>12</v>
      </c>
      <c r="I646" t="s">
        <v>365</v>
      </c>
      <c r="J646" s="9">
        <f t="shared" si="10"/>
        <v>16203.04</v>
      </c>
    </row>
    <row r="647" spans="1:10">
      <c r="A647" t="s">
        <v>1001</v>
      </c>
      <c r="B647" s="2">
        <v>45997</v>
      </c>
      <c r="C647" t="s">
        <v>278</v>
      </c>
      <c r="D647" t="s">
        <v>68</v>
      </c>
      <c r="E647">
        <v>278</v>
      </c>
      <c r="F647">
        <v>328.52</v>
      </c>
      <c r="G647">
        <v>2</v>
      </c>
      <c r="H647">
        <v>18</v>
      </c>
      <c r="I647" t="s">
        <v>354</v>
      </c>
      <c r="J647" s="9">
        <f t="shared" si="10"/>
        <v>105612.34678399998</v>
      </c>
    </row>
    <row r="648" spans="1:10">
      <c r="A648" t="s">
        <v>1002</v>
      </c>
      <c r="B648" s="2">
        <v>45997</v>
      </c>
      <c r="C648" t="s">
        <v>283</v>
      </c>
      <c r="D648" t="s">
        <v>93</v>
      </c>
      <c r="E648">
        <v>344</v>
      </c>
      <c r="F648">
        <v>1366.63</v>
      </c>
      <c r="G648">
        <v>10</v>
      </c>
      <c r="H648">
        <v>18</v>
      </c>
      <c r="I648" t="s">
        <v>354</v>
      </c>
      <c r="J648" s="9">
        <f t="shared" si="10"/>
        <v>499268.20464000001</v>
      </c>
    </row>
    <row r="649" spans="1:10">
      <c r="A649" t="s">
        <v>1003</v>
      </c>
      <c r="B649" s="2">
        <v>45997</v>
      </c>
      <c r="C649" t="s">
        <v>314</v>
      </c>
      <c r="D649" t="s">
        <v>84</v>
      </c>
      <c r="E649">
        <v>103</v>
      </c>
      <c r="F649">
        <v>746.27</v>
      </c>
      <c r="G649">
        <v>0</v>
      </c>
      <c r="H649">
        <v>18</v>
      </c>
      <c r="I649" t="s">
        <v>354</v>
      </c>
      <c r="J649" s="9">
        <f t="shared" si="10"/>
        <v>90701.655799999993</v>
      </c>
    </row>
    <row r="650" spans="1:10">
      <c r="A650" t="s">
        <v>1004</v>
      </c>
      <c r="B650" s="2">
        <v>45998</v>
      </c>
      <c r="C650" t="s">
        <v>280</v>
      </c>
      <c r="D650" t="s">
        <v>89</v>
      </c>
      <c r="E650">
        <v>307</v>
      </c>
      <c r="F650">
        <v>99.43</v>
      </c>
      <c r="G650">
        <v>7</v>
      </c>
      <c r="H650">
        <v>18</v>
      </c>
      <c r="I650" t="s">
        <v>354</v>
      </c>
      <c r="J650" s="9">
        <f t="shared" si="10"/>
        <v>33498.145973999999</v>
      </c>
    </row>
    <row r="651" spans="1:10">
      <c r="A651" t="s">
        <v>1005</v>
      </c>
      <c r="B651" s="2">
        <v>45998</v>
      </c>
      <c r="C651" t="s">
        <v>339</v>
      </c>
      <c r="D651" t="s">
        <v>114</v>
      </c>
      <c r="E651">
        <v>165</v>
      </c>
      <c r="F651">
        <v>66.239999999999995</v>
      </c>
      <c r="G651">
        <v>5</v>
      </c>
      <c r="H651">
        <v>12</v>
      </c>
      <c r="I651" t="s">
        <v>354</v>
      </c>
      <c r="J651" s="9">
        <f t="shared" si="10"/>
        <v>11629.0944</v>
      </c>
    </row>
    <row r="652" spans="1:10">
      <c r="A652" t="s">
        <v>1006</v>
      </c>
      <c r="B652" s="2">
        <v>45998</v>
      </c>
      <c r="C652" t="s">
        <v>339</v>
      </c>
      <c r="D652" t="s">
        <v>119</v>
      </c>
      <c r="E652">
        <v>104</v>
      </c>
      <c r="F652">
        <v>31.83</v>
      </c>
      <c r="G652">
        <v>2</v>
      </c>
      <c r="H652">
        <v>12</v>
      </c>
      <c r="I652" t="s">
        <v>354</v>
      </c>
      <c r="J652" s="9">
        <f t="shared" si="10"/>
        <v>3633.407232</v>
      </c>
    </row>
    <row r="653" spans="1:10">
      <c r="A653" t="s">
        <v>1007</v>
      </c>
      <c r="B653" s="2">
        <v>45998</v>
      </c>
      <c r="C653" t="s">
        <v>314</v>
      </c>
      <c r="D653" t="s">
        <v>84</v>
      </c>
      <c r="E653">
        <v>109</v>
      </c>
      <c r="F653">
        <v>821.04</v>
      </c>
      <c r="G653">
        <v>5</v>
      </c>
      <c r="H653">
        <v>18</v>
      </c>
      <c r="I653" t="s">
        <v>354</v>
      </c>
      <c r="J653" s="9">
        <f t="shared" si="10"/>
        <v>100322.05655999998</v>
      </c>
    </row>
    <row r="654" spans="1:10">
      <c r="A654" t="s">
        <v>1008</v>
      </c>
      <c r="B654" s="2">
        <v>45999</v>
      </c>
      <c r="C654" t="s">
        <v>280</v>
      </c>
      <c r="D654" t="s">
        <v>89</v>
      </c>
      <c r="E654">
        <v>190</v>
      </c>
      <c r="F654">
        <v>90.66</v>
      </c>
      <c r="G654">
        <v>10</v>
      </c>
      <c r="H654">
        <v>18</v>
      </c>
      <c r="I654" t="s">
        <v>354</v>
      </c>
      <c r="J654" s="9">
        <f t="shared" si="10"/>
        <v>18293.374799999998</v>
      </c>
    </row>
    <row r="655" spans="1:10">
      <c r="A655" t="s">
        <v>1009</v>
      </c>
      <c r="B655" s="2">
        <v>45999</v>
      </c>
      <c r="C655" t="s">
        <v>280</v>
      </c>
      <c r="D655" t="s">
        <v>70</v>
      </c>
      <c r="E655">
        <v>228</v>
      </c>
      <c r="F655">
        <v>240.31</v>
      </c>
      <c r="G655">
        <v>5</v>
      </c>
      <c r="H655">
        <v>18</v>
      </c>
      <c r="I655" t="s">
        <v>354</v>
      </c>
      <c r="J655" s="9">
        <f t="shared" si="10"/>
        <v>61420.352279999999</v>
      </c>
    </row>
    <row r="656" spans="1:10">
      <c r="A656" t="s">
        <v>1010</v>
      </c>
      <c r="B656" s="2">
        <v>45999</v>
      </c>
      <c r="C656" t="s">
        <v>307</v>
      </c>
      <c r="D656" t="s">
        <v>87</v>
      </c>
      <c r="E656">
        <v>469</v>
      </c>
      <c r="F656">
        <v>134.6</v>
      </c>
      <c r="G656">
        <v>0</v>
      </c>
      <c r="H656">
        <v>18</v>
      </c>
      <c r="I656" t="s">
        <v>354</v>
      </c>
      <c r="J656" s="9">
        <f t="shared" si="10"/>
        <v>74490.331999999995</v>
      </c>
    </row>
    <row r="657" spans="1:10">
      <c r="A657" t="s">
        <v>1011</v>
      </c>
      <c r="B657" s="2">
        <v>46000</v>
      </c>
      <c r="C657" t="s">
        <v>327</v>
      </c>
      <c r="D657" t="s">
        <v>114</v>
      </c>
      <c r="E657">
        <v>277</v>
      </c>
      <c r="F657">
        <v>69.31</v>
      </c>
      <c r="G657">
        <v>5</v>
      </c>
      <c r="H657">
        <v>12</v>
      </c>
      <c r="I657" t="s">
        <v>354</v>
      </c>
      <c r="J657" s="9">
        <f t="shared" si="10"/>
        <v>20427.597679999999</v>
      </c>
    </row>
    <row r="658" spans="1:10">
      <c r="A658" t="s">
        <v>1012</v>
      </c>
      <c r="B658" s="2">
        <v>46000</v>
      </c>
      <c r="C658" t="s">
        <v>339</v>
      </c>
      <c r="D658" t="s">
        <v>114</v>
      </c>
      <c r="E658">
        <v>223</v>
      </c>
      <c r="F658">
        <v>61.86</v>
      </c>
      <c r="G658">
        <v>0</v>
      </c>
      <c r="H658">
        <v>12</v>
      </c>
      <c r="I658" t="s">
        <v>354</v>
      </c>
      <c r="J658" s="9">
        <f t="shared" si="10"/>
        <v>15450.153600000001</v>
      </c>
    </row>
    <row r="659" spans="1:10">
      <c r="A659" t="s">
        <v>1013</v>
      </c>
      <c r="B659" s="2">
        <v>46000</v>
      </c>
      <c r="C659" t="s">
        <v>320</v>
      </c>
      <c r="D659" t="s">
        <v>95</v>
      </c>
      <c r="E659">
        <v>207</v>
      </c>
      <c r="F659">
        <v>256.92</v>
      </c>
      <c r="G659">
        <v>0</v>
      </c>
      <c r="H659">
        <v>18</v>
      </c>
      <c r="I659" t="s">
        <v>354</v>
      </c>
      <c r="J659" s="9">
        <f t="shared" si="10"/>
        <v>62755.279199999997</v>
      </c>
    </row>
    <row r="660" spans="1:10">
      <c r="A660" t="s">
        <v>1014</v>
      </c>
      <c r="B660" s="2">
        <v>46001</v>
      </c>
      <c r="C660" t="s">
        <v>310</v>
      </c>
      <c r="D660" t="s">
        <v>70</v>
      </c>
      <c r="E660">
        <v>489</v>
      </c>
      <c r="F660">
        <v>253.09</v>
      </c>
      <c r="G660">
        <v>0</v>
      </c>
      <c r="H660">
        <v>18</v>
      </c>
      <c r="I660" t="s">
        <v>365</v>
      </c>
      <c r="J660" s="9">
        <f t="shared" si="10"/>
        <v>146037.99179999999</v>
      </c>
    </row>
    <row r="661" spans="1:10">
      <c r="A661" t="s">
        <v>1015</v>
      </c>
      <c r="B661" s="2">
        <v>46002</v>
      </c>
      <c r="C661" t="s">
        <v>298</v>
      </c>
      <c r="D661" t="s">
        <v>97</v>
      </c>
      <c r="E661">
        <v>306</v>
      </c>
      <c r="F661">
        <v>193.16</v>
      </c>
      <c r="G661">
        <v>5</v>
      </c>
      <c r="H661">
        <v>18</v>
      </c>
      <c r="I661" t="s">
        <v>354</v>
      </c>
      <c r="J661" s="9">
        <f t="shared" si="10"/>
        <v>66258.902159999983</v>
      </c>
    </row>
    <row r="662" spans="1:10">
      <c r="A662" t="s">
        <v>1016</v>
      </c>
      <c r="B662" s="2">
        <v>46002</v>
      </c>
      <c r="C662" t="s">
        <v>302</v>
      </c>
      <c r="D662" t="s">
        <v>91</v>
      </c>
      <c r="E662">
        <v>328</v>
      </c>
      <c r="F662">
        <v>452.15</v>
      </c>
      <c r="G662">
        <v>0</v>
      </c>
      <c r="H662">
        <v>18</v>
      </c>
      <c r="I662" t="s">
        <v>354</v>
      </c>
      <c r="J662" s="9">
        <f t="shared" si="10"/>
        <v>175000.13599999997</v>
      </c>
    </row>
    <row r="663" spans="1:10">
      <c r="A663" t="s">
        <v>1017</v>
      </c>
      <c r="B663" s="2">
        <v>46002</v>
      </c>
      <c r="C663" t="s">
        <v>285</v>
      </c>
      <c r="D663" t="s">
        <v>70</v>
      </c>
      <c r="E663">
        <v>295</v>
      </c>
      <c r="F663">
        <v>234.84</v>
      </c>
      <c r="G663">
        <v>0</v>
      </c>
      <c r="H663">
        <v>18</v>
      </c>
      <c r="I663" t="s">
        <v>354</v>
      </c>
      <c r="J663" s="9">
        <f t="shared" si="10"/>
        <v>81747.804000000004</v>
      </c>
    </row>
    <row r="664" spans="1:10">
      <c r="A664" t="s">
        <v>1018</v>
      </c>
      <c r="B664" s="2">
        <v>46003</v>
      </c>
      <c r="C664" t="s">
        <v>302</v>
      </c>
      <c r="D664" t="s">
        <v>106</v>
      </c>
      <c r="E664">
        <v>355</v>
      </c>
      <c r="F664">
        <v>342.96</v>
      </c>
      <c r="G664">
        <v>0</v>
      </c>
      <c r="H664">
        <v>18</v>
      </c>
      <c r="I664" t="s">
        <v>365</v>
      </c>
      <c r="J664" s="9">
        <f t="shared" si="10"/>
        <v>143665.94399999999</v>
      </c>
    </row>
    <row r="665" spans="1:10">
      <c r="A665" t="s">
        <v>1019</v>
      </c>
      <c r="B665" s="2">
        <v>46004</v>
      </c>
      <c r="C665" t="s">
        <v>271</v>
      </c>
      <c r="D665" t="s">
        <v>87</v>
      </c>
      <c r="E665">
        <v>223</v>
      </c>
      <c r="F665">
        <v>131.36000000000001</v>
      </c>
      <c r="G665">
        <v>2</v>
      </c>
      <c r="H665">
        <v>18</v>
      </c>
      <c r="I665" t="s">
        <v>354</v>
      </c>
      <c r="J665" s="9">
        <f t="shared" si="10"/>
        <v>33874.748992000001</v>
      </c>
    </row>
    <row r="666" spans="1:10">
      <c r="A666" t="s">
        <v>1020</v>
      </c>
      <c r="B666" s="2">
        <v>46004</v>
      </c>
      <c r="C666" t="s">
        <v>271</v>
      </c>
      <c r="D666" t="s">
        <v>87</v>
      </c>
      <c r="E666">
        <v>115</v>
      </c>
      <c r="F666">
        <v>124.55</v>
      </c>
      <c r="G666">
        <v>5</v>
      </c>
      <c r="H666">
        <v>18</v>
      </c>
      <c r="I666" t="s">
        <v>354</v>
      </c>
      <c r="J666" s="9">
        <f t="shared" si="10"/>
        <v>16056.363249999999</v>
      </c>
    </row>
    <row r="667" spans="1:10">
      <c r="A667" t="s">
        <v>1021</v>
      </c>
      <c r="B667" s="2">
        <v>46004</v>
      </c>
      <c r="C667" t="s">
        <v>293</v>
      </c>
      <c r="D667" t="s">
        <v>84</v>
      </c>
      <c r="E667">
        <v>334</v>
      </c>
      <c r="F667">
        <v>796.19</v>
      </c>
      <c r="G667">
        <v>0</v>
      </c>
      <c r="H667">
        <v>18</v>
      </c>
      <c r="I667" t="s">
        <v>359</v>
      </c>
      <c r="J667" s="9">
        <f t="shared" si="10"/>
        <v>313794.40279999998</v>
      </c>
    </row>
    <row r="668" spans="1:10">
      <c r="A668" t="s">
        <v>1022</v>
      </c>
      <c r="B668" s="2">
        <v>46004</v>
      </c>
      <c r="C668" t="s">
        <v>320</v>
      </c>
      <c r="D668" t="s">
        <v>93</v>
      </c>
      <c r="E668">
        <v>477</v>
      </c>
      <c r="F668">
        <v>1467.95</v>
      </c>
      <c r="G668">
        <v>5</v>
      </c>
      <c r="H668">
        <v>18</v>
      </c>
      <c r="I668" t="s">
        <v>354</v>
      </c>
      <c r="J668" s="9">
        <f t="shared" si="10"/>
        <v>784937.82014999993</v>
      </c>
    </row>
    <row r="669" spans="1:10">
      <c r="A669" t="s">
        <v>1023</v>
      </c>
      <c r="B669" s="2">
        <v>46004</v>
      </c>
      <c r="C669" t="s">
        <v>320</v>
      </c>
      <c r="D669" t="s">
        <v>104</v>
      </c>
      <c r="E669">
        <v>482</v>
      </c>
      <c r="F669">
        <v>186.19</v>
      </c>
      <c r="G669">
        <v>0</v>
      </c>
      <c r="H669">
        <v>18</v>
      </c>
      <c r="I669" t="s">
        <v>354</v>
      </c>
      <c r="J669" s="9">
        <f t="shared" si="10"/>
        <v>105897.4244</v>
      </c>
    </row>
    <row r="670" spans="1:10">
      <c r="A670" t="s">
        <v>1024</v>
      </c>
      <c r="B670" s="2">
        <v>46005</v>
      </c>
      <c r="C670" t="s">
        <v>287</v>
      </c>
      <c r="D670" t="s">
        <v>70</v>
      </c>
      <c r="E670">
        <v>89</v>
      </c>
      <c r="F670">
        <v>251.27</v>
      </c>
      <c r="G670">
        <v>7</v>
      </c>
      <c r="H670">
        <v>18</v>
      </c>
      <c r="I670" t="s">
        <v>354</v>
      </c>
      <c r="J670" s="9">
        <f t="shared" si="10"/>
        <v>24541.189122</v>
      </c>
    </row>
    <row r="671" spans="1:10">
      <c r="A671" t="s">
        <v>1025</v>
      </c>
      <c r="B671" s="2">
        <v>46005</v>
      </c>
      <c r="C671" t="s">
        <v>302</v>
      </c>
      <c r="D671" t="s">
        <v>104</v>
      </c>
      <c r="E671">
        <v>177</v>
      </c>
      <c r="F671">
        <v>195.91</v>
      </c>
      <c r="G671">
        <v>7</v>
      </c>
      <c r="H671">
        <v>18</v>
      </c>
      <c r="I671" t="s">
        <v>354</v>
      </c>
      <c r="J671" s="9">
        <f t="shared" si="10"/>
        <v>38053.519217999994</v>
      </c>
    </row>
    <row r="672" spans="1:10">
      <c r="A672" t="s">
        <v>1026</v>
      </c>
      <c r="B672" s="2">
        <v>46006</v>
      </c>
      <c r="C672" t="s">
        <v>271</v>
      </c>
      <c r="D672" t="s">
        <v>108</v>
      </c>
      <c r="E672">
        <v>182</v>
      </c>
      <c r="F672">
        <v>37.71</v>
      </c>
      <c r="G672">
        <v>2</v>
      </c>
      <c r="H672">
        <v>18</v>
      </c>
      <c r="I672" t="s">
        <v>354</v>
      </c>
      <c r="J672" s="9">
        <f t="shared" si="10"/>
        <v>7936.6276079999998</v>
      </c>
    </row>
    <row r="673" spans="1:10">
      <c r="A673" t="s">
        <v>1027</v>
      </c>
      <c r="B673" s="2">
        <v>46006</v>
      </c>
      <c r="C673" t="s">
        <v>320</v>
      </c>
      <c r="D673" t="s">
        <v>93</v>
      </c>
      <c r="E673">
        <v>167</v>
      </c>
      <c r="F673">
        <v>1421.15</v>
      </c>
      <c r="G673">
        <v>0</v>
      </c>
      <c r="H673">
        <v>18</v>
      </c>
      <c r="I673" t="s">
        <v>354</v>
      </c>
      <c r="J673" s="9">
        <f t="shared" si="10"/>
        <v>280051.81900000002</v>
      </c>
    </row>
    <row r="674" spans="1:10">
      <c r="A674" t="s">
        <v>1028</v>
      </c>
      <c r="B674" s="2">
        <v>46006</v>
      </c>
      <c r="C674" t="s">
        <v>302</v>
      </c>
      <c r="D674" t="s">
        <v>77</v>
      </c>
      <c r="E674">
        <v>1338</v>
      </c>
      <c r="F674">
        <v>107.82</v>
      </c>
      <c r="G674">
        <v>7</v>
      </c>
      <c r="H674">
        <v>18</v>
      </c>
      <c r="I674" t="s">
        <v>354</v>
      </c>
      <c r="J674" s="9">
        <f t="shared" si="10"/>
        <v>158314.39178399998</v>
      </c>
    </row>
    <row r="675" spans="1:10">
      <c r="A675" t="s">
        <v>1029</v>
      </c>
      <c r="B675" s="2">
        <v>46006</v>
      </c>
      <c r="C675" t="s">
        <v>293</v>
      </c>
      <c r="D675" t="s">
        <v>61</v>
      </c>
      <c r="E675">
        <v>111</v>
      </c>
      <c r="F675">
        <v>633.16999999999996</v>
      </c>
      <c r="G675">
        <v>5</v>
      </c>
      <c r="H675">
        <v>18</v>
      </c>
      <c r="I675" t="s">
        <v>365</v>
      </c>
      <c r="J675" s="9">
        <f t="shared" si="10"/>
        <v>78785.976269999985</v>
      </c>
    </row>
    <row r="676" spans="1:10">
      <c r="A676" t="s">
        <v>1030</v>
      </c>
      <c r="B676" s="2">
        <v>46008</v>
      </c>
      <c r="C676" t="s">
        <v>322</v>
      </c>
      <c r="D676" t="s">
        <v>91</v>
      </c>
      <c r="E676">
        <v>180</v>
      </c>
      <c r="F676">
        <v>464.83</v>
      </c>
      <c r="G676">
        <v>5</v>
      </c>
      <c r="H676">
        <v>18</v>
      </c>
      <c r="I676" t="s">
        <v>354</v>
      </c>
      <c r="J676" s="9">
        <f t="shared" si="10"/>
        <v>93793.397399999987</v>
      </c>
    </row>
    <row r="677" spans="1:10">
      <c r="A677" t="s">
        <v>1031</v>
      </c>
      <c r="B677" s="2">
        <v>46008</v>
      </c>
      <c r="C677" t="s">
        <v>330</v>
      </c>
      <c r="D677" t="s">
        <v>104</v>
      </c>
      <c r="E677">
        <v>152</v>
      </c>
      <c r="F677">
        <v>185.8</v>
      </c>
      <c r="G677">
        <v>0</v>
      </c>
      <c r="H677">
        <v>18</v>
      </c>
      <c r="I677" t="s">
        <v>354</v>
      </c>
      <c r="J677" s="9">
        <f t="shared" si="10"/>
        <v>33325.088000000003</v>
      </c>
    </row>
    <row r="678" spans="1:10">
      <c r="A678" t="s">
        <v>1032</v>
      </c>
      <c r="B678" s="2">
        <v>46009</v>
      </c>
      <c r="C678" t="s">
        <v>344</v>
      </c>
      <c r="D678" t="s">
        <v>84</v>
      </c>
      <c r="E678">
        <v>417</v>
      </c>
      <c r="F678">
        <v>748.77</v>
      </c>
      <c r="G678">
        <v>3</v>
      </c>
      <c r="H678">
        <v>18</v>
      </c>
      <c r="I678" t="s">
        <v>354</v>
      </c>
      <c r="J678" s="9">
        <f t="shared" si="10"/>
        <v>357386.57321399992</v>
      </c>
    </row>
    <row r="679" spans="1:10">
      <c r="A679" t="s">
        <v>1033</v>
      </c>
      <c r="B679" s="2">
        <v>46010</v>
      </c>
      <c r="C679" t="s">
        <v>317</v>
      </c>
      <c r="D679" t="s">
        <v>104</v>
      </c>
      <c r="E679">
        <v>231</v>
      </c>
      <c r="F679">
        <v>199.32</v>
      </c>
      <c r="G679">
        <v>3</v>
      </c>
      <c r="H679">
        <v>18</v>
      </c>
      <c r="I679" t="s">
        <v>354</v>
      </c>
      <c r="J679" s="9">
        <f t="shared" si="10"/>
        <v>52700.726231999994</v>
      </c>
    </row>
    <row r="680" spans="1:10">
      <c r="A680" t="s">
        <v>1034</v>
      </c>
      <c r="B680" s="2">
        <v>46012</v>
      </c>
      <c r="C680" t="s">
        <v>344</v>
      </c>
      <c r="D680" t="s">
        <v>91</v>
      </c>
      <c r="E680">
        <v>260</v>
      </c>
      <c r="F680">
        <v>512.95000000000005</v>
      </c>
      <c r="G680">
        <v>3</v>
      </c>
      <c r="H680">
        <v>18</v>
      </c>
      <c r="I680" t="s">
        <v>354</v>
      </c>
      <c r="J680" s="9">
        <f t="shared" si="10"/>
        <v>152651.86819999997</v>
      </c>
    </row>
    <row r="681" spans="1:10">
      <c r="A681" t="s">
        <v>1035</v>
      </c>
      <c r="B681" s="2">
        <v>46012</v>
      </c>
      <c r="C681" t="s">
        <v>285</v>
      </c>
      <c r="D681" t="s">
        <v>93</v>
      </c>
      <c r="E681">
        <v>261</v>
      </c>
      <c r="F681">
        <v>1516.93</v>
      </c>
      <c r="G681">
        <v>7</v>
      </c>
      <c r="H681">
        <v>18</v>
      </c>
      <c r="I681" t="s">
        <v>354</v>
      </c>
      <c r="J681" s="9">
        <f t="shared" si="10"/>
        <v>434481.21430199995</v>
      </c>
    </row>
    <row r="682" spans="1:10">
      <c r="A682" t="s">
        <v>1036</v>
      </c>
      <c r="B682" s="2">
        <v>46012</v>
      </c>
      <c r="C682" t="s">
        <v>342</v>
      </c>
      <c r="D682" t="s">
        <v>114</v>
      </c>
      <c r="E682">
        <v>154</v>
      </c>
      <c r="F682">
        <v>63.87</v>
      </c>
      <c r="G682">
        <v>3</v>
      </c>
      <c r="H682">
        <v>12</v>
      </c>
      <c r="I682" t="s">
        <v>354</v>
      </c>
      <c r="J682" s="9">
        <f t="shared" si="10"/>
        <v>10685.808671999999</v>
      </c>
    </row>
    <row r="683" spans="1:10">
      <c r="A683" t="s">
        <v>1037</v>
      </c>
      <c r="B683" s="2">
        <v>46012</v>
      </c>
      <c r="C683" t="s">
        <v>271</v>
      </c>
      <c r="D683" t="s">
        <v>87</v>
      </c>
      <c r="E683">
        <v>224</v>
      </c>
      <c r="F683">
        <v>121.03</v>
      </c>
      <c r="G683">
        <v>5</v>
      </c>
      <c r="H683">
        <v>18</v>
      </c>
      <c r="I683" t="s">
        <v>354</v>
      </c>
      <c r="J683" s="9">
        <f t="shared" si="10"/>
        <v>30391.117119999999</v>
      </c>
    </row>
    <row r="684" spans="1:10">
      <c r="A684" t="s">
        <v>1038</v>
      </c>
      <c r="B684" s="2">
        <v>46013</v>
      </c>
      <c r="C684" t="s">
        <v>342</v>
      </c>
      <c r="D684" t="s">
        <v>117</v>
      </c>
      <c r="E684">
        <v>123</v>
      </c>
      <c r="F684">
        <v>19.43</v>
      </c>
      <c r="G684">
        <v>2</v>
      </c>
      <c r="H684">
        <v>12</v>
      </c>
      <c r="I684" t="s">
        <v>354</v>
      </c>
      <c r="J684" s="9">
        <f t="shared" si="10"/>
        <v>2623.1432640000003</v>
      </c>
    </row>
    <row r="685" spans="1:10">
      <c r="A685" t="s">
        <v>1039</v>
      </c>
      <c r="B685" s="2">
        <v>46015</v>
      </c>
      <c r="C685" t="s">
        <v>295</v>
      </c>
      <c r="D685" t="s">
        <v>87</v>
      </c>
      <c r="E685">
        <v>313</v>
      </c>
      <c r="F685">
        <v>132.96</v>
      </c>
      <c r="G685">
        <v>5</v>
      </c>
      <c r="H685">
        <v>18</v>
      </c>
      <c r="I685" t="s">
        <v>354</v>
      </c>
      <c r="J685" s="9">
        <f t="shared" si="10"/>
        <v>46652.074079999999</v>
      </c>
    </row>
    <row r="686" spans="1:10">
      <c r="A686" t="s">
        <v>1040</v>
      </c>
      <c r="B686" s="2">
        <v>46015</v>
      </c>
      <c r="C686" t="s">
        <v>287</v>
      </c>
      <c r="D686" t="s">
        <v>102</v>
      </c>
      <c r="E686">
        <v>448</v>
      </c>
      <c r="F686">
        <v>640.16</v>
      </c>
      <c r="G686">
        <v>5</v>
      </c>
      <c r="H686">
        <v>18</v>
      </c>
      <c r="I686" t="s">
        <v>354</v>
      </c>
      <c r="J686" s="9">
        <f t="shared" si="10"/>
        <v>321493.47327999992</v>
      </c>
    </row>
    <row r="687" spans="1:10">
      <c r="A687" t="s">
        <v>1041</v>
      </c>
      <c r="B687" s="2">
        <v>46015</v>
      </c>
      <c r="C687" t="s">
        <v>332</v>
      </c>
      <c r="D687" t="s">
        <v>110</v>
      </c>
      <c r="E687">
        <v>437</v>
      </c>
      <c r="F687">
        <v>52.46</v>
      </c>
      <c r="G687">
        <v>3</v>
      </c>
      <c r="H687">
        <v>18</v>
      </c>
      <c r="I687" t="s">
        <v>354</v>
      </c>
      <c r="J687" s="9">
        <f t="shared" si="10"/>
        <v>26239.977891999999</v>
      </c>
    </row>
    <row r="688" spans="1:10">
      <c r="A688" t="s">
        <v>1042</v>
      </c>
      <c r="B688" s="2">
        <v>46016</v>
      </c>
      <c r="C688" t="s">
        <v>307</v>
      </c>
      <c r="D688" t="s">
        <v>108</v>
      </c>
      <c r="E688">
        <v>252</v>
      </c>
      <c r="F688">
        <v>34.94</v>
      </c>
      <c r="G688">
        <v>0</v>
      </c>
      <c r="H688">
        <v>18</v>
      </c>
      <c r="I688" t="s">
        <v>354</v>
      </c>
      <c r="J688" s="9">
        <f t="shared" si="10"/>
        <v>10389.758399999999</v>
      </c>
    </row>
    <row r="689" spans="1:10">
      <c r="A689" t="s">
        <v>1043</v>
      </c>
      <c r="B689" s="2">
        <v>46017</v>
      </c>
      <c r="C689" t="s">
        <v>339</v>
      </c>
      <c r="D689" t="s">
        <v>114</v>
      </c>
      <c r="E689">
        <v>231</v>
      </c>
      <c r="F689">
        <v>64.3</v>
      </c>
      <c r="G689">
        <v>2</v>
      </c>
      <c r="H689">
        <v>12</v>
      </c>
      <c r="I689" t="s">
        <v>359</v>
      </c>
      <c r="J689" s="9">
        <f t="shared" si="10"/>
        <v>16302.98208</v>
      </c>
    </row>
    <row r="690" spans="1:10">
      <c r="A690" t="s">
        <v>1044</v>
      </c>
      <c r="B690" s="2">
        <v>46017</v>
      </c>
      <c r="C690" t="s">
        <v>274</v>
      </c>
      <c r="D690" t="s">
        <v>68</v>
      </c>
      <c r="E690">
        <v>105</v>
      </c>
      <c r="F690">
        <v>343.36</v>
      </c>
      <c r="G690">
        <v>0</v>
      </c>
      <c r="H690">
        <v>18</v>
      </c>
      <c r="I690" t="s">
        <v>354</v>
      </c>
      <c r="J690" s="9">
        <f t="shared" si="10"/>
        <v>42542.304000000004</v>
      </c>
    </row>
    <row r="691" spans="1:10">
      <c r="A691" t="s">
        <v>1045</v>
      </c>
      <c r="B691" s="2">
        <v>46017</v>
      </c>
      <c r="C691" t="s">
        <v>339</v>
      </c>
      <c r="D691" t="s">
        <v>114</v>
      </c>
      <c r="E691">
        <v>128</v>
      </c>
      <c r="F691">
        <v>70.040000000000006</v>
      </c>
      <c r="G691">
        <v>0</v>
      </c>
      <c r="H691">
        <v>12</v>
      </c>
      <c r="I691" t="s">
        <v>354</v>
      </c>
      <c r="J691" s="9">
        <f t="shared" si="10"/>
        <v>10040.934400000002</v>
      </c>
    </row>
    <row r="692" spans="1:10">
      <c r="A692" t="s">
        <v>1046</v>
      </c>
      <c r="B692" s="2">
        <v>46017</v>
      </c>
      <c r="C692" t="s">
        <v>327</v>
      </c>
      <c r="D692" t="s">
        <v>114</v>
      </c>
      <c r="E692">
        <v>780</v>
      </c>
      <c r="F692">
        <v>62.86</v>
      </c>
      <c r="G692">
        <v>10</v>
      </c>
      <c r="H692">
        <v>12</v>
      </c>
      <c r="I692" t="s">
        <v>354</v>
      </c>
      <c r="J692" s="9">
        <f t="shared" si="10"/>
        <v>49423.046400000007</v>
      </c>
    </row>
    <row r="693" spans="1:10">
      <c r="A693" t="s">
        <v>1047</v>
      </c>
      <c r="B693" s="2">
        <v>46018</v>
      </c>
      <c r="C693" t="s">
        <v>283</v>
      </c>
      <c r="D693" t="s">
        <v>102</v>
      </c>
      <c r="E693">
        <v>33</v>
      </c>
      <c r="F693">
        <v>653.83000000000004</v>
      </c>
      <c r="G693">
        <v>2</v>
      </c>
      <c r="H693">
        <v>18</v>
      </c>
      <c r="I693" t="s">
        <v>354</v>
      </c>
      <c r="J693" s="9">
        <f t="shared" si="10"/>
        <v>24950.937396000001</v>
      </c>
    </row>
    <row r="694" spans="1:10">
      <c r="A694" t="s">
        <v>1048</v>
      </c>
      <c r="B694" s="2">
        <v>46019</v>
      </c>
      <c r="C694" t="s">
        <v>320</v>
      </c>
      <c r="D694" t="s">
        <v>91</v>
      </c>
      <c r="E694">
        <v>127</v>
      </c>
      <c r="F694">
        <v>458.15</v>
      </c>
      <c r="G694">
        <v>0</v>
      </c>
      <c r="H694">
        <v>18</v>
      </c>
      <c r="I694" t="s">
        <v>365</v>
      </c>
      <c r="J694" s="9">
        <f t="shared" si="10"/>
        <v>68658.358999999997</v>
      </c>
    </row>
    <row r="695" spans="1:10">
      <c r="A695" t="s">
        <v>1049</v>
      </c>
      <c r="B695" s="2">
        <v>46019</v>
      </c>
      <c r="C695" t="s">
        <v>283</v>
      </c>
      <c r="D695" t="s">
        <v>89</v>
      </c>
      <c r="E695">
        <v>680</v>
      </c>
      <c r="F695">
        <v>100.06</v>
      </c>
      <c r="G695">
        <v>0</v>
      </c>
      <c r="H695">
        <v>18</v>
      </c>
      <c r="I695" t="s">
        <v>354</v>
      </c>
      <c r="J695" s="9">
        <f t="shared" si="10"/>
        <v>80288.144</v>
      </c>
    </row>
    <row r="696" spans="1:10">
      <c r="A696" t="s">
        <v>1050</v>
      </c>
      <c r="B696" s="2">
        <v>46020</v>
      </c>
      <c r="C696" t="s">
        <v>302</v>
      </c>
      <c r="D696" t="s">
        <v>106</v>
      </c>
      <c r="E696">
        <v>583</v>
      </c>
      <c r="F696">
        <v>372.69</v>
      </c>
      <c r="G696">
        <v>7</v>
      </c>
      <c r="H696">
        <v>18</v>
      </c>
      <c r="I696" t="s">
        <v>365</v>
      </c>
      <c r="J696" s="9">
        <f t="shared" si="10"/>
        <v>238441.17349799996</v>
      </c>
    </row>
    <row r="697" spans="1:10">
      <c r="A697" t="s">
        <v>1051</v>
      </c>
      <c r="B697" s="2">
        <v>46020</v>
      </c>
      <c r="C697" t="s">
        <v>280</v>
      </c>
      <c r="D697" t="s">
        <v>89</v>
      </c>
      <c r="E697">
        <v>90</v>
      </c>
      <c r="F697">
        <v>96.75</v>
      </c>
      <c r="G697">
        <v>0</v>
      </c>
      <c r="H697">
        <v>18</v>
      </c>
      <c r="I697" t="s">
        <v>354</v>
      </c>
      <c r="J697" s="9">
        <f t="shared" si="10"/>
        <v>10274.85</v>
      </c>
    </row>
    <row r="698" spans="1:10">
      <c r="A698" t="s">
        <v>1052</v>
      </c>
      <c r="B698" s="2">
        <v>46020</v>
      </c>
      <c r="C698" t="s">
        <v>330</v>
      </c>
      <c r="D698" t="s">
        <v>91</v>
      </c>
      <c r="E698">
        <v>190</v>
      </c>
      <c r="F698">
        <v>453.27</v>
      </c>
      <c r="G698">
        <v>0</v>
      </c>
      <c r="H698">
        <v>18</v>
      </c>
      <c r="I698" t="s">
        <v>354</v>
      </c>
      <c r="J698" s="9">
        <f t="shared" si="10"/>
        <v>101623.13399999999</v>
      </c>
    </row>
    <row r="699" spans="1:10">
      <c r="A699" t="s">
        <v>1053</v>
      </c>
      <c r="B699" s="2">
        <v>46021</v>
      </c>
      <c r="C699" t="s">
        <v>322</v>
      </c>
      <c r="D699" t="s">
        <v>93</v>
      </c>
      <c r="E699">
        <v>225</v>
      </c>
      <c r="F699">
        <v>1532.84</v>
      </c>
      <c r="G699">
        <v>0</v>
      </c>
      <c r="H699">
        <v>18</v>
      </c>
      <c r="I699" t="s">
        <v>354</v>
      </c>
      <c r="J699" s="9">
        <f t="shared" si="10"/>
        <v>406969.01999999996</v>
      </c>
    </row>
    <row r="700" spans="1:10">
      <c r="A700" t="s">
        <v>1054</v>
      </c>
      <c r="B700" s="2">
        <v>46021</v>
      </c>
      <c r="C700" t="s">
        <v>278</v>
      </c>
      <c r="D700" t="s">
        <v>87</v>
      </c>
      <c r="E700">
        <v>109</v>
      </c>
      <c r="F700">
        <v>132.68</v>
      </c>
      <c r="G700">
        <v>0</v>
      </c>
      <c r="H700">
        <v>18</v>
      </c>
      <c r="I700" t="s">
        <v>354</v>
      </c>
      <c r="J700" s="9">
        <f t="shared" si="10"/>
        <v>17065.301599999999</v>
      </c>
    </row>
    <row r="701" spans="1:10">
      <c r="A701" t="s">
        <v>1055</v>
      </c>
      <c r="B701" s="2">
        <v>46022</v>
      </c>
      <c r="C701" t="s">
        <v>298</v>
      </c>
      <c r="D701" t="s">
        <v>97</v>
      </c>
      <c r="E701">
        <v>240</v>
      </c>
      <c r="F701">
        <v>175.54</v>
      </c>
      <c r="G701">
        <v>0</v>
      </c>
      <c r="H701">
        <v>18</v>
      </c>
      <c r="I701" t="s">
        <v>354</v>
      </c>
      <c r="J701" s="9">
        <f t="shared" si="10"/>
        <v>49712.927999999993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26B9A-CD0E-40A0-8F70-F01CA07990D3}">
  <dimension ref="A1:H501"/>
  <sheetViews>
    <sheetView topLeftCell="A2" workbookViewId="0">
      <selection activeCell="E14" sqref="E14"/>
    </sheetView>
  </sheetViews>
  <sheetFormatPr defaultRowHeight="14.4"/>
  <cols>
    <col min="1" max="1" width="17.109375" bestFit="1" customWidth="1"/>
    <col min="2" max="2" width="19.33203125" bestFit="1" customWidth="1"/>
    <col min="3" max="3" width="14.5546875" bestFit="1" customWidth="1"/>
    <col min="4" max="4" width="20.21875" bestFit="1" customWidth="1"/>
    <col min="5" max="5" width="21.44140625" bestFit="1" customWidth="1"/>
    <col min="6" max="6" width="20.88671875" bestFit="1" customWidth="1"/>
    <col min="7" max="7" width="9.33203125" bestFit="1" customWidth="1"/>
    <col min="8" max="8" width="18.88671875" bestFit="1" customWidth="1"/>
  </cols>
  <sheetData>
    <row r="1" spans="1:8">
      <c r="A1" s="4" t="s">
        <v>1056</v>
      </c>
      <c r="B1" s="4" t="s">
        <v>1057</v>
      </c>
      <c r="C1" s="4" t="s">
        <v>0</v>
      </c>
      <c r="D1" s="4" t="s">
        <v>1058</v>
      </c>
      <c r="E1" s="4" t="s">
        <v>1059</v>
      </c>
      <c r="F1" s="4" t="s">
        <v>1060</v>
      </c>
      <c r="G1" s="4" t="s">
        <v>1061</v>
      </c>
      <c r="H1" s="4" t="s">
        <v>1062</v>
      </c>
    </row>
    <row r="2" spans="1:8">
      <c r="A2" t="s">
        <v>1063</v>
      </c>
      <c r="B2" s="2">
        <v>45658</v>
      </c>
      <c r="C2" t="s">
        <v>25</v>
      </c>
      <c r="D2">
        <v>447</v>
      </c>
      <c r="E2">
        <v>424</v>
      </c>
      <c r="F2">
        <v>15</v>
      </c>
      <c r="G2" t="s">
        <v>1064</v>
      </c>
      <c r="H2" t="s">
        <v>1065</v>
      </c>
    </row>
    <row r="3" spans="1:8">
      <c r="A3" t="s">
        <v>1066</v>
      </c>
      <c r="B3" s="2">
        <v>45658</v>
      </c>
      <c r="C3" t="s">
        <v>17</v>
      </c>
      <c r="D3">
        <v>175</v>
      </c>
      <c r="E3">
        <v>167</v>
      </c>
      <c r="F3">
        <v>4</v>
      </c>
      <c r="G3" t="s">
        <v>1067</v>
      </c>
      <c r="H3" t="s">
        <v>1065</v>
      </c>
    </row>
    <row r="4" spans="1:8">
      <c r="A4" t="s">
        <v>1068</v>
      </c>
      <c r="B4" s="2">
        <v>45658</v>
      </c>
      <c r="C4" t="s">
        <v>25</v>
      </c>
      <c r="D4">
        <v>364</v>
      </c>
      <c r="E4">
        <v>332</v>
      </c>
      <c r="F4">
        <v>12</v>
      </c>
      <c r="G4" t="s">
        <v>1067</v>
      </c>
      <c r="H4" t="s">
        <v>1065</v>
      </c>
    </row>
    <row r="5" spans="1:8">
      <c r="A5" t="s">
        <v>1069</v>
      </c>
      <c r="B5" s="2">
        <v>45658</v>
      </c>
      <c r="C5" t="s">
        <v>21</v>
      </c>
      <c r="D5">
        <v>257</v>
      </c>
      <c r="E5">
        <v>240</v>
      </c>
      <c r="F5">
        <v>8</v>
      </c>
      <c r="G5" t="s">
        <v>1064</v>
      </c>
      <c r="H5" t="s">
        <v>1070</v>
      </c>
    </row>
    <row r="6" spans="1:8">
      <c r="A6" t="s">
        <v>1071</v>
      </c>
      <c r="B6" s="2">
        <v>45659</v>
      </c>
      <c r="C6" t="s">
        <v>21</v>
      </c>
      <c r="D6">
        <v>472</v>
      </c>
      <c r="E6">
        <v>433</v>
      </c>
      <c r="F6">
        <v>11</v>
      </c>
      <c r="G6" t="s">
        <v>1067</v>
      </c>
      <c r="H6" t="s">
        <v>1070</v>
      </c>
    </row>
    <row r="7" spans="1:8">
      <c r="A7" t="s">
        <v>1072</v>
      </c>
      <c r="B7" s="2">
        <v>45659</v>
      </c>
      <c r="C7" t="s">
        <v>21</v>
      </c>
      <c r="D7">
        <v>212</v>
      </c>
      <c r="E7">
        <v>196</v>
      </c>
      <c r="F7">
        <v>6</v>
      </c>
      <c r="G7" t="s">
        <v>1073</v>
      </c>
      <c r="H7" t="s">
        <v>1070</v>
      </c>
    </row>
    <row r="8" spans="1:8">
      <c r="A8" t="s">
        <v>1074</v>
      </c>
      <c r="B8" s="2">
        <v>45660</v>
      </c>
      <c r="C8" t="s">
        <v>48</v>
      </c>
      <c r="D8">
        <v>386</v>
      </c>
      <c r="E8">
        <v>370</v>
      </c>
      <c r="F8">
        <v>5</v>
      </c>
      <c r="G8" t="s">
        <v>1067</v>
      </c>
      <c r="H8" t="s">
        <v>1075</v>
      </c>
    </row>
    <row r="9" spans="1:8">
      <c r="A9" t="s">
        <v>1076</v>
      </c>
      <c r="B9" s="2">
        <v>45661</v>
      </c>
      <c r="C9" t="s">
        <v>13</v>
      </c>
      <c r="D9">
        <v>232</v>
      </c>
      <c r="E9">
        <v>219</v>
      </c>
      <c r="F9">
        <v>8</v>
      </c>
      <c r="G9" t="s">
        <v>1073</v>
      </c>
      <c r="H9" t="s">
        <v>1070</v>
      </c>
    </row>
    <row r="10" spans="1:8">
      <c r="A10" t="s">
        <v>1077</v>
      </c>
      <c r="B10" s="2">
        <v>45663</v>
      </c>
      <c r="C10" t="s">
        <v>33</v>
      </c>
      <c r="D10">
        <v>430</v>
      </c>
      <c r="E10">
        <v>397</v>
      </c>
      <c r="F10">
        <v>9</v>
      </c>
      <c r="G10" t="s">
        <v>1073</v>
      </c>
      <c r="H10" t="s">
        <v>1070</v>
      </c>
    </row>
    <row r="11" spans="1:8">
      <c r="A11" t="s">
        <v>1078</v>
      </c>
      <c r="B11" s="2">
        <v>45663</v>
      </c>
      <c r="C11" t="s">
        <v>33</v>
      </c>
      <c r="D11">
        <v>203</v>
      </c>
      <c r="E11">
        <v>185</v>
      </c>
      <c r="F11">
        <v>7</v>
      </c>
      <c r="G11" t="s">
        <v>1067</v>
      </c>
      <c r="H11" t="s">
        <v>1070</v>
      </c>
    </row>
    <row r="12" spans="1:8">
      <c r="A12" t="s">
        <v>1079</v>
      </c>
      <c r="B12" s="2">
        <v>45664</v>
      </c>
      <c r="C12" t="s">
        <v>8</v>
      </c>
      <c r="D12">
        <v>488</v>
      </c>
      <c r="E12">
        <v>449</v>
      </c>
      <c r="F12">
        <v>10</v>
      </c>
      <c r="G12" t="s">
        <v>1073</v>
      </c>
      <c r="H12" t="s">
        <v>1070</v>
      </c>
    </row>
    <row r="13" spans="1:8">
      <c r="A13" t="s">
        <v>1080</v>
      </c>
      <c r="B13" s="2">
        <v>45665</v>
      </c>
      <c r="C13" t="s">
        <v>33</v>
      </c>
      <c r="D13">
        <v>185</v>
      </c>
      <c r="E13">
        <v>178</v>
      </c>
      <c r="F13">
        <v>3</v>
      </c>
      <c r="G13" t="s">
        <v>1064</v>
      </c>
      <c r="H13" t="s">
        <v>1070</v>
      </c>
    </row>
    <row r="14" spans="1:8">
      <c r="A14" t="s">
        <v>1081</v>
      </c>
      <c r="B14" s="2">
        <v>45667</v>
      </c>
      <c r="C14" t="s">
        <v>17</v>
      </c>
      <c r="D14">
        <v>429</v>
      </c>
      <c r="E14">
        <v>414</v>
      </c>
      <c r="F14">
        <v>7</v>
      </c>
      <c r="G14" t="s">
        <v>1064</v>
      </c>
      <c r="H14" t="s">
        <v>1065</v>
      </c>
    </row>
    <row r="15" spans="1:8">
      <c r="A15" t="s">
        <v>1082</v>
      </c>
      <c r="B15" s="2">
        <v>45667</v>
      </c>
      <c r="C15" t="s">
        <v>45</v>
      </c>
      <c r="D15">
        <v>152</v>
      </c>
      <c r="E15">
        <v>139</v>
      </c>
      <c r="F15">
        <v>5</v>
      </c>
      <c r="G15" t="s">
        <v>1073</v>
      </c>
      <c r="H15" t="s">
        <v>1083</v>
      </c>
    </row>
    <row r="16" spans="1:8">
      <c r="A16" t="s">
        <v>1084</v>
      </c>
      <c r="B16" s="2">
        <v>45667</v>
      </c>
      <c r="C16" t="s">
        <v>45</v>
      </c>
      <c r="D16">
        <v>95</v>
      </c>
      <c r="E16">
        <v>89</v>
      </c>
      <c r="F16">
        <v>2</v>
      </c>
      <c r="G16" t="s">
        <v>1064</v>
      </c>
      <c r="H16" t="s">
        <v>1083</v>
      </c>
    </row>
    <row r="17" spans="1:8">
      <c r="A17" t="s">
        <v>1085</v>
      </c>
      <c r="B17" s="2">
        <v>45667</v>
      </c>
      <c r="C17" t="s">
        <v>52</v>
      </c>
      <c r="D17">
        <v>446</v>
      </c>
      <c r="E17">
        <v>429</v>
      </c>
      <c r="F17">
        <v>8</v>
      </c>
      <c r="G17" t="s">
        <v>1073</v>
      </c>
      <c r="H17" t="s">
        <v>1075</v>
      </c>
    </row>
    <row r="18" spans="1:8">
      <c r="A18" t="s">
        <v>1086</v>
      </c>
      <c r="B18" s="2">
        <v>45667</v>
      </c>
      <c r="C18" t="s">
        <v>8</v>
      </c>
      <c r="D18">
        <v>339</v>
      </c>
      <c r="E18">
        <v>329</v>
      </c>
      <c r="F18">
        <v>2</v>
      </c>
      <c r="G18" t="s">
        <v>1073</v>
      </c>
      <c r="H18" t="s">
        <v>1070</v>
      </c>
    </row>
    <row r="19" spans="1:8">
      <c r="A19" t="s">
        <v>1087</v>
      </c>
      <c r="B19" s="2">
        <v>45668</v>
      </c>
      <c r="C19" t="s">
        <v>41</v>
      </c>
      <c r="D19">
        <v>427</v>
      </c>
      <c r="E19">
        <v>410</v>
      </c>
      <c r="F19">
        <v>13</v>
      </c>
      <c r="G19" t="s">
        <v>1064</v>
      </c>
      <c r="H19" t="s">
        <v>1083</v>
      </c>
    </row>
    <row r="20" spans="1:8">
      <c r="A20" t="s">
        <v>1088</v>
      </c>
      <c r="B20" s="2">
        <v>45669</v>
      </c>
      <c r="C20" t="s">
        <v>17</v>
      </c>
      <c r="D20">
        <v>293</v>
      </c>
      <c r="E20">
        <v>281</v>
      </c>
      <c r="F20">
        <v>9</v>
      </c>
      <c r="G20" t="s">
        <v>1067</v>
      </c>
      <c r="H20" t="s">
        <v>1065</v>
      </c>
    </row>
    <row r="21" spans="1:8">
      <c r="A21" t="s">
        <v>1089</v>
      </c>
      <c r="B21" s="2">
        <v>45669</v>
      </c>
      <c r="C21" t="s">
        <v>48</v>
      </c>
      <c r="D21">
        <v>450</v>
      </c>
      <c r="E21">
        <v>438</v>
      </c>
      <c r="F21">
        <v>6</v>
      </c>
      <c r="G21" t="s">
        <v>1073</v>
      </c>
      <c r="H21" t="s">
        <v>1075</v>
      </c>
    </row>
    <row r="22" spans="1:8">
      <c r="A22" t="s">
        <v>1090</v>
      </c>
      <c r="B22" s="2">
        <v>45670</v>
      </c>
      <c r="C22" t="s">
        <v>25</v>
      </c>
      <c r="D22">
        <v>493</v>
      </c>
      <c r="E22">
        <v>464</v>
      </c>
      <c r="F22">
        <v>5</v>
      </c>
      <c r="G22" t="s">
        <v>1073</v>
      </c>
      <c r="H22" t="s">
        <v>1065</v>
      </c>
    </row>
    <row r="23" spans="1:8">
      <c r="A23" t="s">
        <v>1091</v>
      </c>
      <c r="B23" s="2">
        <v>45670</v>
      </c>
      <c r="C23" t="s">
        <v>17</v>
      </c>
      <c r="D23">
        <v>453</v>
      </c>
      <c r="E23">
        <v>445</v>
      </c>
      <c r="F23">
        <v>2</v>
      </c>
      <c r="G23" t="s">
        <v>1073</v>
      </c>
      <c r="H23" t="s">
        <v>1065</v>
      </c>
    </row>
    <row r="24" spans="1:8">
      <c r="A24" t="s">
        <v>1092</v>
      </c>
      <c r="B24" s="2">
        <v>45670</v>
      </c>
      <c r="C24" t="s">
        <v>41</v>
      </c>
      <c r="D24">
        <v>199</v>
      </c>
      <c r="E24">
        <v>186</v>
      </c>
      <c r="F24">
        <v>7</v>
      </c>
      <c r="G24" t="s">
        <v>1073</v>
      </c>
      <c r="H24" t="s">
        <v>1083</v>
      </c>
    </row>
    <row r="25" spans="1:8">
      <c r="A25" t="s">
        <v>1093</v>
      </c>
      <c r="B25" s="2">
        <v>45670</v>
      </c>
      <c r="C25" t="s">
        <v>33</v>
      </c>
      <c r="D25">
        <v>296</v>
      </c>
      <c r="E25">
        <v>279</v>
      </c>
      <c r="F25">
        <v>6</v>
      </c>
      <c r="G25" t="s">
        <v>1067</v>
      </c>
      <c r="H25" t="s">
        <v>1070</v>
      </c>
    </row>
    <row r="26" spans="1:8">
      <c r="A26" t="s">
        <v>1094</v>
      </c>
      <c r="B26" s="2">
        <v>45671</v>
      </c>
      <c r="C26" t="s">
        <v>33</v>
      </c>
      <c r="D26">
        <v>229</v>
      </c>
      <c r="E26">
        <v>216</v>
      </c>
      <c r="F26">
        <v>3</v>
      </c>
      <c r="G26" t="s">
        <v>1073</v>
      </c>
      <c r="H26" t="s">
        <v>1070</v>
      </c>
    </row>
    <row r="27" spans="1:8">
      <c r="A27" t="s">
        <v>1095</v>
      </c>
      <c r="B27" s="2">
        <v>45672</v>
      </c>
      <c r="C27" t="s">
        <v>29</v>
      </c>
      <c r="D27">
        <v>92</v>
      </c>
      <c r="E27">
        <v>91</v>
      </c>
      <c r="F27">
        <v>1</v>
      </c>
      <c r="G27" t="s">
        <v>1073</v>
      </c>
      <c r="H27" t="s">
        <v>1070</v>
      </c>
    </row>
    <row r="28" spans="1:8">
      <c r="A28" t="s">
        <v>1096</v>
      </c>
      <c r="B28" s="2">
        <v>45673</v>
      </c>
      <c r="C28" t="s">
        <v>33</v>
      </c>
      <c r="D28">
        <v>112</v>
      </c>
      <c r="E28">
        <v>108</v>
      </c>
      <c r="F28">
        <v>1</v>
      </c>
      <c r="G28" t="s">
        <v>1064</v>
      </c>
      <c r="H28" t="s">
        <v>1070</v>
      </c>
    </row>
    <row r="29" spans="1:8">
      <c r="A29" t="s">
        <v>1097</v>
      </c>
      <c r="B29" s="2">
        <v>45673</v>
      </c>
      <c r="C29" t="s">
        <v>25</v>
      </c>
      <c r="D29">
        <v>385</v>
      </c>
      <c r="E29">
        <v>356</v>
      </c>
      <c r="F29">
        <v>12</v>
      </c>
      <c r="G29" t="s">
        <v>1073</v>
      </c>
      <c r="H29" t="s">
        <v>1065</v>
      </c>
    </row>
    <row r="30" spans="1:8">
      <c r="A30" t="s">
        <v>1098</v>
      </c>
      <c r="B30" s="2">
        <v>45674</v>
      </c>
      <c r="C30" t="s">
        <v>48</v>
      </c>
      <c r="D30">
        <v>448</v>
      </c>
      <c r="E30">
        <v>425</v>
      </c>
      <c r="F30">
        <v>6</v>
      </c>
      <c r="G30" t="s">
        <v>1064</v>
      </c>
      <c r="H30" t="s">
        <v>1075</v>
      </c>
    </row>
    <row r="31" spans="1:8">
      <c r="A31" t="s">
        <v>1099</v>
      </c>
      <c r="B31" s="2">
        <v>45676</v>
      </c>
      <c r="C31" t="s">
        <v>45</v>
      </c>
      <c r="D31">
        <v>287</v>
      </c>
      <c r="E31">
        <v>279</v>
      </c>
      <c r="F31">
        <v>7</v>
      </c>
      <c r="G31" t="s">
        <v>1064</v>
      </c>
      <c r="H31" t="s">
        <v>1083</v>
      </c>
    </row>
    <row r="32" spans="1:8">
      <c r="A32" t="s">
        <v>1100</v>
      </c>
      <c r="B32" s="2">
        <v>45676</v>
      </c>
      <c r="C32" t="s">
        <v>29</v>
      </c>
      <c r="D32">
        <v>409</v>
      </c>
      <c r="E32">
        <v>381</v>
      </c>
      <c r="F32">
        <v>11</v>
      </c>
      <c r="G32" t="s">
        <v>1073</v>
      </c>
      <c r="H32" t="s">
        <v>1070</v>
      </c>
    </row>
    <row r="33" spans="1:8">
      <c r="A33" t="s">
        <v>1101</v>
      </c>
      <c r="B33" s="2">
        <v>45677</v>
      </c>
      <c r="C33" t="s">
        <v>52</v>
      </c>
      <c r="D33">
        <v>277</v>
      </c>
      <c r="E33">
        <v>262</v>
      </c>
      <c r="F33">
        <v>2</v>
      </c>
      <c r="G33" t="s">
        <v>1064</v>
      </c>
      <c r="H33" t="s">
        <v>1075</v>
      </c>
    </row>
    <row r="34" spans="1:8">
      <c r="A34" t="s">
        <v>1102</v>
      </c>
      <c r="B34" s="2">
        <v>45677</v>
      </c>
      <c r="C34" t="s">
        <v>17</v>
      </c>
      <c r="D34">
        <v>100</v>
      </c>
      <c r="E34">
        <v>94</v>
      </c>
      <c r="F34">
        <v>2</v>
      </c>
      <c r="G34" t="s">
        <v>1064</v>
      </c>
      <c r="H34" t="s">
        <v>1065</v>
      </c>
    </row>
    <row r="35" spans="1:8">
      <c r="A35" t="s">
        <v>1103</v>
      </c>
      <c r="B35" s="2">
        <v>45679</v>
      </c>
      <c r="C35" t="s">
        <v>21</v>
      </c>
      <c r="D35">
        <v>284</v>
      </c>
      <c r="E35">
        <v>275</v>
      </c>
      <c r="F35">
        <v>9</v>
      </c>
      <c r="G35" t="s">
        <v>1073</v>
      </c>
      <c r="H35" t="s">
        <v>1070</v>
      </c>
    </row>
    <row r="36" spans="1:8">
      <c r="A36" t="s">
        <v>1104</v>
      </c>
      <c r="B36" s="2">
        <v>45680</v>
      </c>
      <c r="C36" t="s">
        <v>17</v>
      </c>
      <c r="D36">
        <v>141</v>
      </c>
      <c r="E36">
        <v>133</v>
      </c>
      <c r="F36">
        <v>1</v>
      </c>
      <c r="G36" t="s">
        <v>1064</v>
      </c>
      <c r="H36" t="s">
        <v>1065</v>
      </c>
    </row>
    <row r="37" spans="1:8">
      <c r="A37" t="s">
        <v>1105</v>
      </c>
      <c r="B37" s="2">
        <v>45680</v>
      </c>
      <c r="C37" t="s">
        <v>17</v>
      </c>
      <c r="D37">
        <v>343</v>
      </c>
      <c r="E37">
        <v>330</v>
      </c>
      <c r="F37">
        <v>9</v>
      </c>
      <c r="G37" t="s">
        <v>1067</v>
      </c>
      <c r="H37" t="s">
        <v>1065</v>
      </c>
    </row>
    <row r="38" spans="1:8">
      <c r="A38" t="s">
        <v>1106</v>
      </c>
      <c r="B38" s="2">
        <v>45680</v>
      </c>
      <c r="C38" t="s">
        <v>37</v>
      </c>
      <c r="D38">
        <v>499</v>
      </c>
      <c r="E38">
        <v>482</v>
      </c>
      <c r="F38">
        <v>15</v>
      </c>
      <c r="G38" t="s">
        <v>1064</v>
      </c>
      <c r="H38" t="s">
        <v>1070</v>
      </c>
    </row>
    <row r="39" spans="1:8">
      <c r="A39" t="s">
        <v>1107</v>
      </c>
      <c r="B39" s="2">
        <v>45681</v>
      </c>
      <c r="C39" t="s">
        <v>13</v>
      </c>
      <c r="D39">
        <v>113</v>
      </c>
      <c r="E39">
        <v>110</v>
      </c>
      <c r="F39">
        <v>2</v>
      </c>
      <c r="G39" t="s">
        <v>1064</v>
      </c>
      <c r="H39" t="s">
        <v>1070</v>
      </c>
    </row>
    <row r="40" spans="1:8">
      <c r="A40" t="s">
        <v>1108</v>
      </c>
      <c r="B40" s="2">
        <v>45684</v>
      </c>
      <c r="C40" t="s">
        <v>52</v>
      </c>
      <c r="D40">
        <v>175</v>
      </c>
      <c r="E40">
        <v>173</v>
      </c>
      <c r="F40">
        <v>1</v>
      </c>
      <c r="G40" t="s">
        <v>1064</v>
      </c>
      <c r="H40" t="s">
        <v>1075</v>
      </c>
    </row>
    <row r="41" spans="1:8">
      <c r="A41" t="s">
        <v>1109</v>
      </c>
      <c r="B41" s="2">
        <v>45684</v>
      </c>
      <c r="C41" t="s">
        <v>29</v>
      </c>
      <c r="D41">
        <v>416</v>
      </c>
      <c r="E41">
        <v>397</v>
      </c>
      <c r="F41">
        <v>3</v>
      </c>
      <c r="G41" t="s">
        <v>1064</v>
      </c>
      <c r="H41" t="s">
        <v>1070</v>
      </c>
    </row>
    <row r="42" spans="1:8">
      <c r="A42" t="s">
        <v>1110</v>
      </c>
      <c r="B42" s="2">
        <v>45685</v>
      </c>
      <c r="C42" t="s">
        <v>13</v>
      </c>
      <c r="D42">
        <v>414</v>
      </c>
      <c r="E42">
        <v>382</v>
      </c>
      <c r="F42">
        <v>10</v>
      </c>
      <c r="G42" t="s">
        <v>1073</v>
      </c>
      <c r="H42" t="s">
        <v>1070</v>
      </c>
    </row>
    <row r="43" spans="1:8">
      <c r="A43" t="s">
        <v>1111</v>
      </c>
      <c r="B43" s="2">
        <v>45686</v>
      </c>
      <c r="C43" t="s">
        <v>41</v>
      </c>
      <c r="D43">
        <v>241</v>
      </c>
      <c r="E43">
        <v>227</v>
      </c>
      <c r="F43">
        <v>6</v>
      </c>
      <c r="G43" t="s">
        <v>1067</v>
      </c>
      <c r="H43" t="s">
        <v>1083</v>
      </c>
    </row>
    <row r="44" spans="1:8">
      <c r="A44" t="s">
        <v>1112</v>
      </c>
      <c r="B44" s="2">
        <v>45686</v>
      </c>
      <c r="C44" t="s">
        <v>25</v>
      </c>
      <c r="D44">
        <v>191</v>
      </c>
      <c r="E44">
        <v>181</v>
      </c>
      <c r="F44">
        <v>3</v>
      </c>
      <c r="G44" t="s">
        <v>1073</v>
      </c>
      <c r="H44" t="s">
        <v>1065</v>
      </c>
    </row>
    <row r="45" spans="1:8">
      <c r="A45" t="s">
        <v>1113</v>
      </c>
      <c r="B45" s="2">
        <v>45686</v>
      </c>
      <c r="C45" t="s">
        <v>45</v>
      </c>
      <c r="D45">
        <v>343</v>
      </c>
      <c r="E45">
        <v>337</v>
      </c>
      <c r="F45">
        <v>6</v>
      </c>
      <c r="G45" t="s">
        <v>1067</v>
      </c>
      <c r="H45" t="s">
        <v>1083</v>
      </c>
    </row>
    <row r="46" spans="1:8">
      <c r="A46" t="s">
        <v>1114</v>
      </c>
      <c r="B46" s="2">
        <v>45687</v>
      </c>
      <c r="C46" t="s">
        <v>21</v>
      </c>
      <c r="D46">
        <v>458</v>
      </c>
      <c r="E46">
        <v>452</v>
      </c>
      <c r="F46">
        <v>2</v>
      </c>
      <c r="G46" t="s">
        <v>1064</v>
      </c>
      <c r="H46" t="s">
        <v>1070</v>
      </c>
    </row>
    <row r="47" spans="1:8">
      <c r="A47" t="s">
        <v>1115</v>
      </c>
      <c r="B47" s="2">
        <v>45688</v>
      </c>
      <c r="C47" t="s">
        <v>25</v>
      </c>
      <c r="D47">
        <v>305</v>
      </c>
      <c r="E47">
        <v>286</v>
      </c>
      <c r="F47">
        <v>5</v>
      </c>
      <c r="G47" t="s">
        <v>1067</v>
      </c>
      <c r="H47" t="s">
        <v>1065</v>
      </c>
    </row>
    <row r="48" spans="1:8">
      <c r="A48" t="s">
        <v>1116</v>
      </c>
      <c r="B48" s="2">
        <v>45688</v>
      </c>
      <c r="C48" t="s">
        <v>48</v>
      </c>
      <c r="D48">
        <v>127</v>
      </c>
      <c r="E48">
        <v>123</v>
      </c>
      <c r="F48">
        <v>2</v>
      </c>
      <c r="G48" t="s">
        <v>1073</v>
      </c>
      <c r="H48" t="s">
        <v>1075</v>
      </c>
    </row>
    <row r="49" spans="1:8">
      <c r="A49" t="s">
        <v>1117</v>
      </c>
      <c r="B49" s="2">
        <v>45690</v>
      </c>
      <c r="C49" t="s">
        <v>48</v>
      </c>
      <c r="D49">
        <v>409</v>
      </c>
      <c r="E49">
        <v>382</v>
      </c>
      <c r="F49">
        <v>7</v>
      </c>
      <c r="G49" t="s">
        <v>1073</v>
      </c>
      <c r="H49" t="s">
        <v>1075</v>
      </c>
    </row>
    <row r="50" spans="1:8">
      <c r="A50" t="s">
        <v>1118</v>
      </c>
      <c r="B50" s="2">
        <v>45693</v>
      </c>
      <c r="C50" t="s">
        <v>25</v>
      </c>
      <c r="D50">
        <v>437</v>
      </c>
      <c r="E50">
        <v>408</v>
      </c>
      <c r="F50">
        <v>9</v>
      </c>
      <c r="G50" t="s">
        <v>1064</v>
      </c>
      <c r="H50" t="s">
        <v>1065</v>
      </c>
    </row>
    <row r="51" spans="1:8">
      <c r="A51" t="s">
        <v>1119</v>
      </c>
      <c r="B51" s="2">
        <v>45693</v>
      </c>
      <c r="C51" t="s">
        <v>13</v>
      </c>
      <c r="D51">
        <v>88</v>
      </c>
      <c r="E51">
        <v>82</v>
      </c>
      <c r="F51">
        <v>1</v>
      </c>
      <c r="G51" t="s">
        <v>1064</v>
      </c>
      <c r="H51" t="s">
        <v>1070</v>
      </c>
    </row>
    <row r="52" spans="1:8">
      <c r="A52" t="s">
        <v>1120</v>
      </c>
      <c r="B52" s="2">
        <v>45693</v>
      </c>
      <c r="C52" t="s">
        <v>13</v>
      </c>
      <c r="D52">
        <v>233</v>
      </c>
      <c r="E52">
        <v>222</v>
      </c>
      <c r="F52">
        <v>5</v>
      </c>
      <c r="G52" t="s">
        <v>1073</v>
      </c>
      <c r="H52" t="s">
        <v>1070</v>
      </c>
    </row>
    <row r="53" spans="1:8">
      <c r="A53" t="s">
        <v>1121</v>
      </c>
      <c r="B53" s="2">
        <v>45695</v>
      </c>
      <c r="C53" t="s">
        <v>17</v>
      </c>
      <c r="D53">
        <v>175</v>
      </c>
      <c r="E53">
        <v>165</v>
      </c>
      <c r="F53">
        <v>2</v>
      </c>
      <c r="G53" t="s">
        <v>1064</v>
      </c>
      <c r="H53" t="s">
        <v>1065</v>
      </c>
    </row>
    <row r="54" spans="1:8">
      <c r="A54" t="s">
        <v>1122</v>
      </c>
      <c r="B54" s="2">
        <v>45696</v>
      </c>
      <c r="C54" t="s">
        <v>17</v>
      </c>
      <c r="D54">
        <v>100</v>
      </c>
      <c r="E54">
        <v>93</v>
      </c>
      <c r="F54">
        <v>1</v>
      </c>
      <c r="G54" t="s">
        <v>1064</v>
      </c>
      <c r="H54" t="s">
        <v>1065</v>
      </c>
    </row>
    <row r="55" spans="1:8">
      <c r="A55" t="s">
        <v>1123</v>
      </c>
      <c r="B55" s="2">
        <v>45697</v>
      </c>
      <c r="C55" t="s">
        <v>41</v>
      </c>
      <c r="D55">
        <v>311</v>
      </c>
      <c r="E55">
        <v>299</v>
      </c>
      <c r="F55">
        <v>10</v>
      </c>
      <c r="G55" t="s">
        <v>1073</v>
      </c>
      <c r="H55" t="s">
        <v>1083</v>
      </c>
    </row>
    <row r="56" spans="1:8">
      <c r="A56" t="s">
        <v>1124</v>
      </c>
      <c r="B56" s="2">
        <v>45700</v>
      </c>
      <c r="C56" t="s">
        <v>45</v>
      </c>
      <c r="D56">
        <v>258</v>
      </c>
      <c r="E56">
        <v>244</v>
      </c>
      <c r="F56">
        <v>5</v>
      </c>
      <c r="G56" t="s">
        <v>1073</v>
      </c>
      <c r="H56" t="s">
        <v>1083</v>
      </c>
    </row>
    <row r="57" spans="1:8">
      <c r="A57" t="s">
        <v>1125</v>
      </c>
      <c r="B57" s="2">
        <v>45700</v>
      </c>
      <c r="C57" t="s">
        <v>25</v>
      </c>
      <c r="D57">
        <v>210</v>
      </c>
      <c r="E57">
        <v>194</v>
      </c>
      <c r="F57">
        <v>4</v>
      </c>
      <c r="G57" t="s">
        <v>1073</v>
      </c>
      <c r="H57" t="s">
        <v>1065</v>
      </c>
    </row>
    <row r="58" spans="1:8">
      <c r="A58" t="s">
        <v>1126</v>
      </c>
      <c r="B58" s="2">
        <v>45700</v>
      </c>
      <c r="C58" t="s">
        <v>33</v>
      </c>
      <c r="D58">
        <v>229</v>
      </c>
      <c r="E58">
        <v>219</v>
      </c>
      <c r="F58">
        <v>6</v>
      </c>
      <c r="G58" t="s">
        <v>1064</v>
      </c>
      <c r="H58" t="s">
        <v>1070</v>
      </c>
    </row>
    <row r="59" spans="1:8">
      <c r="A59" t="s">
        <v>1127</v>
      </c>
      <c r="B59" s="2">
        <v>45700</v>
      </c>
      <c r="C59" t="s">
        <v>41</v>
      </c>
      <c r="D59">
        <v>319</v>
      </c>
      <c r="E59">
        <v>301</v>
      </c>
      <c r="F59">
        <v>3</v>
      </c>
      <c r="G59" t="s">
        <v>1073</v>
      </c>
      <c r="H59" t="s">
        <v>1083</v>
      </c>
    </row>
    <row r="60" spans="1:8">
      <c r="A60" t="s">
        <v>1128</v>
      </c>
      <c r="B60" s="2">
        <v>45701</v>
      </c>
      <c r="C60" t="s">
        <v>33</v>
      </c>
      <c r="D60">
        <v>494</v>
      </c>
      <c r="E60">
        <v>471</v>
      </c>
      <c r="F60">
        <v>9</v>
      </c>
      <c r="G60" t="s">
        <v>1073</v>
      </c>
      <c r="H60" t="s">
        <v>1070</v>
      </c>
    </row>
    <row r="61" spans="1:8">
      <c r="A61" t="s">
        <v>1129</v>
      </c>
      <c r="B61" s="2">
        <v>45701</v>
      </c>
      <c r="C61" t="s">
        <v>25</v>
      </c>
      <c r="D61">
        <v>370</v>
      </c>
      <c r="E61">
        <v>356</v>
      </c>
      <c r="F61">
        <v>11</v>
      </c>
      <c r="G61" t="s">
        <v>1064</v>
      </c>
      <c r="H61" t="s">
        <v>1065</v>
      </c>
    </row>
    <row r="62" spans="1:8">
      <c r="A62" t="s">
        <v>1130</v>
      </c>
      <c r="B62" s="2">
        <v>45703</v>
      </c>
      <c r="C62" t="s">
        <v>41</v>
      </c>
      <c r="D62">
        <v>117</v>
      </c>
      <c r="E62">
        <v>110</v>
      </c>
      <c r="F62">
        <v>2</v>
      </c>
      <c r="G62" t="s">
        <v>1064</v>
      </c>
      <c r="H62" t="s">
        <v>1083</v>
      </c>
    </row>
    <row r="63" spans="1:8">
      <c r="A63" t="s">
        <v>1131</v>
      </c>
      <c r="B63" s="2">
        <v>45704</v>
      </c>
      <c r="C63" t="s">
        <v>25</v>
      </c>
      <c r="D63">
        <v>415</v>
      </c>
      <c r="E63">
        <v>390</v>
      </c>
      <c r="F63">
        <v>7</v>
      </c>
      <c r="G63" t="s">
        <v>1064</v>
      </c>
      <c r="H63" t="s">
        <v>1065</v>
      </c>
    </row>
    <row r="64" spans="1:8">
      <c r="A64" t="s">
        <v>1132</v>
      </c>
      <c r="B64" s="2">
        <v>45705</v>
      </c>
      <c r="C64" t="s">
        <v>48</v>
      </c>
      <c r="D64">
        <v>298</v>
      </c>
      <c r="E64">
        <v>289</v>
      </c>
      <c r="F64">
        <v>5</v>
      </c>
      <c r="G64" t="s">
        <v>1064</v>
      </c>
      <c r="H64" t="s">
        <v>1075</v>
      </c>
    </row>
    <row r="65" spans="1:8">
      <c r="A65" t="s">
        <v>1133</v>
      </c>
      <c r="B65" s="2">
        <v>45705</v>
      </c>
      <c r="C65" t="s">
        <v>21</v>
      </c>
      <c r="D65">
        <v>352</v>
      </c>
      <c r="E65">
        <v>328</v>
      </c>
      <c r="F65">
        <v>5</v>
      </c>
      <c r="G65" t="s">
        <v>1067</v>
      </c>
      <c r="H65" t="s">
        <v>1070</v>
      </c>
    </row>
    <row r="66" spans="1:8">
      <c r="A66" t="s">
        <v>1134</v>
      </c>
      <c r="B66" s="2">
        <v>45706</v>
      </c>
      <c r="C66" t="s">
        <v>29</v>
      </c>
      <c r="D66">
        <v>356</v>
      </c>
      <c r="E66">
        <v>335</v>
      </c>
      <c r="F66">
        <v>3</v>
      </c>
      <c r="G66" t="s">
        <v>1073</v>
      </c>
      <c r="H66" t="s">
        <v>1070</v>
      </c>
    </row>
    <row r="67" spans="1:8">
      <c r="A67" t="s">
        <v>1135</v>
      </c>
      <c r="B67" s="2">
        <v>45707</v>
      </c>
      <c r="C67" t="s">
        <v>37</v>
      </c>
      <c r="D67">
        <v>341</v>
      </c>
      <c r="E67">
        <v>322</v>
      </c>
      <c r="F67">
        <v>3</v>
      </c>
      <c r="G67" t="s">
        <v>1073</v>
      </c>
      <c r="H67" t="s">
        <v>1070</v>
      </c>
    </row>
    <row r="68" spans="1:8">
      <c r="A68" t="s">
        <v>1136</v>
      </c>
      <c r="B68" s="2">
        <v>45707</v>
      </c>
      <c r="C68" t="s">
        <v>45</v>
      </c>
      <c r="D68">
        <v>356</v>
      </c>
      <c r="E68">
        <v>326</v>
      </c>
      <c r="F68">
        <v>12</v>
      </c>
      <c r="G68" t="s">
        <v>1073</v>
      </c>
      <c r="H68" t="s">
        <v>1083</v>
      </c>
    </row>
    <row r="69" spans="1:8">
      <c r="A69" t="s">
        <v>1137</v>
      </c>
      <c r="B69" s="2">
        <v>45708</v>
      </c>
      <c r="C69" t="s">
        <v>17</v>
      </c>
      <c r="D69">
        <v>415</v>
      </c>
      <c r="E69">
        <v>402</v>
      </c>
      <c r="F69">
        <v>6</v>
      </c>
      <c r="G69" t="s">
        <v>1064</v>
      </c>
      <c r="H69" t="s">
        <v>1065</v>
      </c>
    </row>
    <row r="70" spans="1:8">
      <c r="A70" t="s">
        <v>1138</v>
      </c>
      <c r="B70" s="2">
        <v>45710</v>
      </c>
      <c r="C70" t="s">
        <v>52</v>
      </c>
      <c r="D70">
        <v>253</v>
      </c>
      <c r="E70">
        <v>246</v>
      </c>
      <c r="F70">
        <v>2</v>
      </c>
      <c r="G70" t="s">
        <v>1067</v>
      </c>
      <c r="H70" t="s">
        <v>1075</v>
      </c>
    </row>
    <row r="71" spans="1:8">
      <c r="A71" t="s">
        <v>1139</v>
      </c>
      <c r="B71" s="2">
        <v>45712</v>
      </c>
      <c r="C71" t="s">
        <v>13</v>
      </c>
      <c r="D71">
        <v>94</v>
      </c>
      <c r="E71">
        <v>86</v>
      </c>
      <c r="F71">
        <v>3</v>
      </c>
      <c r="G71" t="s">
        <v>1067</v>
      </c>
      <c r="H71" t="s">
        <v>1070</v>
      </c>
    </row>
    <row r="72" spans="1:8">
      <c r="A72" t="s">
        <v>1140</v>
      </c>
      <c r="B72" s="2">
        <v>45712</v>
      </c>
      <c r="C72" t="s">
        <v>37</v>
      </c>
      <c r="D72">
        <v>348</v>
      </c>
      <c r="E72">
        <v>321</v>
      </c>
      <c r="F72">
        <v>11</v>
      </c>
      <c r="G72" t="s">
        <v>1064</v>
      </c>
      <c r="H72" t="s">
        <v>1070</v>
      </c>
    </row>
    <row r="73" spans="1:8">
      <c r="A73" t="s">
        <v>1141</v>
      </c>
      <c r="B73" s="2">
        <v>45712</v>
      </c>
      <c r="C73" t="s">
        <v>37</v>
      </c>
      <c r="D73">
        <v>318</v>
      </c>
      <c r="E73">
        <v>307</v>
      </c>
      <c r="F73">
        <v>6</v>
      </c>
      <c r="G73" t="s">
        <v>1073</v>
      </c>
      <c r="H73" t="s">
        <v>1070</v>
      </c>
    </row>
    <row r="74" spans="1:8">
      <c r="A74" t="s">
        <v>1142</v>
      </c>
      <c r="B74" s="2">
        <v>45713</v>
      </c>
      <c r="C74" t="s">
        <v>17</v>
      </c>
      <c r="D74">
        <v>331</v>
      </c>
      <c r="E74">
        <v>308</v>
      </c>
      <c r="F74">
        <v>11</v>
      </c>
      <c r="G74" t="s">
        <v>1073</v>
      </c>
      <c r="H74" t="s">
        <v>1065</v>
      </c>
    </row>
    <row r="75" spans="1:8">
      <c r="A75" t="s">
        <v>1143</v>
      </c>
      <c r="B75" s="2">
        <v>45714</v>
      </c>
      <c r="C75" t="s">
        <v>33</v>
      </c>
      <c r="D75">
        <v>281</v>
      </c>
      <c r="E75">
        <v>270</v>
      </c>
      <c r="F75">
        <v>5</v>
      </c>
      <c r="G75" t="s">
        <v>1073</v>
      </c>
      <c r="H75" t="s">
        <v>1070</v>
      </c>
    </row>
    <row r="76" spans="1:8">
      <c r="A76" t="s">
        <v>1144</v>
      </c>
      <c r="B76" s="2">
        <v>45715</v>
      </c>
      <c r="C76" t="s">
        <v>45</v>
      </c>
      <c r="D76">
        <v>371</v>
      </c>
      <c r="E76">
        <v>362</v>
      </c>
      <c r="F76">
        <v>5</v>
      </c>
      <c r="G76" t="s">
        <v>1064</v>
      </c>
      <c r="H76" t="s">
        <v>1083</v>
      </c>
    </row>
    <row r="77" spans="1:8">
      <c r="A77" t="s">
        <v>1145</v>
      </c>
      <c r="B77" s="2">
        <v>45716</v>
      </c>
      <c r="C77" t="s">
        <v>8</v>
      </c>
      <c r="D77">
        <v>338</v>
      </c>
      <c r="E77">
        <v>313</v>
      </c>
      <c r="F77">
        <v>5</v>
      </c>
      <c r="G77" t="s">
        <v>1064</v>
      </c>
      <c r="H77" t="s">
        <v>1070</v>
      </c>
    </row>
    <row r="78" spans="1:8">
      <c r="A78" t="s">
        <v>1146</v>
      </c>
      <c r="B78" s="2">
        <v>45717</v>
      </c>
      <c r="C78" t="s">
        <v>29</v>
      </c>
      <c r="D78">
        <v>274</v>
      </c>
      <c r="E78">
        <v>266</v>
      </c>
      <c r="F78">
        <v>3</v>
      </c>
      <c r="G78" t="s">
        <v>1064</v>
      </c>
      <c r="H78" t="s">
        <v>1070</v>
      </c>
    </row>
    <row r="79" spans="1:8">
      <c r="A79" t="s">
        <v>1147</v>
      </c>
      <c r="B79" s="2">
        <v>45718</v>
      </c>
      <c r="C79" t="s">
        <v>52</v>
      </c>
      <c r="D79">
        <v>342</v>
      </c>
      <c r="E79">
        <v>317</v>
      </c>
      <c r="F79">
        <v>7</v>
      </c>
      <c r="G79" t="s">
        <v>1067</v>
      </c>
      <c r="H79" t="s">
        <v>1075</v>
      </c>
    </row>
    <row r="80" spans="1:8">
      <c r="A80" t="s">
        <v>1148</v>
      </c>
      <c r="B80" s="2">
        <v>45720</v>
      </c>
      <c r="C80" t="s">
        <v>29</v>
      </c>
      <c r="D80">
        <v>121</v>
      </c>
      <c r="E80">
        <v>115</v>
      </c>
      <c r="F80">
        <v>2</v>
      </c>
      <c r="G80" t="s">
        <v>1064</v>
      </c>
      <c r="H80" t="s">
        <v>1070</v>
      </c>
    </row>
    <row r="81" spans="1:8">
      <c r="A81" t="s">
        <v>1149</v>
      </c>
      <c r="B81" s="2">
        <v>45720</v>
      </c>
      <c r="C81" t="s">
        <v>25</v>
      </c>
      <c r="D81">
        <v>348</v>
      </c>
      <c r="E81">
        <v>325</v>
      </c>
      <c r="F81">
        <v>4</v>
      </c>
      <c r="G81" t="s">
        <v>1073</v>
      </c>
      <c r="H81" t="s">
        <v>1065</v>
      </c>
    </row>
    <row r="82" spans="1:8">
      <c r="A82" t="s">
        <v>1150</v>
      </c>
      <c r="B82" s="2">
        <v>45721</v>
      </c>
      <c r="C82" t="s">
        <v>25</v>
      </c>
      <c r="D82">
        <v>270</v>
      </c>
      <c r="E82">
        <v>263</v>
      </c>
      <c r="F82">
        <v>5</v>
      </c>
      <c r="G82" t="s">
        <v>1073</v>
      </c>
      <c r="H82" t="s">
        <v>1065</v>
      </c>
    </row>
    <row r="83" spans="1:8">
      <c r="A83" t="s">
        <v>1151</v>
      </c>
      <c r="B83" s="2">
        <v>45721</v>
      </c>
      <c r="C83" t="s">
        <v>48</v>
      </c>
      <c r="D83">
        <v>350</v>
      </c>
      <c r="E83">
        <v>339</v>
      </c>
      <c r="F83">
        <v>4</v>
      </c>
      <c r="G83" t="s">
        <v>1073</v>
      </c>
      <c r="H83" t="s">
        <v>1075</v>
      </c>
    </row>
    <row r="84" spans="1:8">
      <c r="A84" t="s">
        <v>1152</v>
      </c>
      <c r="B84" s="2">
        <v>45722</v>
      </c>
      <c r="C84" t="s">
        <v>29</v>
      </c>
      <c r="D84">
        <v>458</v>
      </c>
      <c r="E84">
        <v>450</v>
      </c>
      <c r="F84">
        <v>6</v>
      </c>
      <c r="G84" t="s">
        <v>1064</v>
      </c>
      <c r="H84" t="s">
        <v>1070</v>
      </c>
    </row>
    <row r="85" spans="1:8">
      <c r="A85" t="s">
        <v>1153</v>
      </c>
      <c r="B85" s="2">
        <v>45723</v>
      </c>
      <c r="C85" t="s">
        <v>8</v>
      </c>
      <c r="D85">
        <v>203</v>
      </c>
      <c r="E85">
        <v>191</v>
      </c>
      <c r="F85">
        <v>4</v>
      </c>
      <c r="G85" t="s">
        <v>1073</v>
      </c>
      <c r="H85" t="s">
        <v>1070</v>
      </c>
    </row>
    <row r="86" spans="1:8">
      <c r="A86" t="s">
        <v>1154</v>
      </c>
      <c r="B86" s="2">
        <v>45723</v>
      </c>
      <c r="C86" t="s">
        <v>41</v>
      </c>
      <c r="D86">
        <v>213</v>
      </c>
      <c r="E86">
        <v>205</v>
      </c>
      <c r="F86">
        <v>2</v>
      </c>
      <c r="G86" t="s">
        <v>1064</v>
      </c>
      <c r="H86" t="s">
        <v>1083</v>
      </c>
    </row>
    <row r="87" spans="1:8">
      <c r="A87" t="s">
        <v>1155</v>
      </c>
      <c r="B87" s="2">
        <v>45724</v>
      </c>
      <c r="C87" t="s">
        <v>25</v>
      </c>
      <c r="D87">
        <v>229</v>
      </c>
      <c r="E87">
        <v>220</v>
      </c>
      <c r="F87">
        <v>1</v>
      </c>
      <c r="G87" t="s">
        <v>1073</v>
      </c>
      <c r="H87" t="s">
        <v>1065</v>
      </c>
    </row>
    <row r="88" spans="1:8">
      <c r="A88" t="s">
        <v>1156</v>
      </c>
      <c r="B88" s="2">
        <v>45724</v>
      </c>
      <c r="C88" t="s">
        <v>45</v>
      </c>
      <c r="D88">
        <v>369</v>
      </c>
      <c r="E88">
        <v>356</v>
      </c>
      <c r="F88">
        <v>3</v>
      </c>
      <c r="G88" t="s">
        <v>1073</v>
      </c>
      <c r="H88" t="s">
        <v>1083</v>
      </c>
    </row>
    <row r="89" spans="1:8">
      <c r="A89" t="s">
        <v>1157</v>
      </c>
      <c r="B89" s="2">
        <v>45726</v>
      </c>
      <c r="C89" t="s">
        <v>48</v>
      </c>
      <c r="D89">
        <v>425</v>
      </c>
      <c r="E89">
        <v>404</v>
      </c>
      <c r="F89">
        <v>7</v>
      </c>
      <c r="G89" t="s">
        <v>1073</v>
      </c>
      <c r="H89" t="s">
        <v>1075</v>
      </c>
    </row>
    <row r="90" spans="1:8">
      <c r="A90" t="s">
        <v>1158</v>
      </c>
      <c r="B90" s="2">
        <v>45726</v>
      </c>
      <c r="C90" t="s">
        <v>17</v>
      </c>
      <c r="D90">
        <v>318</v>
      </c>
      <c r="E90">
        <v>305</v>
      </c>
      <c r="F90">
        <v>4</v>
      </c>
      <c r="G90" t="s">
        <v>1073</v>
      </c>
      <c r="H90" t="s">
        <v>1065</v>
      </c>
    </row>
    <row r="91" spans="1:8">
      <c r="A91" t="s">
        <v>1159</v>
      </c>
      <c r="B91" s="2">
        <v>45726</v>
      </c>
      <c r="C91" t="s">
        <v>37</v>
      </c>
      <c r="D91">
        <v>228</v>
      </c>
      <c r="E91">
        <v>218</v>
      </c>
      <c r="F91">
        <v>5</v>
      </c>
      <c r="G91" t="s">
        <v>1073</v>
      </c>
      <c r="H91" t="s">
        <v>1070</v>
      </c>
    </row>
    <row r="92" spans="1:8">
      <c r="A92" t="s">
        <v>1160</v>
      </c>
      <c r="B92" s="2">
        <v>45726</v>
      </c>
      <c r="C92" t="s">
        <v>48</v>
      </c>
      <c r="D92">
        <v>289</v>
      </c>
      <c r="E92">
        <v>281</v>
      </c>
      <c r="F92">
        <v>4</v>
      </c>
      <c r="G92" t="s">
        <v>1064</v>
      </c>
      <c r="H92" t="s">
        <v>1075</v>
      </c>
    </row>
    <row r="93" spans="1:8">
      <c r="A93" t="s">
        <v>1161</v>
      </c>
      <c r="B93" s="2">
        <v>45726</v>
      </c>
      <c r="C93" t="s">
        <v>8</v>
      </c>
      <c r="D93">
        <v>147</v>
      </c>
      <c r="E93">
        <v>134</v>
      </c>
      <c r="F93">
        <v>5</v>
      </c>
      <c r="G93" t="s">
        <v>1067</v>
      </c>
      <c r="H93" t="s">
        <v>1070</v>
      </c>
    </row>
    <row r="94" spans="1:8">
      <c r="A94" t="s">
        <v>1162</v>
      </c>
      <c r="B94" s="2">
        <v>45727</v>
      </c>
      <c r="C94" t="s">
        <v>13</v>
      </c>
      <c r="D94">
        <v>192</v>
      </c>
      <c r="E94">
        <v>177</v>
      </c>
      <c r="F94">
        <v>4</v>
      </c>
      <c r="G94" t="s">
        <v>1073</v>
      </c>
      <c r="H94" t="s">
        <v>1070</v>
      </c>
    </row>
    <row r="95" spans="1:8">
      <c r="A95" t="s">
        <v>1163</v>
      </c>
      <c r="B95" s="2">
        <v>45727</v>
      </c>
      <c r="C95" t="s">
        <v>25</v>
      </c>
      <c r="D95">
        <v>177</v>
      </c>
      <c r="E95">
        <v>166</v>
      </c>
      <c r="F95">
        <v>6</v>
      </c>
      <c r="G95" t="s">
        <v>1073</v>
      </c>
      <c r="H95" t="s">
        <v>1065</v>
      </c>
    </row>
    <row r="96" spans="1:8">
      <c r="A96" t="s">
        <v>1164</v>
      </c>
      <c r="B96" s="2">
        <v>45728</v>
      </c>
      <c r="C96" t="s">
        <v>8</v>
      </c>
      <c r="D96">
        <v>87</v>
      </c>
      <c r="E96">
        <v>85</v>
      </c>
      <c r="F96">
        <v>1</v>
      </c>
      <c r="G96" t="s">
        <v>1064</v>
      </c>
      <c r="H96" t="s">
        <v>1070</v>
      </c>
    </row>
    <row r="97" spans="1:8">
      <c r="A97" t="s">
        <v>1165</v>
      </c>
      <c r="B97" s="2">
        <v>45729</v>
      </c>
      <c r="C97" t="s">
        <v>8</v>
      </c>
      <c r="D97">
        <v>465</v>
      </c>
      <c r="E97">
        <v>430</v>
      </c>
      <c r="F97">
        <v>8</v>
      </c>
      <c r="G97" t="s">
        <v>1073</v>
      </c>
      <c r="H97" t="s">
        <v>1070</v>
      </c>
    </row>
    <row r="98" spans="1:8">
      <c r="A98" t="s">
        <v>1166</v>
      </c>
      <c r="B98" s="2">
        <v>45731</v>
      </c>
      <c r="C98" t="s">
        <v>52</v>
      </c>
      <c r="D98">
        <v>205</v>
      </c>
      <c r="E98">
        <v>192</v>
      </c>
      <c r="F98">
        <v>6</v>
      </c>
      <c r="G98" t="s">
        <v>1067</v>
      </c>
      <c r="H98" t="s">
        <v>1075</v>
      </c>
    </row>
    <row r="99" spans="1:8">
      <c r="A99" t="s">
        <v>1167</v>
      </c>
      <c r="B99" s="2">
        <v>45731</v>
      </c>
      <c r="C99" t="s">
        <v>37</v>
      </c>
      <c r="D99">
        <v>287</v>
      </c>
      <c r="E99">
        <v>273</v>
      </c>
      <c r="F99">
        <v>8</v>
      </c>
      <c r="G99" t="s">
        <v>1073</v>
      </c>
      <c r="H99" t="s">
        <v>1070</v>
      </c>
    </row>
    <row r="100" spans="1:8">
      <c r="A100" t="s">
        <v>1168</v>
      </c>
      <c r="B100" s="2">
        <v>45733</v>
      </c>
      <c r="C100" t="s">
        <v>21</v>
      </c>
      <c r="D100">
        <v>182</v>
      </c>
      <c r="E100">
        <v>171</v>
      </c>
      <c r="F100">
        <v>2</v>
      </c>
      <c r="G100" t="s">
        <v>1073</v>
      </c>
      <c r="H100" t="s">
        <v>1070</v>
      </c>
    </row>
    <row r="101" spans="1:8">
      <c r="A101" t="s">
        <v>1169</v>
      </c>
      <c r="B101" s="2">
        <v>45733</v>
      </c>
      <c r="C101" t="s">
        <v>13</v>
      </c>
      <c r="D101">
        <v>340</v>
      </c>
      <c r="E101">
        <v>320</v>
      </c>
      <c r="F101">
        <v>3</v>
      </c>
      <c r="G101" t="s">
        <v>1064</v>
      </c>
      <c r="H101" t="s">
        <v>1070</v>
      </c>
    </row>
    <row r="102" spans="1:8">
      <c r="A102" t="s">
        <v>1170</v>
      </c>
      <c r="B102" s="2">
        <v>45735</v>
      </c>
      <c r="C102" t="s">
        <v>41</v>
      </c>
      <c r="D102">
        <v>171</v>
      </c>
      <c r="E102">
        <v>166</v>
      </c>
      <c r="F102">
        <v>2</v>
      </c>
      <c r="G102" t="s">
        <v>1073</v>
      </c>
      <c r="H102" t="s">
        <v>1083</v>
      </c>
    </row>
    <row r="103" spans="1:8">
      <c r="A103" t="s">
        <v>1171</v>
      </c>
      <c r="B103" s="2">
        <v>45736</v>
      </c>
      <c r="C103" t="s">
        <v>25</v>
      </c>
      <c r="D103">
        <v>266</v>
      </c>
      <c r="E103">
        <v>248</v>
      </c>
      <c r="F103">
        <v>5</v>
      </c>
      <c r="G103" t="s">
        <v>1064</v>
      </c>
      <c r="H103" t="s">
        <v>1065</v>
      </c>
    </row>
    <row r="104" spans="1:8">
      <c r="A104" t="s">
        <v>1172</v>
      </c>
      <c r="B104" s="2">
        <v>45739</v>
      </c>
      <c r="C104" t="s">
        <v>41</v>
      </c>
      <c r="D104">
        <v>425</v>
      </c>
      <c r="E104">
        <v>410</v>
      </c>
      <c r="F104">
        <v>5</v>
      </c>
      <c r="G104" t="s">
        <v>1064</v>
      </c>
      <c r="H104" t="s">
        <v>1083</v>
      </c>
    </row>
    <row r="105" spans="1:8">
      <c r="A105" t="s">
        <v>1173</v>
      </c>
      <c r="B105" s="2">
        <v>45741</v>
      </c>
      <c r="C105" t="s">
        <v>37</v>
      </c>
      <c r="D105">
        <v>227</v>
      </c>
      <c r="E105">
        <v>213</v>
      </c>
      <c r="F105">
        <v>5</v>
      </c>
      <c r="G105" t="s">
        <v>1067</v>
      </c>
      <c r="H105" t="s">
        <v>1070</v>
      </c>
    </row>
    <row r="106" spans="1:8">
      <c r="A106" t="s">
        <v>1174</v>
      </c>
      <c r="B106" s="2">
        <v>45742</v>
      </c>
      <c r="C106" t="s">
        <v>13</v>
      </c>
      <c r="D106">
        <v>480</v>
      </c>
      <c r="E106">
        <v>458</v>
      </c>
      <c r="F106">
        <v>7</v>
      </c>
      <c r="G106" t="s">
        <v>1067</v>
      </c>
      <c r="H106" t="s">
        <v>1070</v>
      </c>
    </row>
    <row r="107" spans="1:8">
      <c r="A107" t="s">
        <v>1175</v>
      </c>
      <c r="B107" s="2">
        <v>45743</v>
      </c>
      <c r="C107" t="s">
        <v>21</v>
      </c>
      <c r="D107">
        <v>445</v>
      </c>
      <c r="E107">
        <v>440</v>
      </c>
      <c r="F107">
        <v>2</v>
      </c>
      <c r="G107" t="s">
        <v>1064</v>
      </c>
      <c r="H107" t="s">
        <v>1070</v>
      </c>
    </row>
    <row r="108" spans="1:8">
      <c r="A108" t="s">
        <v>1176</v>
      </c>
      <c r="B108" s="2">
        <v>45743</v>
      </c>
      <c r="C108" t="s">
        <v>17</v>
      </c>
      <c r="D108">
        <v>207</v>
      </c>
      <c r="E108">
        <v>195</v>
      </c>
      <c r="F108">
        <v>5</v>
      </c>
      <c r="G108" t="s">
        <v>1073</v>
      </c>
      <c r="H108" t="s">
        <v>1065</v>
      </c>
    </row>
    <row r="109" spans="1:8">
      <c r="A109" t="s">
        <v>1177</v>
      </c>
      <c r="B109" s="2">
        <v>45745</v>
      </c>
      <c r="C109" t="s">
        <v>41</v>
      </c>
      <c r="D109">
        <v>406</v>
      </c>
      <c r="E109">
        <v>391</v>
      </c>
      <c r="F109">
        <v>10</v>
      </c>
      <c r="G109" t="s">
        <v>1073</v>
      </c>
      <c r="H109" t="s">
        <v>1083</v>
      </c>
    </row>
    <row r="110" spans="1:8">
      <c r="A110" t="s">
        <v>1178</v>
      </c>
      <c r="B110" s="2">
        <v>45746</v>
      </c>
      <c r="C110" t="s">
        <v>52</v>
      </c>
      <c r="D110">
        <v>123</v>
      </c>
      <c r="E110">
        <v>116</v>
      </c>
      <c r="F110">
        <v>1</v>
      </c>
      <c r="G110" t="s">
        <v>1067</v>
      </c>
      <c r="H110" t="s">
        <v>1075</v>
      </c>
    </row>
    <row r="111" spans="1:8">
      <c r="A111" t="s">
        <v>1179</v>
      </c>
      <c r="B111" s="2">
        <v>45748</v>
      </c>
      <c r="C111" t="s">
        <v>17</v>
      </c>
      <c r="D111">
        <v>181</v>
      </c>
      <c r="E111">
        <v>169</v>
      </c>
      <c r="F111">
        <v>1</v>
      </c>
      <c r="G111" t="s">
        <v>1067</v>
      </c>
      <c r="H111" t="s">
        <v>1065</v>
      </c>
    </row>
    <row r="112" spans="1:8">
      <c r="A112" t="s">
        <v>1180</v>
      </c>
      <c r="B112" s="2">
        <v>45748</v>
      </c>
      <c r="C112" t="s">
        <v>21</v>
      </c>
      <c r="D112">
        <v>355</v>
      </c>
      <c r="E112">
        <v>348</v>
      </c>
      <c r="F112">
        <v>5</v>
      </c>
      <c r="G112" t="s">
        <v>1073</v>
      </c>
      <c r="H112" t="s">
        <v>1070</v>
      </c>
    </row>
    <row r="113" spans="1:8">
      <c r="A113" t="s">
        <v>1181</v>
      </c>
      <c r="B113" s="2">
        <v>45749</v>
      </c>
      <c r="C113" t="s">
        <v>17</v>
      </c>
      <c r="D113">
        <v>372</v>
      </c>
      <c r="E113">
        <v>353</v>
      </c>
      <c r="F113">
        <v>9</v>
      </c>
      <c r="G113" t="s">
        <v>1067</v>
      </c>
      <c r="H113" t="s">
        <v>1065</v>
      </c>
    </row>
    <row r="114" spans="1:8">
      <c r="A114" t="s">
        <v>1182</v>
      </c>
      <c r="B114" s="2">
        <v>45750</v>
      </c>
      <c r="C114" t="s">
        <v>37</v>
      </c>
      <c r="D114">
        <v>494</v>
      </c>
      <c r="E114">
        <v>479</v>
      </c>
      <c r="F114">
        <v>3</v>
      </c>
      <c r="G114" t="s">
        <v>1073</v>
      </c>
      <c r="H114" t="s">
        <v>1070</v>
      </c>
    </row>
    <row r="115" spans="1:8">
      <c r="A115" t="s">
        <v>1183</v>
      </c>
      <c r="B115" s="2">
        <v>45750</v>
      </c>
      <c r="C115" t="s">
        <v>13</v>
      </c>
      <c r="D115">
        <v>213</v>
      </c>
      <c r="E115">
        <v>201</v>
      </c>
      <c r="F115">
        <v>2</v>
      </c>
      <c r="G115" t="s">
        <v>1064</v>
      </c>
      <c r="H115" t="s">
        <v>1070</v>
      </c>
    </row>
    <row r="116" spans="1:8">
      <c r="A116" t="s">
        <v>1184</v>
      </c>
      <c r="B116" s="2">
        <v>45750</v>
      </c>
      <c r="C116" t="s">
        <v>13</v>
      </c>
      <c r="D116">
        <v>253</v>
      </c>
      <c r="E116">
        <v>237</v>
      </c>
      <c r="F116">
        <v>2</v>
      </c>
      <c r="G116" t="s">
        <v>1064</v>
      </c>
      <c r="H116" t="s">
        <v>1070</v>
      </c>
    </row>
    <row r="117" spans="1:8">
      <c r="A117" t="s">
        <v>1185</v>
      </c>
      <c r="B117" s="2">
        <v>45751</v>
      </c>
      <c r="C117" t="s">
        <v>21</v>
      </c>
      <c r="D117">
        <v>275</v>
      </c>
      <c r="E117">
        <v>253</v>
      </c>
      <c r="F117">
        <v>6</v>
      </c>
      <c r="G117" t="s">
        <v>1067</v>
      </c>
      <c r="H117" t="s">
        <v>1070</v>
      </c>
    </row>
    <row r="118" spans="1:8">
      <c r="A118" t="s">
        <v>1186</v>
      </c>
      <c r="B118" s="2">
        <v>45751</v>
      </c>
      <c r="C118" t="s">
        <v>33</v>
      </c>
      <c r="D118">
        <v>473</v>
      </c>
      <c r="E118">
        <v>451</v>
      </c>
      <c r="F118">
        <v>15</v>
      </c>
      <c r="G118" t="s">
        <v>1073</v>
      </c>
      <c r="H118" t="s">
        <v>1070</v>
      </c>
    </row>
    <row r="119" spans="1:8">
      <c r="A119" t="s">
        <v>1187</v>
      </c>
      <c r="B119" s="2">
        <v>45752</v>
      </c>
      <c r="C119" t="s">
        <v>8</v>
      </c>
      <c r="D119">
        <v>427</v>
      </c>
      <c r="E119">
        <v>415</v>
      </c>
      <c r="F119">
        <v>11</v>
      </c>
      <c r="G119" t="s">
        <v>1073</v>
      </c>
      <c r="H119" t="s">
        <v>1070</v>
      </c>
    </row>
    <row r="120" spans="1:8">
      <c r="A120" t="s">
        <v>1188</v>
      </c>
      <c r="B120" s="2">
        <v>45755</v>
      </c>
      <c r="C120" t="s">
        <v>52</v>
      </c>
      <c r="D120">
        <v>300</v>
      </c>
      <c r="E120">
        <v>289</v>
      </c>
      <c r="F120">
        <v>7</v>
      </c>
      <c r="G120" t="s">
        <v>1073</v>
      </c>
      <c r="H120" t="s">
        <v>1075</v>
      </c>
    </row>
    <row r="121" spans="1:8">
      <c r="A121" t="s">
        <v>1189</v>
      </c>
      <c r="B121" s="2">
        <v>45757</v>
      </c>
      <c r="C121" t="s">
        <v>52</v>
      </c>
      <c r="D121">
        <v>284</v>
      </c>
      <c r="E121">
        <v>275</v>
      </c>
      <c r="F121">
        <v>7</v>
      </c>
      <c r="G121" t="s">
        <v>1067</v>
      </c>
      <c r="H121" t="s">
        <v>1075</v>
      </c>
    </row>
    <row r="122" spans="1:8">
      <c r="A122" t="s">
        <v>1190</v>
      </c>
      <c r="B122" s="2">
        <v>45758</v>
      </c>
      <c r="C122" t="s">
        <v>48</v>
      </c>
      <c r="D122">
        <v>155</v>
      </c>
      <c r="E122">
        <v>148</v>
      </c>
      <c r="F122">
        <v>1</v>
      </c>
      <c r="G122" t="s">
        <v>1064</v>
      </c>
      <c r="H122" t="s">
        <v>1075</v>
      </c>
    </row>
    <row r="123" spans="1:8">
      <c r="A123" t="s">
        <v>1191</v>
      </c>
      <c r="B123" s="2">
        <v>45759</v>
      </c>
      <c r="C123" t="s">
        <v>45</v>
      </c>
      <c r="D123">
        <v>469</v>
      </c>
      <c r="E123">
        <v>453</v>
      </c>
      <c r="F123">
        <v>5</v>
      </c>
      <c r="G123" t="s">
        <v>1064</v>
      </c>
      <c r="H123" t="s">
        <v>1083</v>
      </c>
    </row>
    <row r="124" spans="1:8">
      <c r="A124" t="s">
        <v>1192</v>
      </c>
      <c r="B124" s="2">
        <v>45760</v>
      </c>
      <c r="C124" t="s">
        <v>33</v>
      </c>
      <c r="D124">
        <v>443</v>
      </c>
      <c r="E124">
        <v>419</v>
      </c>
      <c r="F124">
        <v>2</v>
      </c>
      <c r="G124" t="s">
        <v>1073</v>
      </c>
      <c r="H124" t="s">
        <v>1070</v>
      </c>
    </row>
    <row r="125" spans="1:8">
      <c r="A125" t="s">
        <v>1193</v>
      </c>
      <c r="B125" s="2">
        <v>45760</v>
      </c>
      <c r="C125" t="s">
        <v>41</v>
      </c>
      <c r="D125">
        <v>224</v>
      </c>
      <c r="E125">
        <v>214</v>
      </c>
      <c r="F125">
        <v>6</v>
      </c>
      <c r="G125" t="s">
        <v>1067</v>
      </c>
      <c r="H125" t="s">
        <v>1083</v>
      </c>
    </row>
    <row r="126" spans="1:8">
      <c r="A126" t="s">
        <v>1194</v>
      </c>
      <c r="B126" s="2">
        <v>45760</v>
      </c>
      <c r="C126" t="s">
        <v>25</v>
      </c>
      <c r="D126">
        <v>125</v>
      </c>
      <c r="E126">
        <v>117</v>
      </c>
      <c r="F126">
        <v>1</v>
      </c>
      <c r="G126" t="s">
        <v>1064</v>
      </c>
      <c r="H126" t="s">
        <v>1065</v>
      </c>
    </row>
    <row r="127" spans="1:8">
      <c r="A127" t="s">
        <v>1195</v>
      </c>
      <c r="B127" s="2">
        <v>45761</v>
      </c>
      <c r="C127" t="s">
        <v>17</v>
      </c>
      <c r="D127">
        <v>181</v>
      </c>
      <c r="E127">
        <v>173</v>
      </c>
      <c r="F127">
        <v>4</v>
      </c>
      <c r="G127" t="s">
        <v>1067</v>
      </c>
      <c r="H127" t="s">
        <v>1065</v>
      </c>
    </row>
    <row r="128" spans="1:8">
      <c r="A128" t="s">
        <v>1196</v>
      </c>
      <c r="B128" s="2">
        <v>45761</v>
      </c>
      <c r="C128" t="s">
        <v>25</v>
      </c>
      <c r="D128">
        <v>151</v>
      </c>
      <c r="E128">
        <v>143</v>
      </c>
      <c r="F128">
        <v>5</v>
      </c>
      <c r="G128" t="s">
        <v>1073</v>
      </c>
      <c r="H128" t="s">
        <v>1065</v>
      </c>
    </row>
    <row r="129" spans="1:8">
      <c r="A129" t="s">
        <v>1197</v>
      </c>
      <c r="B129" s="2">
        <v>45762</v>
      </c>
      <c r="C129" t="s">
        <v>8</v>
      </c>
      <c r="D129">
        <v>491</v>
      </c>
      <c r="E129">
        <v>468</v>
      </c>
      <c r="F129">
        <v>8</v>
      </c>
      <c r="G129" t="s">
        <v>1073</v>
      </c>
      <c r="H129" t="s">
        <v>1070</v>
      </c>
    </row>
    <row r="130" spans="1:8">
      <c r="A130" t="s">
        <v>1198</v>
      </c>
      <c r="B130" s="2">
        <v>45762</v>
      </c>
      <c r="C130" t="s">
        <v>8</v>
      </c>
      <c r="D130">
        <v>422</v>
      </c>
      <c r="E130">
        <v>405</v>
      </c>
      <c r="F130">
        <v>10</v>
      </c>
      <c r="G130" t="s">
        <v>1064</v>
      </c>
      <c r="H130" t="s">
        <v>1070</v>
      </c>
    </row>
    <row r="131" spans="1:8">
      <c r="A131" t="s">
        <v>1199</v>
      </c>
      <c r="B131" s="2">
        <v>45763</v>
      </c>
      <c r="C131" t="s">
        <v>8</v>
      </c>
      <c r="D131">
        <v>340</v>
      </c>
      <c r="E131">
        <v>320</v>
      </c>
      <c r="F131">
        <v>8</v>
      </c>
      <c r="G131" t="s">
        <v>1064</v>
      </c>
      <c r="H131" t="s">
        <v>1070</v>
      </c>
    </row>
    <row r="132" spans="1:8">
      <c r="A132" t="s">
        <v>1200</v>
      </c>
      <c r="B132" s="2">
        <v>45765</v>
      </c>
      <c r="C132" t="s">
        <v>13</v>
      </c>
      <c r="D132">
        <v>422</v>
      </c>
      <c r="E132">
        <v>397</v>
      </c>
      <c r="F132">
        <v>4</v>
      </c>
      <c r="G132" t="s">
        <v>1073</v>
      </c>
      <c r="H132" t="s">
        <v>1070</v>
      </c>
    </row>
    <row r="133" spans="1:8">
      <c r="A133" t="s">
        <v>1201</v>
      </c>
      <c r="B133" s="2">
        <v>45765</v>
      </c>
      <c r="C133" t="s">
        <v>17</v>
      </c>
      <c r="D133">
        <v>189</v>
      </c>
      <c r="E133">
        <v>178</v>
      </c>
      <c r="F133">
        <v>3</v>
      </c>
      <c r="G133" t="s">
        <v>1064</v>
      </c>
      <c r="H133" t="s">
        <v>1065</v>
      </c>
    </row>
    <row r="134" spans="1:8">
      <c r="A134" t="s">
        <v>1202</v>
      </c>
      <c r="B134" s="2">
        <v>45767</v>
      </c>
      <c r="C134" t="s">
        <v>13</v>
      </c>
      <c r="D134">
        <v>160</v>
      </c>
      <c r="E134">
        <v>151</v>
      </c>
      <c r="F134">
        <v>4</v>
      </c>
      <c r="G134" t="s">
        <v>1073</v>
      </c>
      <c r="H134" t="s">
        <v>1070</v>
      </c>
    </row>
    <row r="135" spans="1:8">
      <c r="A135" t="s">
        <v>1203</v>
      </c>
      <c r="B135" s="2">
        <v>45767</v>
      </c>
      <c r="C135" t="s">
        <v>41</v>
      </c>
      <c r="D135">
        <v>340</v>
      </c>
      <c r="E135">
        <v>327</v>
      </c>
      <c r="F135">
        <v>5</v>
      </c>
      <c r="G135" t="s">
        <v>1073</v>
      </c>
      <c r="H135" t="s">
        <v>1083</v>
      </c>
    </row>
    <row r="136" spans="1:8">
      <c r="A136" t="s">
        <v>1204</v>
      </c>
      <c r="B136" s="2">
        <v>45768</v>
      </c>
      <c r="C136" t="s">
        <v>48</v>
      </c>
      <c r="D136">
        <v>275</v>
      </c>
      <c r="E136">
        <v>260</v>
      </c>
      <c r="F136">
        <v>4</v>
      </c>
      <c r="G136" t="s">
        <v>1073</v>
      </c>
      <c r="H136" t="s">
        <v>1075</v>
      </c>
    </row>
    <row r="137" spans="1:8">
      <c r="A137" t="s">
        <v>1205</v>
      </c>
      <c r="B137" s="2">
        <v>45768</v>
      </c>
      <c r="C137" t="s">
        <v>41</v>
      </c>
      <c r="D137">
        <v>458</v>
      </c>
      <c r="E137">
        <v>422</v>
      </c>
      <c r="F137">
        <v>16</v>
      </c>
      <c r="G137" t="s">
        <v>1073</v>
      </c>
      <c r="H137" t="s">
        <v>1083</v>
      </c>
    </row>
    <row r="138" spans="1:8">
      <c r="A138" t="s">
        <v>1206</v>
      </c>
      <c r="B138" s="2">
        <v>45768</v>
      </c>
      <c r="C138" t="s">
        <v>17</v>
      </c>
      <c r="D138">
        <v>264</v>
      </c>
      <c r="E138">
        <v>241</v>
      </c>
      <c r="F138">
        <v>9</v>
      </c>
      <c r="G138" t="s">
        <v>1064</v>
      </c>
      <c r="H138" t="s">
        <v>1065</v>
      </c>
    </row>
    <row r="139" spans="1:8">
      <c r="A139" t="s">
        <v>1207</v>
      </c>
      <c r="B139" s="2">
        <v>45768</v>
      </c>
      <c r="C139" t="s">
        <v>41</v>
      </c>
      <c r="D139">
        <v>111</v>
      </c>
      <c r="E139">
        <v>106</v>
      </c>
      <c r="F139">
        <v>2</v>
      </c>
      <c r="G139" t="s">
        <v>1073</v>
      </c>
      <c r="H139" t="s">
        <v>1083</v>
      </c>
    </row>
    <row r="140" spans="1:8">
      <c r="A140" t="s">
        <v>1208</v>
      </c>
      <c r="B140" s="2">
        <v>45768</v>
      </c>
      <c r="C140" t="s">
        <v>45</v>
      </c>
      <c r="D140">
        <v>431</v>
      </c>
      <c r="E140">
        <v>415</v>
      </c>
      <c r="F140">
        <v>10</v>
      </c>
      <c r="G140" t="s">
        <v>1064</v>
      </c>
      <c r="H140" t="s">
        <v>1083</v>
      </c>
    </row>
    <row r="141" spans="1:8">
      <c r="A141" t="s">
        <v>1209</v>
      </c>
      <c r="B141" s="2">
        <v>45769</v>
      </c>
      <c r="C141" t="s">
        <v>8</v>
      </c>
      <c r="D141">
        <v>136</v>
      </c>
      <c r="E141">
        <v>132</v>
      </c>
      <c r="F141">
        <v>2</v>
      </c>
      <c r="G141" t="s">
        <v>1064</v>
      </c>
      <c r="H141" t="s">
        <v>1070</v>
      </c>
    </row>
    <row r="142" spans="1:8">
      <c r="A142" t="s">
        <v>1210</v>
      </c>
      <c r="B142" s="2">
        <v>45769</v>
      </c>
      <c r="C142" t="s">
        <v>37</v>
      </c>
      <c r="D142">
        <v>497</v>
      </c>
      <c r="E142">
        <v>475</v>
      </c>
      <c r="F142">
        <v>10</v>
      </c>
      <c r="G142" t="s">
        <v>1064</v>
      </c>
      <c r="H142" t="s">
        <v>1070</v>
      </c>
    </row>
    <row r="143" spans="1:8">
      <c r="A143" t="s">
        <v>1211</v>
      </c>
      <c r="B143" s="2">
        <v>45772</v>
      </c>
      <c r="C143" t="s">
        <v>13</v>
      </c>
      <c r="D143">
        <v>456</v>
      </c>
      <c r="E143">
        <v>449</v>
      </c>
      <c r="F143">
        <v>2</v>
      </c>
      <c r="G143" t="s">
        <v>1073</v>
      </c>
      <c r="H143" t="s">
        <v>1070</v>
      </c>
    </row>
    <row r="144" spans="1:8">
      <c r="A144" t="s">
        <v>1212</v>
      </c>
      <c r="B144" s="2">
        <v>45772</v>
      </c>
      <c r="C144" t="s">
        <v>41</v>
      </c>
      <c r="D144">
        <v>311</v>
      </c>
      <c r="E144">
        <v>288</v>
      </c>
      <c r="F144">
        <v>6</v>
      </c>
      <c r="G144" t="s">
        <v>1064</v>
      </c>
      <c r="H144" t="s">
        <v>1083</v>
      </c>
    </row>
    <row r="145" spans="1:8">
      <c r="A145" t="s">
        <v>1213</v>
      </c>
      <c r="B145" s="2">
        <v>45774</v>
      </c>
      <c r="C145" t="s">
        <v>13</v>
      </c>
      <c r="D145">
        <v>240</v>
      </c>
      <c r="E145">
        <v>221</v>
      </c>
      <c r="F145">
        <v>5</v>
      </c>
      <c r="G145" t="s">
        <v>1067</v>
      </c>
      <c r="H145" t="s">
        <v>1070</v>
      </c>
    </row>
    <row r="146" spans="1:8">
      <c r="A146" t="s">
        <v>1214</v>
      </c>
      <c r="B146" s="2">
        <v>45774</v>
      </c>
      <c r="C146" t="s">
        <v>33</v>
      </c>
      <c r="D146">
        <v>459</v>
      </c>
      <c r="E146">
        <v>436</v>
      </c>
      <c r="F146">
        <v>13</v>
      </c>
      <c r="G146" t="s">
        <v>1073</v>
      </c>
      <c r="H146" t="s">
        <v>1070</v>
      </c>
    </row>
    <row r="147" spans="1:8">
      <c r="A147" t="s">
        <v>1215</v>
      </c>
      <c r="B147" s="2">
        <v>45777</v>
      </c>
      <c r="C147" t="s">
        <v>13</v>
      </c>
      <c r="D147">
        <v>265</v>
      </c>
      <c r="E147">
        <v>257</v>
      </c>
      <c r="F147">
        <v>3</v>
      </c>
      <c r="G147" t="s">
        <v>1073</v>
      </c>
      <c r="H147" t="s">
        <v>1070</v>
      </c>
    </row>
    <row r="148" spans="1:8">
      <c r="A148" t="s">
        <v>1216</v>
      </c>
      <c r="B148" s="2">
        <v>45777</v>
      </c>
      <c r="C148" t="s">
        <v>25</v>
      </c>
      <c r="D148">
        <v>248</v>
      </c>
      <c r="E148">
        <v>233</v>
      </c>
      <c r="F148">
        <v>8</v>
      </c>
      <c r="G148" t="s">
        <v>1073</v>
      </c>
      <c r="H148" t="s">
        <v>1065</v>
      </c>
    </row>
    <row r="149" spans="1:8">
      <c r="A149" t="s">
        <v>1217</v>
      </c>
      <c r="B149" s="2">
        <v>45778</v>
      </c>
      <c r="C149" t="s">
        <v>52</v>
      </c>
      <c r="D149">
        <v>459</v>
      </c>
      <c r="E149">
        <v>416</v>
      </c>
      <c r="F149">
        <v>16</v>
      </c>
      <c r="G149" t="s">
        <v>1064</v>
      </c>
      <c r="H149" t="s">
        <v>1075</v>
      </c>
    </row>
    <row r="150" spans="1:8">
      <c r="A150" t="s">
        <v>1218</v>
      </c>
      <c r="B150" s="2">
        <v>45778</v>
      </c>
      <c r="C150" t="s">
        <v>29</v>
      </c>
      <c r="D150">
        <v>97</v>
      </c>
      <c r="E150">
        <v>94</v>
      </c>
      <c r="F150">
        <v>0</v>
      </c>
      <c r="G150" t="s">
        <v>1064</v>
      </c>
      <c r="H150" t="s">
        <v>1070</v>
      </c>
    </row>
    <row r="151" spans="1:8">
      <c r="A151" t="s">
        <v>1219</v>
      </c>
      <c r="B151" s="2">
        <v>45779</v>
      </c>
      <c r="C151" t="s">
        <v>52</v>
      </c>
      <c r="D151">
        <v>476</v>
      </c>
      <c r="E151">
        <v>457</v>
      </c>
      <c r="F151">
        <v>9</v>
      </c>
      <c r="G151" t="s">
        <v>1073</v>
      </c>
      <c r="H151" t="s">
        <v>1075</v>
      </c>
    </row>
    <row r="152" spans="1:8">
      <c r="A152" t="s">
        <v>1220</v>
      </c>
      <c r="B152" s="2">
        <v>45781</v>
      </c>
      <c r="C152" t="s">
        <v>45</v>
      </c>
      <c r="D152">
        <v>383</v>
      </c>
      <c r="E152">
        <v>355</v>
      </c>
      <c r="F152">
        <v>9</v>
      </c>
      <c r="G152" t="s">
        <v>1073</v>
      </c>
      <c r="H152" t="s">
        <v>1083</v>
      </c>
    </row>
    <row r="153" spans="1:8">
      <c r="A153" t="s">
        <v>1221</v>
      </c>
      <c r="B153" s="2">
        <v>45782</v>
      </c>
      <c r="C153" t="s">
        <v>13</v>
      </c>
      <c r="D153">
        <v>293</v>
      </c>
      <c r="E153">
        <v>279</v>
      </c>
      <c r="F153">
        <v>10</v>
      </c>
      <c r="G153" t="s">
        <v>1073</v>
      </c>
      <c r="H153" t="s">
        <v>1070</v>
      </c>
    </row>
    <row r="154" spans="1:8">
      <c r="A154" t="s">
        <v>1222</v>
      </c>
      <c r="B154" s="2">
        <v>45782</v>
      </c>
      <c r="C154" t="s">
        <v>25</v>
      </c>
      <c r="D154">
        <v>98</v>
      </c>
      <c r="E154">
        <v>93</v>
      </c>
      <c r="F154">
        <v>1</v>
      </c>
      <c r="G154" t="s">
        <v>1064</v>
      </c>
      <c r="H154" t="s">
        <v>1065</v>
      </c>
    </row>
    <row r="155" spans="1:8">
      <c r="A155" t="s">
        <v>1223</v>
      </c>
      <c r="B155" s="2">
        <v>45783</v>
      </c>
      <c r="C155" t="s">
        <v>29</v>
      </c>
      <c r="D155">
        <v>441</v>
      </c>
      <c r="E155">
        <v>407</v>
      </c>
      <c r="F155">
        <v>14</v>
      </c>
      <c r="G155" t="s">
        <v>1064</v>
      </c>
      <c r="H155" t="s">
        <v>1070</v>
      </c>
    </row>
    <row r="156" spans="1:8">
      <c r="A156" t="s">
        <v>1224</v>
      </c>
      <c r="B156" s="2">
        <v>45783</v>
      </c>
      <c r="C156" t="s">
        <v>37</v>
      </c>
      <c r="D156">
        <v>93</v>
      </c>
      <c r="E156">
        <v>91</v>
      </c>
      <c r="F156">
        <v>1</v>
      </c>
      <c r="G156" t="s">
        <v>1064</v>
      </c>
      <c r="H156" t="s">
        <v>1070</v>
      </c>
    </row>
    <row r="157" spans="1:8">
      <c r="A157" t="s">
        <v>1225</v>
      </c>
      <c r="B157" s="2">
        <v>45784</v>
      </c>
      <c r="C157" t="s">
        <v>52</v>
      </c>
      <c r="D157">
        <v>440</v>
      </c>
      <c r="E157">
        <v>402</v>
      </c>
      <c r="F157">
        <v>12</v>
      </c>
      <c r="G157" t="s">
        <v>1067</v>
      </c>
      <c r="H157" t="s">
        <v>1075</v>
      </c>
    </row>
    <row r="158" spans="1:8">
      <c r="A158" t="s">
        <v>1226</v>
      </c>
      <c r="B158" s="2">
        <v>45784</v>
      </c>
      <c r="C158" t="s">
        <v>52</v>
      </c>
      <c r="D158">
        <v>209</v>
      </c>
      <c r="E158">
        <v>195</v>
      </c>
      <c r="F158">
        <v>3</v>
      </c>
      <c r="G158" t="s">
        <v>1067</v>
      </c>
      <c r="H158" t="s">
        <v>1075</v>
      </c>
    </row>
    <row r="159" spans="1:8">
      <c r="A159" t="s">
        <v>1227</v>
      </c>
      <c r="B159" s="2">
        <v>45785</v>
      </c>
      <c r="C159" t="s">
        <v>29</v>
      </c>
      <c r="D159">
        <v>348</v>
      </c>
      <c r="E159">
        <v>329</v>
      </c>
      <c r="F159">
        <v>5</v>
      </c>
      <c r="G159" t="s">
        <v>1073</v>
      </c>
      <c r="H159" t="s">
        <v>1070</v>
      </c>
    </row>
    <row r="160" spans="1:8">
      <c r="A160" t="s">
        <v>1228</v>
      </c>
      <c r="B160" s="2">
        <v>45786</v>
      </c>
      <c r="C160" t="s">
        <v>41</v>
      </c>
      <c r="D160">
        <v>164</v>
      </c>
      <c r="E160">
        <v>156</v>
      </c>
      <c r="F160">
        <v>5</v>
      </c>
      <c r="G160" t="s">
        <v>1073</v>
      </c>
      <c r="H160" t="s">
        <v>1083</v>
      </c>
    </row>
    <row r="161" spans="1:8">
      <c r="A161" t="s">
        <v>1229</v>
      </c>
      <c r="B161" s="2">
        <v>45788</v>
      </c>
      <c r="C161" t="s">
        <v>17</v>
      </c>
      <c r="D161">
        <v>476</v>
      </c>
      <c r="E161">
        <v>468</v>
      </c>
      <c r="F161">
        <v>6</v>
      </c>
      <c r="G161" t="s">
        <v>1073</v>
      </c>
      <c r="H161" t="s">
        <v>1065</v>
      </c>
    </row>
    <row r="162" spans="1:8">
      <c r="A162" t="s">
        <v>1230</v>
      </c>
      <c r="B162" s="2">
        <v>45788</v>
      </c>
      <c r="C162" t="s">
        <v>13</v>
      </c>
      <c r="D162">
        <v>97</v>
      </c>
      <c r="E162">
        <v>94</v>
      </c>
      <c r="F162">
        <v>1</v>
      </c>
      <c r="G162" t="s">
        <v>1064</v>
      </c>
      <c r="H162" t="s">
        <v>1070</v>
      </c>
    </row>
    <row r="163" spans="1:8">
      <c r="A163" t="s">
        <v>1231</v>
      </c>
      <c r="B163" s="2">
        <v>45788</v>
      </c>
      <c r="C163" t="s">
        <v>17</v>
      </c>
      <c r="D163">
        <v>136</v>
      </c>
      <c r="E163">
        <v>129</v>
      </c>
      <c r="F163">
        <v>4</v>
      </c>
      <c r="G163" t="s">
        <v>1073</v>
      </c>
      <c r="H163" t="s">
        <v>1065</v>
      </c>
    </row>
    <row r="164" spans="1:8">
      <c r="A164" t="s">
        <v>1232</v>
      </c>
      <c r="B164" s="2">
        <v>45788</v>
      </c>
      <c r="C164" t="s">
        <v>17</v>
      </c>
      <c r="D164">
        <v>376</v>
      </c>
      <c r="E164">
        <v>363</v>
      </c>
      <c r="F164">
        <v>9</v>
      </c>
      <c r="G164" t="s">
        <v>1064</v>
      </c>
      <c r="H164" t="s">
        <v>1065</v>
      </c>
    </row>
    <row r="165" spans="1:8">
      <c r="A165" t="s">
        <v>1233</v>
      </c>
      <c r="B165" s="2">
        <v>45788</v>
      </c>
      <c r="C165" t="s">
        <v>25</v>
      </c>
      <c r="D165">
        <v>382</v>
      </c>
      <c r="E165">
        <v>364</v>
      </c>
      <c r="F165">
        <v>6</v>
      </c>
      <c r="G165" t="s">
        <v>1064</v>
      </c>
      <c r="H165" t="s">
        <v>1065</v>
      </c>
    </row>
    <row r="166" spans="1:8">
      <c r="A166" t="s">
        <v>1234</v>
      </c>
      <c r="B166" s="2">
        <v>45790</v>
      </c>
      <c r="C166" t="s">
        <v>21</v>
      </c>
      <c r="D166">
        <v>304</v>
      </c>
      <c r="E166">
        <v>279</v>
      </c>
      <c r="F166">
        <v>9</v>
      </c>
      <c r="G166" t="s">
        <v>1073</v>
      </c>
      <c r="H166" t="s">
        <v>1070</v>
      </c>
    </row>
    <row r="167" spans="1:8">
      <c r="A167" t="s">
        <v>1235</v>
      </c>
      <c r="B167" s="2">
        <v>45791</v>
      </c>
      <c r="C167" t="s">
        <v>52</v>
      </c>
      <c r="D167">
        <v>463</v>
      </c>
      <c r="E167">
        <v>446</v>
      </c>
      <c r="F167">
        <v>5</v>
      </c>
      <c r="G167" t="s">
        <v>1064</v>
      </c>
      <c r="H167" t="s">
        <v>1075</v>
      </c>
    </row>
    <row r="168" spans="1:8">
      <c r="A168" t="s">
        <v>1236</v>
      </c>
      <c r="B168" s="2">
        <v>45793</v>
      </c>
      <c r="C168" t="s">
        <v>13</v>
      </c>
      <c r="D168">
        <v>278</v>
      </c>
      <c r="E168">
        <v>273</v>
      </c>
      <c r="F168">
        <v>1</v>
      </c>
      <c r="G168" t="s">
        <v>1064</v>
      </c>
      <c r="H168" t="s">
        <v>1070</v>
      </c>
    </row>
    <row r="169" spans="1:8">
      <c r="A169" t="s">
        <v>1237</v>
      </c>
      <c r="B169" s="2">
        <v>45793</v>
      </c>
      <c r="C169" t="s">
        <v>45</v>
      </c>
      <c r="D169">
        <v>297</v>
      </c>
      <c r="E169">
        <v>269</v>
      </c>
      <c r="F169">
        <v>10</v>
      </c>
      <c r="G169" t="s">
        <v>1064</v>
      </c>
      <c r="H169" t="s">
        <v>1083</v>
      </c>
    </row>
    <row r="170" spans="1:8">
      <c r="A170" t="s">
        <v>1238</v>
      </c>
      <c r="B170" s="2">
        <v>45793</v>
      </c>
      <c r="C170" t="s">
        <v>29</v>
      </c>
      <c r="D170">
        <v>213</v>
      </c>
      <c r="E170">
        <v>203</v>
      </c>
      <c r="F170">
        <v>6</v>
      </c>
      <c r="G170" t="s">
        <v>1073</v>
      </c>
      <c r="H170" t="s">
        <v>1070</v>
      </c>
    </row>
    <row r="171" spans="1:8">
      <c r="A171" t="s">
        <v>1239</v>
      </c>
      <c r="B171" s="2">
        <v>45793</v>
      </c>
      <c r="C171" t="s">
        <v>41</v>
      </c>
      <c r="D171">
        <v>182</v>
      </c>
      <c r="E171">
        <v>177</v>
      </c>
      <c r="F171">
        <v>3</v>
      </c>
      <c r="G171" t="s">
        <v>1064</v>
      </c>
      <c r="H171" t="s">
        <v>1083</v>
      </c>
    </row>
    <row r="172" spans="1:8">
      <c r="A172" t="s">
        <v>1240</v>
      </c>
      <c r="B172" s="2">
        <v>45794</v>
      </c>
      <c r="C172" t="s">
        <v>8</v>
      </c>
      <c r="D172">
        <v>103</v>
      </c>
      <c r="E172">
        <v>100</v>
      </c>
      <c r="F172">
        <v>3</v>
      </c>
      <c r="G172" t="s">
        <v>1073</v>
      </c>
      <c r="H172" t="s">
        <v>1070</v>
      </c>
    </row>
    <row r="173" spans="1:8">
      <c r="A173" t="s">
        <v>1241</v>
      </c>
      <c r="B173" s="2">
        <v>45795</v>
      </c>
      <c r="C173" t="s">
        <v>21</v>
      </c>
      <c r="D173">
        <v>390</v>
      </c>
      <c r="E173">
        <v>363</v>
      </c>
      <c r="F173">
        <v>7</v>
      </c>
      <c r="G173" t="s">
        <v>1064</v>
      </c>
      <c r="H173" t="s">
        <v>1070</v>
      </c>
    </row>
    <row r="174" spans="1:8">
      <c r="A174" t="s">
        <v>1242</v>
      </c>
      <c r="B174" s="2">
        <v>45797</v>
      </c>
      <c r="C174" t="s">
        <v>52</v>
      </c>
      <c r="D174">
        <v>335</v>
      </c>
      <c r="E174">
        <v>321</v>
      </c>
      <c r="F174">
        <v>10</v>
      </c>
      <c r="G174" t="s">
        <v>1064</v>
      </c>
      <c r="H174" t="s">
        <v>1075</v>
      </c>
    </row>
    <row r="175" spans="1:8">
      <c r="A175" t="s">
        <v>1243</v>
      </c>
      <c r="B175" s="2">
        <v>45797</v>
      </c>
      <c r="C175" t="s">
        <v>45</v>
      </c>
      <c r="D175">
        <v>295</v>
      </c>
      <c r="E175">
        <v>284</v>
      </c>
      <c r="F175">
        <v>3</v>
      </c>
      <c r="G175" t="s">
        <v>1064</v>
      </c>
      <c r="H175" t="s">
        <v>1083</v>
      </c>
    </row>
    <row r="176" spans="1:8">
      <c r="A176" t="s">
        <v>1244</v>
      </c>
      <c r="B176" s="2">
        <v>45797</v>
      </c>
      <c r="C176" t="s">
        <v>33</v>
      </c>
      <c r="D176">
        <v>274</v>
      </c>
      <c r="E176">
        <v>258</v>
      </c>
      <c r="F176">
        <v>9</v>
      </c>
      <c r="G176" t="s">
        <v>1067</v>
      </c>
      <c r="H176" t="s">
        <v>1070</v>
      </c>
    </row>
    <row r="177" spans="1:8">
      <c r="A177" t="s">
        <v>1245</v>
      </c>
      <c r="B177" s="2">
        <v>45797</v>
      </c>
      <c r="C177" t="s">
        <v>21</v>
      </c>
      <c r="D177">
        <v>175</v>
      </c>
      <c r="E177">
        <v>164</v>
      </c>
      <c r="F177">
        <v>4</v>
      </c>
      <c r="G177" t="s">
        <v>1064</v>
      </c>
      <c r="H177" t="s">
        <v>1070</v>
      </c>
    </row>
    <row r="178" spans="1:8">
      <c r="A178" t="s">
        <v>1246</v>
      </c>
      <c r="B178" s="2">
        <v>45798</v>
      </c>
      <c r="C178" t="s">
        <v>45</v>
      </c>
      <c r="D178">
        <v>197</v>
      </c>
      <c r="E178">
        <v>187</v>
      </c>
      <c r="F178">
        <v>3</v>
      </c>
      <c r="G178" t="s">
        <v>1073</v>
      </c>
      <c r="H178" t="s">
        <v>1083</v>
      </c>
    </row>
    <row r="179" spans="1:8">
      <c r="A179" t="s">
        <v>1247</v>
      </c>
      <c r="B179" s="2">
        <v>45800</v>
      </c>
      <c r="C179" t="s">
        <v>21</v>
      </c>
      <c r="D179">
        <v>214</v>
      </c>
      <c r="E179">
        <v>204</v>
      </c>
      <c r="F179">
        <v>3</v>
      </c>
      <c r="G179" t="s">
        <v>1064</v>
      </c>
      <c r="H179" t="s">
        <v>1070</v>
      </c>
    </row>
    <row r="180" spans="1:8">
      <c r="A180" t="s">
        <v>1248</v>
      </c>
      <c r="B180" s="2">
        <v>45802</v>
      </c>
      <c r="C180" t="s">
        <v>25</v>
      </c>
      <c r="D180">
        <v>100</v>
      </c>
      <c r="E180">
        <v>93</v>
      </c>
      <c r="F180">
        <v>2</v>
      </c>
      <c r="G180" t="s">
        <v>1073</v>
      </c>
      <c r="H180" t="s">
        <v>1065</v>
      </c>
    </row>
    <row r="181" spans="1:8">
      <c r="A181" t="s">
        <v>1249</v>
      </c>
      <c r="B181" s="2">
        <v>45802</v>
      </c>
      <c r="C181" t="s">
        <v>52</v>
      </c>
      <c r="D181">
        <v>92</v>
      </c>
      <c r="E181">
        <v>87</v>
      </c>
      <c r="F181">
        <v>2</v>
      </c>
      <c r="G181" t="s">
        <v>1073</v>
      </c>
      <c r="H181" t="s">
        <v>1075</v>
      </c>
    </row>
    <row r="182" spans="1:8">
      <c r="A182" t="s">
        <v>1250</v>
      </c>
      <c r="B182" s="2">
        <v>45803</v>
      </c>
      <c r="C182" t="s">
        <v>37</v>
      </c>
      <c r="D182">
        <v>197</v>
      </c>
      <c r="E182">
        <v>185</v>
      </c>
      <c r="F182">
        <v>1</v>
      </c>
      <c r="G182" t="s">
        <v>1073</v>
      </c>
      <c r="H182" t="s">
        <v>1070</v>
      </c>
    </row>
    <row r="183" spans="1:8">
      <c r="A183" t="s">
        <v>1251</v>
      </c>
      <c r="B183" s="2">
        <v>45803</v>
      </c>
      <c r="C183" t="s">
        <v>25</v>
      </c>
      <c r="D183">
        <v>176</v>
      </c>
      <c r="E183">
        <v>161</v>
      </c>
      <c r="F183">
        <v>6</v>
      </c>
      <c r="G183" t="s">
        <v>1067</v>
      </c>
      <c r="H183" t="s">
        <v>1065</v>
      </c>
    </row>
    <row r="184" spans="1:8">
      <c r="A184" t="s">
        <v>1252</v>
      </c>
      <c r="B184" s="2">
        <v>45805</v>
      </c>
      <c r="C184" t="s">
        <v>37</v>
      </c>
      <c r="D184">
        <v>296</v>
      </c>
      <c r="E184">
        <v>278</v>
      </c>
      <c r="F184">
        <v>8</v>
      </c>
      <c r="G184" t="s">
        <v>1067</v>
      </c>
      <c r="H184" t="s">
        <v>1070</v>
      </c>
    </row>
    <row r="185" spans="1:8">
      <c r="A185" t="s">
        <v>1253</v>
      </c>
      <c r="B185" s="2">
        <v>45805</v>
      </c>
      <c r="C185" t="s">
        <v>52</v>
      </c>
      <c r="D185">
        <v>479</v>
      </c>
      <c r="E185">
        <v>454</v>
      </c>
      <c r="F185">
        <v>9</v>
      </c>
      <c r="G185" t="s">
        <v>1064</v>
      </c>
      <c r="H185" t="s">
        <v>1075</v>
      </c>
    </row>
    <row r="186" spans="1:8">
      <c r="A186" t="s">
        <v>1254</v>
      </c>
      <c r="B186" s="2">
        <v>45806</v>
      </c>
      <c r="C186" t="s">
        <v>25</v>
      </c>
      <c r="D186">
        <v>323</v>
      </c>
      <c r="E186">
        <v>308</v>
      </c>
      <c r="F186">
        <v>9</v>
      </c>
      <c r="G186" t="s">
        <v>1067</v>
      </c>
      <c r="H186" t="s">
        <v>1065</v>
      </c>
    </row>
    <row r="187" spans="1:8">
      <c r="A187" t="s">
        <v>1255</v>
      </c>
      <c r="B187" s="2">
        <v>45806</v>
      </c>
      <c r="C187" t="s">
        <v>17</v>
      </c>
      <c r="D187">
        <v>192</v>
      </c>
      <c r="E187">
        <v>183</v>
      </c>
      <c r="F187">
        <v>1</v>
      </c>
      <c r="G187" t="s">
        <v>1064</v>
      </c>
      <c r="H187" t="s">
        <v>1065</v>
      </c>
    </row>
    <row r="188" spans="1:8">
      <c r="A188" t="s">
        <v>1256</v>
      </c>
      <c r="B188" s="2">
        <v>45806</v>
      </c>
      <c r="C188" t="s">
        <v>17</v>
      </c>
      <c r="D188">
        <v>286</v>
      </c>
      <c r="E188">
        <v>262</v>
      </c>
      <c r="F188">
        <v>8</v>
      </c>
      <c r="G188" t="s">
        <v>1064</v>
      </c>
      <c r="H188" t="s">
        <v>1065</v>
      </c>
    </row>
    <row r="189" spans="1:8">
      <c r="A189" t="s">
        <v>1257</v>
      </c>
      <c r="B189" s="2">
        <v>45807</v>
      </c>
      <c r="C189" t="s">
        <v>25</v>
      </c>
      <c r="D189">
        <v>410</v>
      </c>
      <c r="E189">
        <v>394</v>
      </c>
      <c r="F189">
        <v>7</v>
      </c>
      <c r="G189" t="s">
        <v>1073</v>
      </c>
      <c r="H189" t="s">
        <v>1065</v>
      </c>
    </row>
    <row r="190" spans="1:8">
      <c r="A190" t="s">
        <v>1258</v>
      </c>
      <c r="B190" s="2">
        <v>45808</v>
      </c>
      <c r="C190" t="s">
        <v>25</v>
      </c>
      <c r="D190">
        <v>290</v>
      </c>
      <c r="E190">
        <v>281</v>
      </c>
      <c r="F190">
        <v>5</v>
      </c>
      <c r="G190" t="s">
        <v>1067</v>
      </c>
      <c r="H190" t="s">
        <v>1065</v>
      </c>
    </row>
    <row r="191" spans="1:8">
      <c r="A191" t="s">
        <v>1259</v>
      </c>
      <c r="B191" s="2">
        <v>45809</v>
      </c>
      <c r="C191" t="s">
        <v>21</v>
      </c>
      <c r="D191">
        <v>141</v>
      </c>
      <c r="E191">
        <v>136</v>
      </c>
      <c r="F191">
        <v>3</v>
      </c>
      <c r="G191" t="s">
        <v>1064</v>
      </c>
      <c r="H191" t="s">
        <v>1070</v>
      </c>
    </row>
    <row r="192" spans="1:8">
      <c r="A192" t="s">
        <v>1260</v>
      </c>
      <c r="B192" s="2">
        <v>45811</v>
      </c>
      <c r="C192" t="s">
        <v>29</v>
      </c>
      <c r="D192">
        <v>288</v>
      </c>
      <c r="E192">
        <v>270</v>
      </c>
      <c r="F192">
        <v>10</v>
      </c>
      <c r="G192" t="s">
        <v>1067</v>
      </c>
      <c r="H192" t="s">
        <v>1070</v>
      </c>
    </row>
    <row r="193" spans="1:8">
      <c r="A193" t="s">
        <v>1261</v>
      </c>
      <c r="B193" s="2">
        <v>45811</v>
      </c>
      <c r="C193" t="s">
        <v>37</v>
      </c>
      <c r="D193">
        <v>252</v>
      </c>
      <c r="E193">
        <v>240</v>
      </c>
      <c r="F193">
        <v>9</v>
      </c>
      <c r="G193" t="s">
        <v>1073</v>
      </c>
      <c r="H193" t="s">
        <v>1070</v>
      </c>
    </row>
    <row r="194" spans="1:8">
      <c r="A194" t="s">
        <v>1262</v>
      </c>
      <c r="B194" s="2">
        <v>45811</v>
      </c>
      <c r="C194" t="s">
        <v>21</v>
      </c>
      <c r="D194">
        <v>284</v>
      </c>
      <c r="E194">
        <v>273</v>
      </c>
      <c r="F194">
        <v>7</v>
      </c>
      <c r="G194" t="s">
        <v>1067</v>
      </c>
      <c r="H194" t="s">
        <v>1070</v>
      </c>
    </row>
    <row r="195" spans="1:8">
      <c r="A195" t="s">
        <v>1263</v>
      </c>
      <c r="B195" s="2">
        <v>45812</v>
      </c>
      <c r="C195" t="s">
        <v>17</v>
      </c>
      <c r="D195">
        <v>308</v>
      </c>
      <c r="E195">
        <v>306</v>
      </c>
      <c r="F195">
        <v>2</v>
      </c>
      <c r="G195" t="s">
        <v>1073</v>
      </c>
      <c r="H195" t="s">
        <v>1065</v>
      </c>
    </row>
    <row r="196" spans="1:8">
      <c r="A196" t="s">
        <v>1264</v>
      </c>
      <c r="B196" s="2">
        <v>45813</v>
      </c>
      <c r="C196" t="s">
        <v>33</v>
      </c>
      <c r="D196">
        <v>244</v>
      </c>
      <c r="E196">
        <v>231</v>
      </c>
      <c r="F196">
        <v>7</v>
      </c>
      <c r="G196" t="s">
        <v>1073</v>
      </c>
      <c r="H196" t="s">
        <v>1070</v>
      </c>
    </row>
    <row r="197" spans="1:8">
      <c r="A197" t="s">
        <v>1265</v>
      </c>
      <c r="B197" s="2">
        <v>45813</v>
      </c>
      <c r="C197" t="s">
        <v>48</v>
      </c>
      <c r="D197">
        <v>339</v>
      </c>
      <c r="E197">
        <v>328</v>
      </c>
      <c r="F197">
        <v>9</v>
      </c>
      <c r="G197" t="s">
        <v>1073</v>
      </c>
      <c r="H197" t="s">
        <v>1075</v>
      </c>
    </row>
    <row r="198" spans="1:8">
      <c r="A198" t="s">
        <v>1266</v>
      </c>
      <c r="B198" s="2">
        <v>45814</v>
      </c>
      <c r="C198" t="s">
        <v>8</v>
      </c>
      <c r="D198">
        <v>369</v>
      </c>
      <c r="E198">
        <v>360</v>
      </c>
      <c r="F198">
        <v>1</v>
      </c>
      <c r="G198" t="s">
        <v>1064</v>
      </c>
      <c r="H198" t="s">
        <v>1070</v>
      </c>
    </row>
    <row r="199" spans="1:8">
      <c r="A199" t="s">
        <v>1267</v>
      </c>
      <c r="B199" s="2">
        <v>45815</v>
      </c>
      <c r="C199" t="s">
        <v>17</v>
      </c>
      <c r="D199">
        <v>209</v>
      </c>
      <c r="E199">
        <v>203</v>
      </c>
      <c r="F199">
        <v>4</v>
      </c>
      <c r="G199" t="s">
        <v>1067</v>
      </c>
      <c r="H199" t="s">
        <v>1065</v>
      </c>
    </row>
    <row r="200" spans="1:8">
      <c r="A200" t="s">
        <v>1268</v>
      </c>
      <c r="B200" s="2">
        <v>45816</v>
      </c>
      <c r="C200" t="s">
        <v>52</v>
      </c>
      <c r="D200">
        <v>108</v>
      </c>
      <c r="E200">
        <v>100</v>
      </c>
      <c r="F200">
        <v>2</v>
      </c>
      <c r="G200" t="s">
        <v>1073</v>
      </c>
      <c r="H200" t="s">
        <v>1075</v>
      </c>
    </row>
    <row r="201" spans="1:8">
      <c r="A201" t="s">
        <v>1269</v>
      </c>
      <c r="B201" s="2">
        <v>45816</v>
      </c>
      <c r="C201" t="s">
        <v>48</v>
      </c>
      <c r="D201">
        <v>363</v>
      </c>
      <c r="E201">
        <v>348</v>
      </c>
      <c r="F201">
        <v>10</v>
      </c>
      <c r="G201" t="s">
        <v>1073</v>
      </c>
      <c r="H201" t="s">
        <v>1075</v>
      </c>
    </row>
    <row r="202" spans="1:8">
      <c r="A202" t="s">
        <v>1270</v>
      </c>
      <c r="B202" s="2">
        <v>45816</v>
      </c>
      <c r="C202" t="s">
        <v>8</v>
      </c>
      <c r="D202">
        <v>139</v>
      </c>
      <c r="E202">
        <v>134</v>
      </c>
      <c r="F202">
        <v>2</v>
      </c>
      <c r="G202" t="s">
        <v>1073</v>
      </c>
      <c r="H202" t="s">
        <v>1070</v>
      </c>
    </row>
    <row r="203" spans="1:8">
      <c r="A203" t="s">
        <v>1271</v>
      </c>
      <c r="B203" s="2">
        <v>45817</v>
      </c>
      <c r="C203" t="s">
        <v>37</v>
      </c>
      <c r="D203">
        <v>285</v>
      </c>
      <c r="E203">
        <v>277</v>
      </c>
      <c r="F203">
        <v>8</v>
      </c>
      <c r="G203" t="s">
        <v>1064</v>
      </c>
      <c r="H203" t="s">
        <v>1070</v>
      </c>
    </row>
    <row r="204" spans="1:8">
      <c r="A204" t="s">
        <v>1272</v>
      </c>
      <c r="B204" s="2">
        <v>45818</v>
      </c>
      <c r="C204" t="s">
        <v>37</v>
      </c>
      <c r="D204">
        <v>175</v>
      </c>
      <c r="E204">
        <v>172</v>
      </c>
      <c r="F204">
        <v>3</v>
      </c>
      <c r="G204" t="s">
        <v>1064</v>
      </c>
      <c r="H204" t="s">
        <v>1070</v>
      </c>
    </row>
    <row r="205" spans="1:8">
      <c r="A205" t="s">
        <v>1273</v>
      </c>
      <c r="B205" s="2">
        <v>45818</v>
      </c>
      <c r="C205" t="s">
        <v>21</v>
      </c>
      <c r="D205">
        <v>159</v>
      </c>
      <c r="E205">
        <v>151</v>
      </c>
      <c r="F205">
        <v>3</v>
      </c>
      <c r="G205" t="s">
        <v>1064</v>
      </c>
      <c r="H205" t="s">
        <v>1070</v>
      </c>
    </row>
    <row r="206" spans="1:8">
      <c r="A206" t="s">
        <v>1274</v>
      </c>
      <c r="B206" s="2">
        <v>45818</v>
      </c>
      <c r="C206" t="s">
        <v>17</v>
      </c>
      <c r="D206">
        <v>415</v>
      </c>
      <c r="E206">
        <v>385</v>
      </c>
      <c r="F206">
        <v>7</v>
      </c>
      <c r="G206" t="s">
        <v>1067</v>
      </c>
      <c r="H206" t="s">
        <v>1065</v>
      </c>
    </row>
    <row r="207" spans="1:8">
      <c r="A207" t="s">
        <v>1275</v>
      </c>
      <c r="B207" s="2">
        <v>45820</v>
      </c>
      <c r="C207" t="s">
        <v>13</v>
      </c>
      <c r="D207">
        <v>391</v>
      </c>
      <c r="E207">
        <v>374</v>
      </c>
      <c r="F207">
        <v>13</v>
      </c>
      <c r="G207" t="s">
        <v>1073</v>
      </c>
      <c r="H207" t="s">
        <v>1070</v>
      </c>
    </row>
    <row r="208" spans="1:8">
      <c r="A208" t="s">
        <v>1276</v>
      </c>
      <c r="B208" s="2">
        <v>45820</v>
      </c>
      <c r="C208" t="s">
        <v>45</v>
      </c>
      <c r="D208">
        <v>458</v>
      </c>
      <c r="E208">
        <v>428</v>
      </c>
      <c r="F208">
        <v>10</v>
      </c>
      <c r="G208" t="s">
        <v>1073</v>
      </c>
      <c r="H208" t="s">
        <v>1083</v>
      </c>
    </row>
    <row r="209" spans="1:8">
      <c r="A209" t="s">
        <v>1277</v>
      </c>
      <c r="B209" s="2">
        <v>45821</v>
      </c>
      <c r="C209" t="s">
        <v>25</v>
      </c>
      <c r="D209">
        <v>217</v>
      </c>
      <c r="E209">
        <v>211</v>
      </c>
      <c r="F209">
        <v>6</v>
      </c>
      <c r="G209" t="s">
        <v>1064</v>
      </c>
      <c r="H209" t="s">
        <v>1065</v>
      </c>
    </row>
    <row r="210" spans="1:8">
      <c r="A210" t="s">
        <v>1278</v>
      </c>
      <c r="B210" s="2">
        <v>45822</v>
      </c>
      <c r="C210" t="s">
        <v>48</v>
      </c>
      <c r="D210">
        <v>382</v>
      </c>
      <c r="E210">
        <v>370</v>
      </c>
      <c r="F210">
        <v>5</v>
      </c>
      <c r="G210" t="s">
        <v>1073</v>
      </c>
      <c r="H210" t="s">
        <v>1075</v>
      </c>
    </row>
    <row r="211" spans="1:8">
      <c r="A211" t="s">
        <v>1279</v>
      </c>
      <c r="B211" s="2">
        <v>45822</v>
      </c>
      <c r="C211" t="s">
        <v>45</v>
      </c>
      <c r="D211">
        <v>425</v>
      </c>
      <c r="E211">
        <v>401</v>
      </c>
      <c r="F211">
        <v>3</v>
      </c>
      <c r="G211" t="s">
        <v>1064</v>
      </c>
      <c r="H211" t="s">
        <v>1083</v>
      </c>
    </row>
    <row r="212" spans="1:8">
      <c r="A212" t="s">
        <v>1280</v>
      </c>
      <c r="B212" s="2">
        <v>45822</v>
      </c>
      <c r="C212" t="s">
        <v>45</v>
      </c>
      <c r="D212">
        <v>462</v>
      </c>
      <c r="E212">
        <v>455</v>
      </c>
      <c r="F212">
        <v>2</v>
      </c>
      <c r="G212" t="s">
        <v>1073</v>
      </c>
      <c r="H212" t="s">
        <v>1083</v>
      </c>
    </row>
    <row r="213" spans="1:8">
      <c r="A213" t="s">
        <v>1281</v>
      </c>
      <c r="B213" s="2">
        <v>45822</v>
      </c>
      <c r="C213" t="s">
        <v>13</v>
      </c>
      <c r="D213">
        <v>216</v>
      </c>
      <c r="E213">
        <v>202</v>
      </c>
      <c r="F213">
        <v>5</v>
      </c>
      <c r="G213" t="s">
        <v>1073</v>
      </c>
      <c r="H213" t="s">
        <v>1070</v>
      </c>
    </row>
    <row r="214" spans="1:8">
      <c r="A214" t="s">
        <v>1282</v>
      </c>
      <c r="B214" s="2">
        <v>45823</v>
      </c>
      <c r="C214" t="s">
        <v>17</v>
      </c>
      <c r="D214">
        <v>366</v>
      </c>
      <c r="E214">
        <v>346</v>
      </c>
      <c r="F214">
        <v>4</v>
      </c>
      <c r="G214" t="s">
        <v>1064</v>
      </c>
      <c r="H214" t="s">
        <v>1065</v>
      </c>
    </row>
    <row r="215" spans="1:8">
      <c r="A215" t="s">
        <v>1283</v>
      </c>
      <c r="B215" s="2">
        <v>45823</v>
      </c>
      <c r="C215" t="s">
        <v>25</v>
      </c>
      <c r="D215">
        <v>446</v>
      </c>
      <c r="E215">
        <v>423</v>
      </c>
      <c r="F215">
        <v>9</v>
      </c>
      <c r="G215" t="s">
        <v>1073</v>
      </c>
      <c r="H215" t="s">
        <v>1065</v>
      </c>
    </row>
    <row r="216" spans="1:8">
      <c r="A216" t="s">
        <v>1284</v>
      </c>
      <c r="B216" s="2">
        <v>45823</v>
      </c>
      <c r="C216" t="s">
        <v>45</v>
      </c>
      <c r="D216">
        <v>104</v>
      </c>
      <c r="E216">
        <v>97</v>
      </c>
      <c r="F216">
        <v>2</v>
      </c>
      <c r="G216" t="s">
        <v>1064</v>
      </c>
      <c r="H216" t="s">
        <v>1083</v>
      </c>
    </row>
    <row r="217" spans="1:8">
      <c r="A217" t="s">
        <v>1285</v>
      </c>
      <c r="B217" s="2">
        <v>45824</v>
      </c>
      <c r="C217" t="s">
        <v>17</v>
      </c>
      <c r="D217">
        <v>487</v>
      </c>
      <c r="E217">
        <v>465</v>
      </c>
      <c r="F217">
        <v>16</v>
      </c>
      <c r="G217" t="s">
        <v>1064</v>
      </c>
      <c r="H217" t="s">
        <v>1065</v>
      </c>
    </row>
    <row r="218" spans="1:8">
      <c r="A218" t="s">
        <v>1286</v>
      </c>
      <c r="B218" s="2">
        <v>45824</v>
      </c>
      <c r="C218" t="s">
        <v>29</v>
      </c>
      <c r="D218">
        <v>347</v>
      </c>
      <c r="E218">
        <v>329</v>
      </c>
      <c r="F218">
        <v>8</v>
      </c>
      <c r="G218" t="s">
        <v>1064</v>
      </c>
      <c r="H218" t="s">
        <v>1070</v>
      </c>
    </row>
    <row r="219" spans="1:8">
      <c r="A219" t="s">
        <v>1287</v>
      </c>
      <c r="B219" s="2">
        <v>45825</v>
      </c>
      <c r="C219" t="s">
        <v>52</v>
      </c>
      <c r="D219">
        <v>255</v>
      </c>
      <c r="E219">
        <v>239</v>
      </c>
      <c r="F219">
        <v>5</v>
      </c>
      <c r="G219" t="s">
        <v>1073</v>
      </c>
      <c r="H219" t="s">
        <v>1075</v>
      </c>
    </row>
    <row r="220" spans="1:8">
      <c r="A220" t="s">
        <v>1288</v>
      </c>
      <c r="B220" s="2">
        <v>45825</v>
      </c>
      <c r="C220" t="s">
        <v>45</v>
      </c>
      <c r="D220">
        <v>467</v>
      </c>
      <c r="E220">
        <v>455</v>
      </c>
      <c r="F220">
        <v>10</v>
      </c>
      <c r="G220" t="s">
        <v>1067</v>
      </c>
      <c r="H220" t="s">
        <v>1083</v>
      </c>
    </row>
    <row r="221" spans="1:8">
      <c r="A221" t="s">
        <v>1289</v>
      </c>
      <c r="B221" s="2">
        <v>45825</v>
      </c>
      <c r="C221" t="s">
        <v>29</v>
      </c>
      <c r="D221">
        <v>186</v>
      </c>
      <c r="E221">
        <v>179</v>
      </c>
      <c r="F221">
        <v>1</v>
      </c>
      <c r="G221" t="s">
        <v>1073</v>
      </c>
      <c r="H221" t="s">
        <v>1070</v>
      </c>
    </row>
    <row r="222" spans="1:8">
      <c r="A222" t="s">
        <v>1290</v>
      </c>
      <c r="B222" s="2">
        <v>45826</v>
      </c>
      <c r="C222" t="s">
        <v>45</v>
      </c>
      <c r="D222">
        <v>467</v>
      </c>
      <c r="E222">
        <v>444</v>
      </c>
      <c r="F222">
        <v>16</v>
      </c>
      <c r="G222" t="s">
        <v>1064</v>
      </c>
      <c r="H222" t="s">
        <v>1083</v>
      </c>
    </row>
    <row r="223" spans="1:8">
      <c r="A223" t="s">
        <v>1291</v>
      </c>
      <c r="B223" s="2">
        <v>45827</v>
      </c>
      <c r="C223" t="s">
        <v>13</v>
      </c>
      <c r="D223">
        <v>196</v>
      </c>
      <c r="E223">
        <v>184</v>
      </c>
      <c r="F223">
        <v>4</v>
      </c>
      <c r="G223" t="s">
        <v>1064</v>
      </c>
      <c r="H223" t="s">
        <v>1070</v>
      </c>
    </row>
    <row r="224" spans="1:8">
      <c r="A224" t="s">
        <v>1292</v>
      </c>
      <c r="B224" s="2">
        <v>45827</v>
      </c>
      <c r="C224" t="s">
        <v>13</v>
      </c>
      <c r="D224">
        <v>367</v>
      </c>
      <c r="E224">
        <v>354</v>
      </c>
      <c r="F224">
        <v>3</v>
      </c>
      <c r="G224" t="s">
        <v>1067</v>
      </c>
      <c r="H224" t="s">
        <v>1070</v>
      </c>
    </row>
    <row r="225" spans="1:8">
      <c r="A225" t="s">
        <v>1293</v>
      </c>
      <c r="B225" s="2">
        <v>45829</v>
      </c>
      <c r="C225" t="s">
        <v>37</v>
      </c>
      <c r="D225">
        <v>332</v>
      </c>
      <c r="E225">
        <v>318</v>
      </c>
      <c r="F225">
        <v>4</v>
      </c>
      <c r="G225" t="s">
        <v>1067</v>
      </c>
      <c r="H225" t="s">
        <v>1070</v>
      </c>
    </row>
    <row r="226" spans="1:8">
      <c r="A226" t="s">
        <v>1294</v>
      </c>
      <c r="B226" s="2">
        <v>45829</v>
      </c>
      <c r="C226" t="s">
        <v>17</v>
      </c>
      <c r="D226">
        <v>384</v>
      </c>
      <c r="E226">
        <v>380</v>
      </c>
      <c r="F226">
        <v>2</v>
      </c>
      <c r="G226" t="s">
        <v>1073</v>
      </c>
      <c r="H226" t="s">
        <v>1065</v>
      </c>
    </row>
    <row r="227" spans="1:8">
      <c r="A227" t="s">
        <v>1295</v>
      </c>
      <c r="B227" s="2">
        <v>45830</v>
      </c>
      <c r="C227" t="s">
        <v>21</v>
      </c>
      <c r="D227">
        <v>405</v>
      </c>
      <c r="E227">
        <v>383</v>
      </c>
      <c r="F227">
        <v>12</v>
      </c>
      <c r="G227" t="s">
        <v>1073</v>
      </c>
      <c r="H227" t="s">
        <v>1070</v>
      </c>
    </row>
    <row r="228" spans="1:8">
      <c r="A228" t="s">
        <v>1296</v>
      </c>
      <c r="B228" s="2">
        <v>45833</v>
      </c>
      <c r="C228" t="s">
        <v>13</v>
      </c>
      <c r="D228">
        <v>252</v>
      </c>
      <c r="E228">
        <v>246</v>
      </c>
      <c r="F228">
        <v>4</v>
      </c>
      <c r="G228" t="s">
        <v>1073</v>
      </c>
      <c r="H228" t="s">
        <v>1070</v>
      </c>
    </row>
    <row r="229" spans="1:8">
      <c r="A229" t="s">
        <v>1297</v>
      </c>
      <c r="B229" s="2">
        <v>45834</v>
      </c>
      <c r="C229" t="s">
        <v>33</v>
      </c>
      <c r="D229">
        <v>354</v>
      </c>
      <c r="E229">
        <v>333</v>
      </c>
      <c r="F229">
        <v>7</v>
      </c>
      <c r="G229" t="s">
        <v>1073</v>
      </c>
      <c r="H229" t="s">
        <v>1070</v>
      </c>
    </row>
    <row r="230" spans="1:8">
      <c r="A230" t="s">
        <v>1298</v>
      </c>
      <c r="B230" s="2">
        <v>45834</v>
      </c>
      <c r="C230" t="s">
        <v>17</v>
      </c>
      <c r="D230">
        <v>187</v>
      </c>
      <c r="E230">
        <v>183</v>
      </c>
      <c r="F230">
        <v>2</v>
      </c>
      <c r="G230" t="s">
        <v>1064</v>
      </c>
      <c r="H230" t="s">
        <v>1065</v>
      </c>
    </row>
    <row r="231" spans="1:8">
      <c r="A231" t="s">
        <v>1299</v>
      </c>
      <c r="B231" s="2">
        <v>45834</v>
      </c>
      <c r="C231" t="s">
        <v>17</v>
      </c>
      <c r="D231">
        <v>472</v>
      </c>
      <c r="E231">
        <v>442</v>
      </c>
      <c r="F231">
        <v>12</v>
      </c>
      <c r="G231" t="s">
        <v>1064</v>
      </c>
      <c r="H231" t="s">
        <v>1065</v>
      </c>
    </row>
    <row r="232" spans="1:8">
      <c r="A232" t="s">
        <v>1300</v>
      </c>
      <c r="B232" s="2">
        <v>45834</v>
      </c>
      <c r="C232" t="s">
        <v>17</v>
      </c>
      <c r="D232">
        <v>197</v>
      </c>
      <c r="E232">
        <v>180</v>
      </c>
      <c r="F232">
        <v>6</v>
      </c>
      <c r="G232" t="s">
        <v>1064</v>
      </c>
      <c r="H232" t="s">
        <v>1065</v>
      </c>
    </row>
    <row r="233" spans="1:8">
      <c r="A233" t="s">
        <v>1301</v>
      </c>
      <c r="B233" s="2">
        <v>45835</v>
      </c>
      <c r="C233" t="s">
        <v>21</v>
      </c>
      <c r="D233">
        <v>210</v>
      </c>
      <c r="E233">
        <v>205</v>
      </c>
      <c r="F233">
        <v>2</v>
      </c>
      <c r="G233" t="s">
        <v>1073</v>
      </c>
      <c r="H233" t="s">
        <v>1070</v>
      </c>
    </row>
    <row r="234" spans="1:8">
      <c r="A234" t="s">
        <v>1302</v>
      </c>
      <c r="B234" s="2">
        <v>45835</v>
      </c>
      <c r="C234" t="s">
        <v>21</v>
      </c>
      <c r="D234">
        <v>265</v>
      </c>
      <c r="E234">
        <v>257</v>
      </c>
      <c r="F234">
        <v>1</v>
      </c>
      <c r="G234" t="s">
        <v>1064</v>
      </c>
      <c r="H234" t="s">
        <v>1070</v>
      </c>
    </row>
    <row r="235" spans="1:8">
      <c r="A235" t="s">
        <v>1303</v>
      </c>
      <c r="B235" s="2">
        <v>45836</v>
      </c>
      <c r="C235" t="s">
        <v>17</v>
      </c>
      <c r="D235">
        <v>381</v>
      </c>
      <c r="E235">
        <v>370</v>
      </c>
      <c r="F235">
        <v>6</v>
      </c>
      <c r="G235" t="s">
        <v>1073</v>
      </c>
      <c r="H235" t="s">
        <v>1065</v>
      </c>
    </row>
    <row r="236" spans="1:8">
      <c r="A236" t="s">
        <v>1304</v>
      </c>
      <c r="B236" s="2">
        <v>45836</v>
      </c>
      <c r="C236" t="s">
        <v>41</v>
      </c>
      <c r="D236">
        <v>284</v>
      </c>
      <c r="E236">
        <v>265</v>
      </c>
      <c r="F236">
        <v>10</v>
      </c>
      <c r="G236" t="s">
        <v>1064</v>
      </c>
      <c r="H236" t="s">
        <v>1083</v>
      </c>
    </row>
    <row r="237" spans="1:8">
      <c r="A237" t="s">
        <v>1305</v>
      </c>
      <c r="B237" s="2">
        <v>45837</v>
      </c>
      <c r="C237" t="s">
        <v>17</v>
      </c>
      <c r="D237">
        <v>371</v>
      </c>
      <c r="E237">
        <v>362</v>
      </c>
      <c r="F237">
        <v>8</v>
      </c>
      <c r="G237" t="s">
        <v>1073</v>
      </c>
      <c r="H237" t="s">
        <v>1065</v>
      </c>
    </row>
    <row r="238" spans="1:8">
      <c r="A238" t="s">
        <v>1306</v>
      </c>
      <c r="B238" s="2">
        <v>45837</v>
      </c>
      <c r="C238" t="s">
        <v>48</v>
      </c>
      <c r="D238">
        <v>110</v>
      </c>
      <c r="E238">
        <v>109</v>
      </c>
      <c r="F238">
        <v>1</v>
      </c>
      <c r="G238" t="s">
        <v>1064</v>
      </c>
      <c r="H238" t="s">
        <v>1075</v>
      </c>
    </row>
    <row r="239" spans="1:8">
      <c r="A239" t="s">
        <v>1307</v>
      </c>
      <c r="B239" s="2">
        <v>45838</v>
      </c>
      <c r="C239" t="s">
        <v>52</v>
      </c>
      <c r="D239">
        <v>493</v>
      </c>
      <c r="E239">
        <v>458</v>
      </c>
      <c r="F239">
        <v>15</v>
      </c>
      <c r="G239" t="s">
        <v>1073</v>
      </c>
      <c r="H239" t="s">
        <v>1075</v>
      </c>
    </row>
    <row r="240" spans="1:8">
      <c r="A240" t="s">
        <v>1308</v>
      </c>
      <c r="B240" s="2">
        <v>45839</v>
      </c>
      <c r="C240" t="s">
        <v>37</v>
      </c>
      <c r="D240">
        <v>429</v>
      </c>
      <c r="E240">
        <v>411</v>
      </c>
      <c r="F240">
        <v>11</v>
      </c>
      <c r="G240" t="s">
        <v>1067</v>
      </c>
      <c r="H240" t="s">
        <v>1070</v>
      </c>
    </row>
    <row r="241" spans="1:8">
      <c r="A241" t="s">
        <v>1309</v>
      </c>
      <c r="B241" s="2">
        <v>45840</v>
      </c>
      <c r="C241" t="s">
        <v>52</v>
      </c>
      <c r="D241">
        <v>200</v>
      </c>
      <c r="E241">
        <v>187</v>
      </c>
      <c r="F241">
        <v>6</v>
      </c>
      <c r="G241" t="s">
        <v>1073</v>
      </c>
      <c r="H241" t="s">
        <v>1075</v>
      </c>
    </row>
    <row r="242" spans="1:8">
      <c r="A242" t="s">
        <v>1310</v>
      </c>
      <c r="B242" s="2">
        <v>45841</v>
      </c>
      <c r="C242" t="s">
        <v>21</v>
      </c>
      <c r="D242">
        <v>90</v>
      </c>
      <c r="E242">
        <v>86</v>
      </c>
      <c r="F242">
        <v>2</v>
      </c>
      <c r="G242" t="s">
        <v>1073</v>
      </c>
      <c r="H242" t="s">
        <v>1070</v>
      </c>
    </row>
    <row r="243" spans="1:8">
      <c r="A243" t="s">
        <v>1311</v>
      </c>
      <c r="B243" s="2">
        <v>45841</v>
      </c>
      <c r="C243" t="s">
        <v>33</v>
      </c>
      <c r="D243">
        <v>150</v>
      </c>
      <c r="E243">
        <v>144</v>
      </c>
      <c r="F243">
        <v>5</v>
      </c>
      <c r="G243" t="s">
        <v>1064</v>
      </c>
      <c r="H243" t="s">
        <v>1070</v>
      </c>
    </row>
    <row r="244" spans="1:8">
      <c r="A244" t="s">
        <v>1312</v>
      </c>
      <c r="B244" s="2">
        <v>45842</v>
      </c>
      <c r="C244" t="s">
        <v>48</v>
      </c>
      <c r="D244">
        <v>172</v>
      </c>
      <c r="E244">
        <v>164</v>
      </c>
      <c r="F244">
        <v>2</v>
      </c>
      <c r="G244" t="s">
        <v>1064</v>
      </c>
      <c r="H244" t="s">
        <v>1075</v>
      </c>
    </row>
    <row r="245" spans="1:8">
      <c r="A245" t="s">
        <v>1313</v>
      </c>
      <c r="B245" s="2">
        <v>45842</v>
      </c>
      <c r="C245" t="s">
        <v>21</v>
      </c>
      <c r="D245">
        <v>445</v>
      </c>
      <c r="E245">
        <v>432</v>
      </c>
      <c r="F245">
        <v>4</v>
      </c>
      <c r="G245" t="s">
        <v>1067</v>
      </c>
      <c r="H245" t="s">
        <v>1070</v>
      </c>
    </row>
    <row r="246" spans="1:8">
      <c r="A246" t="s">
        <v>1314</v>
      </c>
      <c r="B246" s="2">
        <v>45843</v>
      </c>
      <c r="C246" t="s">
        <v>17</v>
      </c>
      <c r="D246">
        <v>203</v>
      </c>
      <c r="E246">
        <v>197</v>
      </c>
      <c r="F246">
        <v>1</v>
      </c>
      <c r="G246" t="s">
        <v>1073</v>
      </c>
      <c r="H246" t="s">
        <v>1065</v>
      </c>
    </row>
    <row r="247" spans="1:8">
      <c r="A247" t="s">
        <v>1315</v>
      </c>
      <c r="B247" s="2">
        <v>45844</v>
      </c>
      <c r="C247" t="s">
        <v>33</v>
      </c>
      <c r="D247">
        <v>133</v>
      </c>
      <c r="E247">
        <v>125</v>
      </c>
      <c r="F247">
        <v>2</v>
      </c>
      <c r="G247" t="s">
        <v>1064</v>
      </c>
      <c r="H247" t="s">
        <v>1070</v>
      </c>
    </row>
    <row r="248" spans="1:8">
      <c r="A248" t="s">
        <v>1316</v>
      </c>
      <c r="B248" s="2">
        <v>45845</v>
      </c>
      <c r="C248" t="s">
        <v>48</v>
      </c>
      <c r="D248">
        <v>174</v>
      </c>
      <c r="E248">
        <v>160</v>
      </c>
      <c r="F248">
        <v>5</v>
      </c>
      <c r="G248" t="s">
        <v>1073</v>
      </c>
      <c r="H248" t="s">
        <v>1075</v>
      </c>
    </row>
    <row r="249" spans="1:8">
      <c r="A249" t="s">
        <v>1317</v>
      </c>
      <c r="B249" s="2">
        <v>45845</v>
      </c>
      <c r="C249" t="s">
        <v>41</v>
      </c>
      <c r="D249">
        <v>240</v>
      </c>
      <c r="E249">
        <v>230</v>
      </c>
      <c r="F249">
        <v>2</v>
      </c>
      <c r="G249" t="s">
        <v>1064</v>
      </c>
      <c r="H249" t="s">
        <v>1083</v>
      </c>
    </row>
    <row r="250" spans="1:8">
      <c r="A250" t="s">
        <v>1318</v>
      </c>
      <c r="B250" s="2">
        <v>45845</v>
      </c>
      <c r="C250" t="s">
        <v>37</v>
      </c>
      <c r="D250">
        <v>387</v>
      </c>
      <c r="E250">
        <v>363</v>
      </c>
      <c r="F250">
        <v>4</v>
      </c>
      <c r="G250" t="s">
        <v>1064</v>
      </c>
      <c r="H250" t="s">
        <v>1070</v>
      </c>
    </row>
    <row r="251" spans="1:8">
      <c r="A251" t="s">
        <v>1319</v>
      </c>
      <c r="B251" s="2">
        <v>45846</v>
      </c>
      <c r="C251" t="s">
        <v>48</v>
      </c>
      <c r="D251">
        <v>363</v>
      </c>
      <c r="E251">
        <v>334</v>
      </c>
      <c r="F251">
        <v>11</v>
      </c>
      <c r="G251" t="s">
        <v>1067</v>
      </c>
      <c r="H251" t="s">
        <v>1075</v>
      </c>
    </row>
    <row r="252" spans="1:8">
      <c r="A252" t="s">
        <v>1320</v>
      </c>
      <c r="B252" s="2">
        <v>45846</v>
      </c>
      <c r="C252" t="s">
        <v>17</v>
      </c>
      <c r="D252">
        <v>349</v>
      </c>
      <c r="E252">
        <v>336</v>
      </c>
      <c r="F252">
        <v>3</v>
      </c>
      <c r="G252" t="s">
        <v>1064</v>
      </c>
      <c r="H252" t="s">
        <v>1065</v>
      </c>
    </row>
    <row r="253" spans="1:8">
      <c r="A253" t="s">
        <v>1321</v>
      </c>
      <c r="B253" s="2">
        <v>45847</v>
      </c>
      <c r="C253" t="s">
        <v>25</v>
      </c>
      <c r="D253">
        <v>299</v>
      </c>
      <c r="E253">
        <v>291</v>
      </c>
      <c r="F253">
        <v>2</v>
      </c>
      <c r="G253" t="s">
        <v>1073</v>
      </c>
      <c r="H253" t="s">
        <v>1065</v>
      </c>
    </row>
    <row r="254" spans="1:8">
      <c r="A254" t="s">
        <v>1322</v>
      </c>
      <c r="B254" s="2">
        <v>45848</v>
      </c>
      <c r="C254" t="s">
        <v>13</v>
      </c>
      <c r="D254">
        <v>264</v>
      </c>
      <c r="E254">
        <v>252</v>
      </c>
      <c r="F254">
        <v>1</v>
      </c>
      <c r="G254" t="s">
        <v>1064</v>
      </c>
      <c r="H254" t="s">
        <v>1070</v>
      </c>
    </row>
    <row r="255" spans="1:8">
      <c r="A255" t="s">
        <v>1323</v>
      </c>
      <c r="B255" s="2">
        <v>45848</v>
      </c>
      <c r="C255" t="s">
        <v>52</v>
      </c>
      <c r="D255">
        <v>495</v>
      </c>
      <c r="E255">
        <v>459</v>
      </c>
      <c r="F255">
        <v>12</v>
      </c>
      <c r="G255" t="s">
        <v>1064</v>
      </c>
      <c r="H255" t="s">
        <v>1075</v>
      </c>
    </row>
    <row r="256" spans="1:8">
      <c r="A256" t="s">
        <v>1324</v>
      </c>
      <c r="B256" s="2">
        <v>45849</v>
      </c>
      <c r="C256" t="s">
        <v>48</v>
      </c>
      <c r="D256">
        <v>346</v>
      </c>
      <c r="E256">
        <v>329</v>
      </c>
      <c r="F256">
        <v>4</v>
      </c>
      <c r="G256" t="s">
        <v>1073</v>
      </c>
      <c r="H256" t="s">
        <v>1075</v>
      </c>
    </row>
    <row r="257" spans="1:8">
      <c r="A257" t="s">
        <v>1325</v>
      </c>
      <c r="B257" s="2">
        <v>45850</v>
      </c>
      <c r="C257" t="s">
        <v>37</v>
      </c>
      <c r="D257">
        <v>253</v>
      </c>
      <c r="E257">
        <v>250</v>
      </c>
      <c r="F257">
        <v>1</v>
      </c>
      <c r="G257" t="s">
        <v>1073</v>
      </c>
      <c r="H257" t="s">
        <v>1070</v>
      </c>
    </row>
    <row r="258" spans="1:8">
      <c r="A258" t="s">
        <v>1326</v>
      </c>
      <c r="B258" s="2">
        <v>45851</v>
      </c>
      <c r="C258" t="s">
        <v>37</v>
      </c>
      <c r="D258">
        <v>175</v>
      </c>
      <c r="E258">
        <v>170</v>
      </c>
      <c r="F258">
        <v>2</v>
      </c>
      <c r="G258" t="s">
        <v>1073</v>
      </c>
      <c r="H258" t="s">
        <v>1070</v>
      </c>
    </row>
    <row r="259" spans="1:8">
      <c r="A259" t="s">
        <v>1327</v>
      </c>
      <c r="B259" s="2">
        <v>45852</v>
      </c>
      <c r="C259" t="s">
        <v>45</v>
      </c>
      <c r="D259">
        <v>137</v>
      </c>
      <c r="E259">
        <v>126</v>
      </c>
      <c r="F259">
        <v>3</v>
      </c>
      <c r="G259" t="s">
        <v>1064</v>
      </c>
      <c r="H259" t="s">
        <v>1083</v>
      </c>
    </row>
    <row r="260" spans="1:8">
      <c r="A260" t="s">
        <v>1328</v>
      </c>
      <c r="B260" s="2">
        <v>45853</v>
      </c>
      <c r="C260" t="s">
        <v>25</v>
      </c>
      <c r="D260">
        <v>277</v>
      </c>
      <c r="E260">
        <v>266</v>
      </c>
      <c r="F260">
        <v>9</v>
      </c>
      <c r="G260" t="s">
        <v>1073</v>
      </c>
      <c r="H260" t="s">
        <v>1065</v>
      </c>
    </row>
    <row r="261" spans="1:8">
      <c r="A261" t="s">
        <v>1329</v>
      </c>
      <c r="B261" s="2">
        <v>45854</v>
      </c>
      <c r="C261" t="s">
        <v>48</v>
      </c>
      <c r="D261">
        <v>415</v>
      </c>
      <c r="E261">
        <v>379</v>
      </c>
      <c r="F261">
        <v>14</v>
      </c>
      <c r="G261" t="s">
        <v>1073</v>
      </c>
      <c r="H261" t="s">
        <v>1075</v>
      </c>
    </row>
    <row r="262" spans="1:8">
      <c r="A262" t="s">
        <v>1330</v>
      </c>
      <c r="B262" s="2">
        <v>45854</v>
      </c>
      <c r="C262" t="s">
        <v>33</v>
      </c>
      <c r="D262">
        <v>326</v>
      </c>
      <c r="E262">
        <v>320</v>
      </c>
      <c r="F262">
        <v>2</v>
      </c>
      <c r="G262" t="s">
        <v>1067</v>
      </c>
      <c r="H262" t="s">
        <v>1070</v>
      </c>
    </row>
    <row r="263" spans="1:8">
      <c r="A263" t="s">
        <v>1331</v>
      </c>
      <c r="B263" s="2">
        <v>45855</v>
      </c>
      <c r="C263" t="s">
        <v>48</v>
      </c>
      <c r="D263">
        <v>245</v>
      </c>
      <c r="E263">
        <v>230</v>
      </c>
      <c r="F263">
        <v>7</v>
      </c>
      <c r="G263" t="s">
        <v>1067</v>
      </c>
      <c r="H263" t="s">
        <v>1075</v>
      </c>
    </row>
    <row r="264" spans="1:8">
      <c r="A264" t="s">
        <v>1332</v>
      </c>
      <c r="B264" s="2">
        <v>45855</v>
      </c>
      <c r="C264" t="s">
        <v>52</v>
      </c>
      <c r="D264">
        <v>183</v>
      </c>
      <c r="E264">
        <v>178</v>
      </c>
      <c r="F264">
        <v>1</v>
      </c>
      <c r="G264" t="s">
        <v>1073</v>
      </c>
      <c r="H264" t="s">
        <v>1075</v>
      </c>
    </row>
    <row r="265" spans="1:8">
      <c r="A265" t="s">
        <v>1333</v>
      </c>
      <c r="B265" s="2">
        <v>45855</v>
      </c>
      <c r="C265" t="s">
        <v>13</v>
      </c>
      <c r="D265">
        <v>170</v>
      </c>
      <c r="E265">
        <v>158</v>
      </c>
      <c r="F265">
        <v>5</v>
      </c>
      <c r="G265" t="s">
        <v>1073</v>
      </c>
      <c r="H265" t="s">
        <v>1070</v>
      </c>
    </row>
    <row r="266" spans="1:8">
      <c r="A266" t="s">
        <v>1334</v>
      </c>
      <c r="B266" s="2">
        <v>45856</v>
      </c>
      <c r="C266" t="s">
        <v>37</v>
      </c>
      <c r="D266">
        <v>275</v>
      </c>
      <c r="E266">
        <v>264</v>
      </c>
      <c r="F266">
        <v>7</v>
      </c>
      <c r="G266" t="s">
        <v>1064</v>
      </c>
      <c r="H266" t="s">
        <v>1070</v>
      </c>
    </row>
    <row r="267" spans="1:8">
      <c r="A267" t="s">
        <v>1335</v>
      </c>
      <c r="B267" s="2">
        <v>45857</v>
      </c>
      <c r="C267" t="s">
        <v>37</v>
      </c>
      <c r="D267">
        <v>429</v>
      </c>
      <c r="E267">
        <v>406</v>
      </c>
      <c r="F267">
        <v>12</v>
      </c>
      <c r="G267" t="s">
        <v>1067</v>
      </c>
      <c r="H267" t="s">
        <v>1070</v>
      </c>
    </row>
    <row r="268" spans="1:8">
      <c r="A268" t="s">
        <v>1336</v>
      </c>
      <c r="B268" s="2">
        <v>45857</v>
      </c>
      <c r="C268" t="s">
        <v>8</v>
      </c>
      <c r="D268">
        <v>342</v>
      </c>
      <c r="E268">
        <v>325</v>
      </c>
      <c r="F268">
        <v>6</v>
      </c>
      <c r="G268" t="s">
        <v>1064</v>
      </c>
      <c r="H268" t="s">
        <v>1070</v>
      </c>
    </row>
    <row r="269" spans="1:8">
      <c r="A269" t="s">
        <v>1337</v>
      </c>
      <c r="B269" s="2">
        <v>45858</v>
      </c>
      <c r="C269" t="s">
        <v>29</v>
      </c>
      <c r="D269">
        <v>356</v>
      </c>
      <c r="E269">
        <v>331</v>
      </c>
      <c r="F269">
        <v>12</v>
      </c>
      <c r="G269" t="s">
        <v>1064</v>
      </c>
      <c r="H269" t="s">
        <v>1070</v>
      </c>
    </row>
    <row r="270" spans="1:8">
      <c r="A270" t="s">
        <v>1338</v>
      </c>
      <c r="B270" s="2">
        <v>45859</v>
      </c>
      <c r="C270" t="s">
        <v>48</v>
      </c>
      <c r="D270">
        <v>311</v>
      </c>
      <c r="E270">
        <v>303</v>
      </c>
      <c r="F270">
        <v>7</v>
      </c>
      <c r="G270" t="s">
        <v>1064</v>
      </c>
      <c r="H270" t="s">
        <v>1075</v>
      </c>
    </row>
    <row r="271" spans="1:8">
      <c r="A271" t="s">
        <v>1339</v>
      </c>
      <c r="B271" s="2">
        <v>45859</v>
      </c>
      <c r="C271" t="s">
        <v>29</v>
      </c>
      <c r="D271">
        <v>156</v>
      </c>
      <c r="E271">
        <v>150</v>
      </c>
      <c r="F271">
        <v>5</v>
      </c>
      <c r="G271" t="s">
        <v>1067</v>
      </c>
      <c r="H271" t="s">
        <v>1070</v>
      </c>
    </row>
    <row r="272" spans="1:8">
      <c r="A272" t="s">
        <v>1340</v>
      </c>
      <c r="B272" s="2">
        <v>45859</v>
      </c>
      <c r="C272" t="s">
        <v>13</v>
      </c>
      <c r="D272">
        <v>133</v>
      </c>
      <c r="E272">
        <v>126</v>
      </c>
      <c r="F272">
        <v>3</v>
      </c>
      <c r="G272" t="s">
        <v>1073</v>
      </c>
      <c r="H272" t="s">
        <v>1070</v>
      </c>
    </row>
    <row r="273" spans="1:8">
      <c r="A273" t="s">
        <v>1341</v>
      </c>
      <c r="B273" s="2">
        <v>45860</v>
      </c>
      <c r="C273" t="s">
        <v>8</v>
      </c>
      <c r="D273">
        <v>449</v>
      </c>
      <c r="E273">
        <v>429</v>
      </c>
      <c r="F273">
        <v>11</v>
      </c>
      <c r="G273" t="s">
        <v>1073</v>
      </c>
      <c r="H273" t="s">
        <v>1070</v>
      </c>
    </row>
    <row r="274" spans="1:8">
      <c r="A274" t="s">
        <v>1342</v>
      </c>
      <c r="B274" s="2">
        <v>45861</v>
      </c>
      <c r="C274" t="s">
        <v>13</v>
      </c>
      <c r="D274">
        <v>221</v>
      </c>
      <c r="E274">
        <v>214</v>
      </c>
      <c r="F274">
        <v>2</v>
      </c>
      <c r="G274" t="s">
        <v>1067</v>
      </c>
      <c r="H274" t="s">
        <v>1070</v>
      </c>
    </row>
    <row r="275" spans="1:8">
      <c r="A275" t="s">
        <v>1343</v>
      </c>
      <c r="B275" s="2">
        <v>45862</v>
      </c>
      <c r="C275" t="s">
        <v>48</v>
      </c>
      <c r="D275">
        <v>425</v>
      </c>
      <c r="E275">
        <v>399</v>
      </c>
      <c r="F275">
        <v>7</v>
      </c>
      <c r="G275" t="s">
        <v>1073</v>
      </c>
      <c r="H275" t="s">
        <v>1075</v>
      </c>
    </row>
    <row r="276" spans="1:8">
      <c r="A276" t="s">
        <v>1344</v>
      </c>
      <c r="B276" s="2">
        <v>45864</v>
      </c>
      <c r="C276" t="s">
        <v>45</v>
      </c>
      <c r="D276">
        <v>104</v>
      </c>
      <c r="E276">
        <v>99</v>
      </c>
      <c r="F276">
        <v>3</v>
      </c>
      <c r="G276" t="s">
        <v>1073</v>
      </c>
      <c r="H276" t="s">
        <v>1083</v>
      </c>
    </row>
    <row r="277" spans="1:8">
      <c r="A277" t="s">
        <v>1345</v>
      </c>
      <c r="B277" s="2">
        <v>45864</v>
      </c>
      <c r="C277" t="s">
        <v>8</v>
      </c>
      <c r="D277">
        <v>425</v>
      </c>
      <c r="E277">
        <v>410</v>
      </c>
      <c r="F277">
        <v>2</v>
      </c>
      <c r="G277" t="s">
        <v>1073</v>
      </c>
      <c r="H277" t="s">
        <v>1070</v>
      </c>
    </row>
    <row r="278" spans="1:8">
      <c r="A278" t="s">
        <v>1346</v>
      </c>
      <c r="B278" s="2">
        <v>45865</v>
      </c>
      <c r="C278" t="s">
        <v>52</v>
      </c>
      <c r="D278">
        <v>150</v>
      </c>
      <c r="E278">
        <v>143</v>
      </c>
      <c r="F278">
        <v>2</v>
      </c>
      <c r="G278" t="s">
        <v>1064</v>
      </c>
      <c r="H278" t="s">
        <v>1075</v>
      </c>
    </row>
    <row r="279" spans="1:8">
      <c r="A279" t="s">
        <v>1347</v>
      </c>
      <c r="B279" s="2">
        <v>45865</v>
      </c>
      <c r="C279" t="s">
        <v>17</v>
      </c>
      <c r="D279">
        <v>296</v>
      </c>
      <c r="E279">
        <v>280</v>
      </c>
      <c r="F279">
        <v>4</v>
      </c>
      <c r="G279" t="s">
        <v>1073</v>
      </c>
      <c r="H279" t="s">
        <v>1065</v>
      </c>
    </row>
    <row r="280" spans="1:8">
      <c r="A280" t="s">
        <v>1348</v>
      </c>
      <c r="B280" s="2">
        <v>45865</v>
      </c>
      <c r="C280" t="s">
        <v>52</v>
      </c>
      <c r="D280">
        <v>364</v>
      </c>
      <c r="E280">
        <v>356</v>
      </c>
      <c r="F280">
        <v>5</v>
      </c>
      <c r="G280" t="s">
        <v>1064</v>
      </c>
      <c r="H280" t="s">
        <v>1075</v>
      </c>
    </row>
    <row r="281" spans="1:8">
      <c r="A281" t="s">
        <v>1349</v>
      </c>
      <c r="B281" s="2">
        <v>45866</v>
      </c>
      <c r="C281" t="s">
        <v>13</v>
      </c>
      <c r="D281">
        <v>415</v>
      </c>
      <c r="E281">
        <v>389</v>
      </c>
      <c r="F281">
        <v>13</v>
      </c>
      <c r="G281" t="s">
        <v>1067</v>
      </c>
      <c r="H281" t="s">
        <v>1070</v>
      </c>
    </row>
    <row r="282" spans="1:8">
      <c r="A282" t="s">
        <v>1350</v>
      </c>
      <c r="B282" s="2">
        <v>45866</v>
      </c>
      <c r="C282" t="s">
        <v>33</v>
      </c>
      <c r="D282">
        <v>427</v>
      </c>
      <c r="E282">
        <v>407</v>
      </c>
      <c r="F282">
        <v>10</v>
      </c>
      <c r="G282" t="s">
        <v>1073</v>
      </c>
      <c r="H282" t="s">
        <v>1070</v>
      </c>
    </row>
    <row r="283" spans="1:8">
      <c r="A283" t="s">
        <v>1351</v>
      </c>
      <c r="B283" s="2">
        <v>45867</v>
      </c>
      <c r="C283" t="s">
        <v>29</v>
      </c>
      <c r="D283">
        <v>205</v>
      </c>
      <c r="E283">
        <v>186</v>
      </c>
      <c r="F283">
        <v>7</v>
      </c>
      <c r="G283" t="s">
        <v>1064</v>
      </c>
      <c r="H283" t="s">
        <v>1070</v>
      </c>
    </row>
    <row r="284" spans="1:8">
      <c r="A284" t="s">
        <v>1352</v>
      </c>
      <c r="B284" s="2">
        <v>45867</v>
      </c>
      <c r="C284" t="s">
        <v>13</v>
      </c>
      <c r="D284">
        <v>351</v>
      </c>
      <c r="E284">
        <v>347</v>
      </c>
      <c r="F284">
        <v>1</v>
      </c>
      <c r="G284" t="s">
        <v>1064</v>
      </c>
      <c r="H284" t="s">
        <v>1070</v>
      </c>
    </row>
    <row r="285" spans="1:8">
      <c r="A285" t="s">
        <v>1353</v>
      </c>
      <c r="B285" s="2">
        <v>45868</v>
      </c>
      <c r="C285" t="s">
        <v>45</v>
      </c>
      <c r="D285">
        <v>339</v>
      </c>
      <c r="E285">
        <v>337</v>
      </c>
      <c r="F285">
        <v>1</v>
      </c>
      <c r="G285" t="s">
        <v>1073</v>
      </c>
      <c r="H285" t="s">
        <v>1083</v>
      </c>
    </row>
    <row r="286" spans="1:8">
      <c r="A286" t="s">
        <v>1354</v>
      </c>
      <c r="B286" s="2">
        <v>45869</v>
      </c>
      <c r="C286" t="s">
        <v>45</v>
      </c>
      <c r="D286">
        <v>284</v>
      </c>
      <c r="E286">
        <v>267</v>
      </c>
      <c r="F286">
        <v>6</v>
      </c>
      <c r="G286" t="s">
        <v>1073</v>
      </c>
      <c r="H286" t="s">
        <v>1083</v>
      </c>
    </row>
    <row r="287" spans="1:8">
      <c r="A287" t="s">
        <v>1355</v>
      </c>
      <c r="B287" s="2">
        <v>45870</v>
      </c>
      <c r="C287" t="s">
        <v>37</v>
      </c>
      <c r="D287">
        <v>182</v>
      </c>
      <c r="E287">
        <v>174</v>
      </c>
      <c r="F287">
        <v>1</v>
      </c>
      <c r="G287" t="s">
        <v>1073</v>
      </c>
      <c r="H287" t="s">
        <v>1070</v>
      </c>
    </row>
    <row r="288" spans="1:8">
      <c r="A288" t="s">
        <v>1356</v>
      </c>
      <c r="B288" s="2">
        <v>45870</v>
      </c>
      <c r="C288" t="s">
        <v>45</v>
      </c>
      <c r="D288">
        <v>164</v>
      </c>
      <c r="E288">
        <v>160</v>
      </c>
      <c r="F288">
        <v>2</v>
      </c>
      <c r="G288" t="s">
        <v>1073</v>
      </c>
      <c r="H288" t="s">
        <v>1083</v>
      </c>
    </row>
    <row r="289" spans="1:8">
      <c r="A289" t="s">
        <v>1357</v>
      </c>
      <c r="B289" s="2">
        <v>45870</v>
      </c>
      <c r="C289" t="s">
        <v>8</v>
      </c>
      <c r="D289">
        <v>137</v>
      </c>
      <c r="E289">
        <v>128</v>
      </c>
      <c r="F289">
        <v>4</v>
      </c>
      <c r="G289" t="s">
        <v>1073</v>
      </c>
      <c r="H289" t="s">
        <v>1070</v>
      </c>
    </row>
    <row r="290" spans="1:8">
      <c r="A290" t="s">
        <v>1358</v>
      </c>
      <c r="B290" s="2">
        <v>45871</v>
      </c>
      <c r="C290" t="s">
        <v>52</v>
      </c>
      <c r="D290">
        <v>346</v>
      </c>
      <c r="E290">
        <v>332</v>
      </c>
      <c r="F290">
        <v>3</v>
      </c>
      <c r="G290" t="s">
        <v>1073</v>
      </c>
      <c r="H290" t="s">
        <v>1075</v>
      </c>
    </row>
    <row r="291" spans="1:8">
      <c r="A291" t="s">
        <v>1359</v>
      </c>
      <c r="B291" s="2">
        <v>45871</v>
      </c>
      <c r="C291" t="s">
        <v>13</v>
      </c>
      <c r="D291">
        <v>485</v>
      </c>
      <c r="E291">
        <v>456</v>
      </c>
      <c r="F291">
        <v>13</v>
      </c>
      <c r="G291" t="s">
        <v>1067</v>
      </c>
      <c r="H291" t="s">
        <v>1070</v>
      </c>
    </row>
    <row r="292" spans="1:8">
      <c r="A292" t="s">
        <v>1360</v>
      </c>
      <c r="B292" s="2">
        <v>45871</v>
      </c>
      <c r="C292" t="s">
        <v>45</v>
      </c>
      <c r="D292">
        <v>470</v>
      </c>
      <c r="E292">
        <v>460</v>
      </c>
      <c r="F292">
        <v>3</v>
      </c>
      <c r="G292" t="s">
        <v>1064</v>
      </c>
      <c r="H292" t="s">
        <v>1083</v>
      </c>
    </row>
    <row r="293" spans="1:8">
      <c r="A293" t="s">
        <v>1361</v>
      </c>
      <c r="B293" s="2">
        <v>45871</v>
      </c>
      <c r="C293" t="s">
        <v>29</v>
      </c>
      <c r="D293">
        <v>401</v>
      </c>
      <c r="E293">
        <v>382</v>
      </c>
      <c r="F293">
        <v>3</v>
      </c>
      <c r="G293" t="s">
        <v>1073</v>
      </c>
      <c r="H293" t="s">
        <v>1070</v>
      </c>
    </row>
    <row r="294" spans="1:8">
      <c r="A294" t="s">
        <v>1362</v>
      </c>
      <c r="B294" s="2">
        <v>45872</v>
      </c>
      <c r="C294" t="s">
        <v>48</v>
      </c>
      <c r="D294">
        <v>252</v>
      </c>
      <c r="E294">
        <v>240</v>
      </c>
      <c r="F294">
        <v>8</v>
      </c>
      <c r="G294" t="s">
        <v>1073</v>
      </c>
      <c r="H294" t="s">
        <v>1075</v>
      </c>
    </row>
    <row r="295" spans="1:8">
      <c r="A295" t="s">
        <v>1363</v>
      </c>
      <c r="B295" s="2">
        <v>45874</v>
      </c>
      <c r="C295" t="s">
        <v>21</v>
      </c>
      <c r="D295">
        <v>214</v>
      </c>
      <c r="E295">
        <v>203</v>
      </c>
      <c r="F295">
        <v>4</v>
      </c>
      <c r="G295" t="s">
        <v>1073</v>
      </c>
      <c r="H295" t="s">
        <v>1070</v>
      </c>
    </row>
    <row r="296" spans="1:8">
      <c r="A296" t="s">
        <v>1364</v>
      </c>
      <c r="B296" s="2">
        <v>45876</v>
      </c>
      <c r="C296" t="s">
        <v>21</v>
      </c>
      <c r="D296">
        <v>193</v>
      </c>
      <c r="E296">
        <v>182</v>
      </c>
      <c r="F296">
        <v>5</v>
      </c>
      <c r="G296" t="s">
        <v>1064</v>
      </c>
      <c r="H296" t="s">
        <v>1070</v>
      </c>
    </row>
    <row r="297" spans="1:8">
      <c r="A297" t="s">
        <v>1365</v>
      </c>
      <c r="B297" s="2">
        <v>45876</v>
      </c>
      <c r="C297" t="s">
        <v>33</v>
      </c>
      <c r="D297">
        <v>327</v>
      </c>
      <c r="E297">
        <v>316</v>
      </c>
      <c r="F297">
        <v>5</v>
      </c>
      <c r="G297" t="s">
        <v>1073</v>
      </c>
      <c r="H297" t="s">
        <v>1070</v>
      </c>
    </row>
    <row r="298" spans="1:8">
      <c r="A298" t="s">
        <v>1366</v>
      </c>
      <c r="B298" s="2">
        <v>45877</v>
      </c>
      <c r="C298" t="s">
        <v>29</v>
      </c>
      <c r="D298">
        <v>329</v>
      </c>
      <c r="E298">
        <v>318</v>
      </c>
      <c r="F298">
        <v>3</v>
      </c>
      <c r="G298" t="s">
        <v>1067</v>
      </c>
      <c r="H298" t="s">
        <v>1070</v>
      </c>
    </row>
    <row r="299" spans="1:8">
      <c r="A299" t="s">
        <v>1367</v>
      </c>
      <c r="B299" s="2">
        <v>45877</v>
      </c>
      <c r="C299" t="s">
        <v>33</v>
      </c>
      <c r="D299">
        <v>466</v>
      </c>
      <c r="E299">
        <v>447</v>
      </c>
      <c r="F299">
        <v>15</v>
      </c>
      <c r="G299" t="s">
        <v>1073</v>
      </c>
      <c r="H299" t="s">
        <v>1070</v>
      </c>
    </row>
    <row r="300" spans="1:8">
      <c r="A300" t="s">
        <v>1368</v>
      </c>
      <c r="B300" s="2">
        <v>45877</v>
      </c>
      <c r="C300" t="s">
        <v>45</v>
      </c>
      <c r="D300">
        <v>327</v>
      </c>
      <c r="E300">
        <v>309</v>
      </c>
      <c r="F300">
        <v>1</v>
      </c>
      <c r="G300" t="s">
        <v>1073</v>
      </c>
      <c r="H300" t="s">
        <v>1083</v>
      </c>
    </row>
    <row r="301" spans="1:8">
      <c r="A301" t="s">
        <v>1369</v>
      </c>
      <c r="B301" s="2">
        <v>45877</v>
      </c>
      <c r="C301" t="s">
        <v>29</v>
      </c>
      <c r="D301">
        <v>84</v>
      </c>
      <c r="E301">
        <v>81</v>
      </c>
      <c r="F301">
        <v>2</v>
      </c>
      <c r="G301" t="s">
        <v>1064</v>
      </c>
      <c r="H301" t="s">
        <v>1070</v>
      </c>
    </row>
    <row r="302" spans="1:8">
      <c r="A302" t="s">
        <v>1370</v>
      </c>
      <c r="B302" s="2">
        <v>45877</v>
      </c>
      <c r="C302" t="s">
        <v>8</v>
      </c>
      <c r="D302">
        <v>256</v>
      </c>
      <c r="E302">
        <v>238</v>
      </c>
      <c r="F302">
        <v>6</v>
      </c>
      <c r="G302" t="s">
        <v>1073</v>
      </c>
      <c r="H302" t="s">
        <v>1070</v>
      </c>
    </row>
    <row r="303" spans="1:8">
      <c r="A303" t="s">
        <v>1371</v>
      </c>
      <c r="B303" s="2">
        <v>45877</v>
      </c>
      <c r="C303" t="s">
        <v>17</v>
      </c>
      <c r="D303">
        <v>196</v>
      </c>
      <c r="E303">
        <v>186</v>
      </c>
      <c r="F303">
        <v>1</v>
      </c>
      <c r="G303" t="s">
        <v>1064</v>
      </c>
      <c r="H303" t="s">
        <v>1065</v>
      </c>
    </row>
    <row r="304" spans="1:8">
      <c r="A304" t="s">
        <v>1372</v>
      </c>
      <c r="B304" s="2">
        <v>45878</v>
      </c>
      <c r="C304" t="s">
        <v>45</v>
      </c>
      <c r="D304">
        <v>128</v>
      </c>
      <c r="E304">
        <v>123</v>
      </c>
      <c r="F304">
        <v>1</v>
      </c>
      <c r="G304" t="s">
        <v>1064</v>
      </c>
      <c r="H304" t="s">
        <v>1083</v>
      </c>
    </row>
    <row r="305" spans="1:8">
      <c r="A305" t="s">
        <v>1373</v>
      </c>
      <c r="B305" s="2">
        <v>45879</v>
      </c>
      <c r="C305" t="s">
        <v>29</v>
      </c>
      <c r="D305">
        <v>90</v>
      </c>
      <c r="E305">
        <v>86</v>
      </c>
      <c r="F305">
        <v>3</v>
      </c>
      <c r="G305" t="s">
        <v>1064</v>
      </c>
      <c r="H305" t="s">
        <v>1070</v>
      </c>
    </row>
    <row r="306" spans="1:8">
      <c r="A306" t="s">
        <v>1374</v>
      </c>
      <c r="B306" s="2">
        <v>45880</v>
      </c>
      <c r="C306" t="s">
        <v>29</v>
      </c>
      <c r="D306">
        <v>89</v>
      </c>
      <c r="E306">
        <v>86</v>
      </c>
      <c r="F306">
        <v>1</v>
      </c>
      <c r="G306" t="s">
        <v>1073</v>
      </c>
      <c r="H306" t="s">
        <v>1070</v>
      </c>
    </row>
    <row r="307" spans="1:8">
      <c r="A307" t="s">
        <v>1375</v>
      </c>
      <c r="B307" s="2">
        <v>45880</v>
      </c>
      <c r="C307" t="s">
        <v>41</v>
      </c>
      <c r="D307">
        <v>430</v>
      </c>
      <c r="E307">
        <v>423</v>
      </c>
      <c r="F307">
        <v>3</v>
      </c>
      <c r="G307" t="s">
        <v>1067</v>
      </c>
      <c r="H307" t="s">
        <v>1083</v>
      </c>
    </row>
    <row r="308" spans="1:8">
      <c r="A308" t="s">
        <v>1376</v>
      </c>
      <c r="B308" s="2">
        <v>45881</v>
      </c>
      <c r="C308" t="s">
        <v>17</v>
      </c>
      <c r="D308">
        <v>442</v>
      </c>
      <c r="E308">
        <v>418</v>
      </c>
      <c r="F308">
        <v>13</v>
      </c>
      <c r="G308" t="s">
        <v>1064</v>
      </c>
      <c r="H308" t="s">
        <v>1065</v>
      </c>
    </row>
    <row r="309" spans="1:8">
      <c r="A309" t="s">
        <v>1377</v>
      </c>
      <c r="B309" s="2">
        <v>45881</v>
      </c>
      <c r="C309" t="s">
        <v>17</v>
      </c>
      <c r="D309">
        <v>262</v>
      </c>
      <c r="E309">
        <v>255</v>
      </c>
      <c r="F309">
        <v>2</v>
      </c>
      <c r="G309" t="s">
        <v>1073</v>
      </c>
      <c r="H309" t="s">
        <v>1065</v>
      </c>
    </row>
    <row r="310" spans="1:8">
      <c r="A310" t="s">
        <v>1378</v>
      </c>
      <c r="B310" s="2">
        <v>45882</v>
      </c>
      <c r="C310" t="s">
        <v>25</v>
      </c>
      <c r="D310">
        <v>137</v>
      </c>
      <c r="E310">
        <v>131</v>
      </c>
      <c r="F310">
        <v>1</v>
      </c>
      <c r="G310" t="s">
        <v>1073</v>
      </c>
      <c r="H310" t="s">
        <v>1065</v>
      </c>
    </row>
    <row r="311" spans="1:8">
      <c r="A311" t="s">
        <v>1379</v>
      </c>
      <c r="B311" s="2">
        <v>45883</v>
      </c>
      <c r="C311" t="s">
        <v>29</v>
      </c>
      <c r="D311">
        <v>160</v>
      </c>
      <c r="E311">
        <v>150</v>
      </c>
      <c r="F311">
        <v>1</v>
      </c>
      <c r="G311" t="s">
        <v>1073</v>
      </c>
      <c r="H311" t="s">
        <v>1070</v>
      </c>
    </row>
    <row r="312" spans="1:8">
      <c r="A312" t="s">
        <v>1380</v>
      </c>
      <c r="B312" s="2">
        <v>45883</v>
      </c>
      <c r="C312" t="s">
        <v>13</v>
      </c>
      <c r="D312">
        <v>273</v>
      </c>
      <c r="E312">
        <v>254</v>
      </c>
      <c r="F312">
        <v>8</v>
      </c>
      <c r="G312" t="s">
        <v>1064</v>
      </c>
      <c r="H312" t="s">
        <v>1070</v>
      </c>
    </row>
    <row r="313" spans="1:8">
      <c r="A313" t="s">
        <v>1381</v>
      </c>
      <c r="B313" s="2">
        <v>45884</v>
      </c>
      <c r="C313" t="s">
        <v>17</v>
      </c>
      <c r="D313">
        <v>245</v>
      </c>
      <c r="E313">
        <v>231</v>
      </c>
      <c r="F313">
        <v>4</v>
      </c>
      <c r="G313" t="s">
        <v>1064</v>
      </c>
      <c r="H313" t="s">
        <v>1065</v>
      </c>
    </row>
    <row r="314" spans="1:8">
      <c r="A314" t="s">
        <v>1382</v>
      </c>
      <c r="B314" s="2">
        <v>45884</v>
      </c>
      <c r="C314" t="s">
        <v>21</v>
      </c>
      <c r="D314">
        <v>150</v>
      </c>
      <c r="E314">
        <v>146</v>
      </c>
      <c r="F314">
        <v>1</v>
      </c>
      <c r="G314" t="s">
        <v>1064</v>
      </c>
      <c r="H314" t="s">
        <v>1070</v>
      </c>
    </row>
    <row r="315" spans="1:8">
      <c r="A315" t="s">
        <v>1383</v>
      </c>
      <c r="B315" s="2">
        <v>45885</v>
      </c>
      <c r="C315" t="s">
        <v>17</v>
      </c>
      <c r="D315">
        <v>101</v>
      </c>
      <c r="E315">
        <v>99</v>
      </c>
      <c r="F315">
        <v>0</v>
      </c>
      <c r="G315" t="s">
        <v>1064</v>
      </c>
      <c r="H315" t="s">
        <v>1065</v>
      </c>
    </row>
    <row r="316" spans="1:8">
      <c r="A316" t="s">
        <v>1384</v>
      </c>
      <c r="B316" s="2">
        <v>45885</v>
      </c>
      <c r="C316" t="s">
        <v>48</v>
      </c>
      <c r="D316">
        <v>396</v>
      </c>
      <c r="E316">
        <v>378</v>
      </c>
      <c r="F316">
        <v>8</v>
      </c>
      <c r="G316" t="s">
        <v>1073</v>
      </c>
      <c r="H316" t="s">
        <v>1075</v>
      </c>
    </row>
    <row r="317" spans="1:8">
      <c r="A317" t="s">
        <v>1385</v>
      </c>
      <c r="B317" s="2">
        <v>45886</v>
      </c>
      <c r="C317" t="s">
        <v>33</v>
      </c>
      <c r="D317">
        <v>438</v>
      </c>
      <c r="E317">
        <v>426</v>
      </c>
      <c r="F317">
        <v>3</v>
      </c>
      <c r="G317" t="s">
        <v>1073</v>
      </c>
      <c r="H317" t="s">
        <v>1070</v>
      </c>
    </row>
    <row r="318" spans="1:8">
      <c r="A318" t="s">
        <v>1386</v>
      </c>
      <c r="B318" s="2">
        <v>45886</v>
      </c>
      <c r="C318" t="s">
        <v>52</v>
      </c>
      <c r="D318">
        <v>497</v>
      </c>
      <c r="E318">
        <v>489</v>
      </c>
      <c r="F318">
        <v>2</v>
      </c>
      <c r="G318" t="s">
        <v>1067</v>
      </c>
      <c r="H318" t="s">
        <v>1075</v>
      </c>
    </row>
    <row r="319" spans="1:8">
      <c r="A319" t="s">
        <v>1387</v>
      </c>
      <c r="B319" s="2">
        <v>45886</v>
      </c>
      <c r="C319" t="s">
        <v>13</v>
      </c>
      <c r="D319">
        <v>186</v>
      </c>
      <c r="E319">
        <v>183</v>
      </c>
      <c r="F319">
        <v>3</v>
      </c>
      <c r="G319" t="s">
        <v>1064</v>
      </c>
      <c r="H319" t="s">
        <v>1070</v>
      </c>
    </row>
    <row r="320" spans="1:8">
      <c r="A320" t="s">
        <v>1388</v>
      </c>
      <c r="B320" s="2">
        <v>45887</v>
      </c>
      <c r="C320" t="s">
        <v>25</v>
      </c>
      <c r="D320">
        <v>435</v>
      </c>
      <c r="E320">
        <v>415</v>
      </c>
      <c r="F320">
        <v>11</v>
      </c>
      <c r="G320" t="s">
        <v>1073</v>
      </c>
      <c r="H320" t="s">
        <v>1065</v>
      </c>
    </row>
    <row r="321" spans="1:8">
      <c r="A321" t="s">
        <v>1389</v>
      </c>
      <c r="B321" s="2">
        <v>45887</v>
      </c>
      <c r="C321" t="s">
        <v>13</v>
      </c>
      <c r="D321">
        <v>141</v>
      </c>
      <c r="E321">
        <v>136</v>
      </c>
      <c r="F321">
        <v>2</v>
      </c>
      <c r="G321" t="s">
        <v>1073</v>
      </c>
      <c r="H321" t="s">
        <v>1070</v>
      </c>
    </row>
    <row r="322" spans="1:8">
      <c r="A322" t="s">
        <v>1390</v>
      </c>
      <c r="B322" s="2">
        <v>45888</v>
      </c>
      <c r="C322" t="s">
        <v>25</v>
      </c>
      <c r="D322">
        <v>330</v>
      </c>
      <c r="E322">
        <v>318</v>
      </c>
      <c r="F322">
        <v>4</v>
      </c>
      <c r="G322" t="s">
        <v>1064</v>
      </c>
      <c r="H322" t="s">
        <v>1065</v>
      </c>
    </row>
    <row r="323" spans="1:8">
      <c r="A323" t="s">
        <v>1391</v>
      </c>
      <c r="B323" s="2">
        <v>45889</v>
      </c>
      <c r="C323" t="s">
        <v>41</v>
      </c>
      <c r="D323">
        <v>379</v>
      </c>
      <c r="E323">
        <v>372</v>
      </c>
      <c r="F323">
        <v>6</v>
      </c>
      <c r="G323" t="s">
        <v>1067</v>
      </c>
      <c r="H323" t="s">
        <v>1083</v>
      </c>
    </row>
    <row r="324" spans="1:8">
      <c r="A324" t="s">
        <v>1392</v>
      </c>
      <c r="B324" s="2">
        <v>45890</v>
      </c>
      <c r="C324" t="s">
        <v>21</v>
      </c>
      <c r="D324">
        <v>455</v>
      </c>
      <c r="E324">
        <v>431</v>
      </c>
      <c r="F324">
        <v>3</v>
      </c>
      <c r="G324" t="s">
        <v>1064</v>
      </c>
      <c r="H324" t="s">
        <v>1070</v>
      </c>
    </row>
    <row r="325" spans="1:8">
      <c r="A325" t="s">
        <v>1393</v>
      </c>
      <c r="B325" s="2">
        <v>45891</v>
      </c>
      <c r="C325" t="s">
        <v>37</v>
      </c>
      <c r="D325">
        <v>411</v>
      </c>
      <c r="E325">
        <v>382</v>
      </c>
      <c r="F325">
        <v>7</v>
      </c>
      <c r="G325" t="s">
        <v>1064</v>
      </c>
      <c r="H325" t="s">
        <v>1070</v>
      </c>
    </row>
    <row r="326" spans="1:8">
      <c r="A326" t="s">
        <v>1394</v>
      </c>
      <c r="B326" s="2">
        <v>45893</v>
      </c>
      <c r="C326" t="s">
        <v>29</v>
      </c>
      <c r="D326">
        <v>127</v>
      </c>
      <c r="E326">
        <v>127</v>
      </c>
      <c r="F326">
        <v>0</v>
      </c>
      <c r="G326" t="s">
        <v>1064</v>
      </c>
      <c r="H326" t="s">
        <v>1070</v>
      </c>
    </row>
    <row r="327" spans="1:8">
      <c r="A327" t="s">
        <v>1395</v>
      </c>
      <c r="B327" s="2">
        <v>45893</v>
      </c>
      <c r="C327" t="s">
        <v>52</v>
      </c>
      <c r="D327">
        <v>195</v>
      </c>
      <c r="E327">
        <v>192</v>
      </c>
      <c r="F327">
        <v>2</v>
      </c>
      <c r="G327" t="s">
        <v>1067</v>
      </c>
      <c r="H327" t="s">
        <v>1075</v>
      </c>
    </row>
    <row r="328" spans="1:8">
      <c r="A328" t="s">
        <v>1396</v>
      </c>
      <c r="B328" s="2">
        <v>45895</v>
      </c>
      <c r="C328" t="s">
        <v>37</v>
      </c>
      <c r="D328">
        <v>349</v>
      </c>
      <c r="E328">
        <v>337</v>
      </c>
      <c r="F328">
        <v>7</v>
      </c>
      <c r="G328" t="s">
        <v>1067</v>
      </c>
      <c r="H328" t="s">
        <v>1070</v>
      </c>
    </row>
    <row r="329" spans="1:8">
      <c r="A329" t="s">
        <v>1397</v>
      </c>
      <c r="B329" s="2">
        <v>45895</v>
      </c>
      <c r="C329" t="s">
        <v>21</v>
      </c>
      <c r="D329">
        <v>261</v>
      </c>
      <c r="E329">
        <v>246</v>
      </c>
      <c r="F329">
        <v>3</v>
      </c>
      <c r="G329" t="s">
        <v>1064</v>
      </c>
      <c r="H329" t="s">
        <v>1070</v>
      </c>
    </row>
    <row r="330" spans="1:8">
      <c r="A330" t="s">
        <v>1398</v>
      </c>
      <c r="B330" s="2">
        <v>45895</v>
      </c>
      <c r="C330" t="s">
        <v>21</v>
      </c>
      <c r="D330">
        <v>338</v>
      </c>
      <c r="E330">
        <v>324</v>
      </c>
      <c r="F330">
        <v>11</v>
      </c>
      <c r="G330" t="s">
        <v>1064</v>
      </c>
      <c r="H330" t="s">
        <v>1070</v>
      </c>
    </row>
    <row r="331" spans="1:8">
      <c r="A331" t="s">
        <v>1399</v>
      </c>
      <c r="B331" s="2">
        <v>45895</v>
      </c>
      <c r="C331" t="s">
        <v>25</v>
      </c>
      <c r="D331">
        <v>246</v>
      </c>
      <c r="E331">
        <v>237</v>
      </c>
      <c r="F331">
        <v>8</v>
      </c>
      <c r="G331" t="s">
        <v>1073</v>
      </c>
      <c r="H331" t="s">
        <v>1065</v>
      </c>
    </row>
    <row r="332" spans="1:8">
      <c r="A332" t="s">
        <v>1400</v>
      </c>
      <c r="B332" s="2">
        <v>45896</v>
      </c>
      <c r="C332" t="s">
        <v>33</v>
      </c>
      <c r="D332">
        <v>499</v>
      </c>
      <c r="E332">
        <v>468</v>
      </c>
      <c r="F332">
        <v>6</v>
      </c>
      <c r="G332" t="s">
        <v>1064</v>
      </c>
      <c r="H332" t="s">
        <v>1070</v>
      </c>
    </row>
    <row r="333" spans="1:8">
      <c r="A333" t="s">
        <v>1401</v>
      </c>
      <c r="B333" s="2">
        <v>45896</v>
      </c>
      <c r="C333" t="s">
        <v>29</v>
      </c>
      <c r="D333">
        <v>472</v>
      </c>
      <c r="E333">
        <v>467</v>
      </c>
      <c r="F333">
        <v>5</v>
      </c>
      <c r="G333" t="s">
        <v>1073</v>
      </c>
      <c r="H333" t="s">
        <v>1070</v>
      </c>
    </row>
    <row r="334" spans="1:8">
      <c r="A334" t="s">
        <v>1402</v>
      </c>
      <c r="B334" s="2">
        <v>45897</v>
      </c>
      <c r="C334" t="s">
        <v>29</v>
      </c>
      <c r="D334">
        <v>355</v>
      </c>
      <c r="E334">
        <v>334</v>
      </c>
      <c r="F334">
        <v>2</v>
      </c>
      <c r="G334" t="s">
        <v>1073</v>
      </c>
      <c r="H334" t="s">
        <v>1070</v>
      </c>
    </row>
    <row r="335" spans="1:8">
      <c r="A335" t="s">
        <v>1403</v>
      </c>
      <c r="B335" s="2">
        <v>45898</v>
      </c>
      <c r="C335" t="s">
        <v>8</v>
      </c>
      <c r="D335">
        <v>122</v>
      </c>
      <c r="E335">
        <v>119</v>
      </c>
      <c r="F335">
        <v>1</v>
      </c>
      <c r="G335" t="s">
        <v>1073</v>
      </c>
      <c r="H335" t="s">
        <v>1070</v>
      </c>
    </row>
    <row r="336" spans="1:8">
      <c r="A336" t="s">
        <v>1404</v>
      </c>
      <c r="B336" s="2">
        <v>45899</v>
      </c>
      <c r="C336" t="s">
        <v>25</v>
      </c>
      <c r="D336">
        <v>396</v>
      </c>
      <c r="E336">
        <v>383</v>
      </c>
      <c r="F336">
        <v>13</v>
      </c>
      <c r="G336" t="s">
        <v>1064</v>
      </c>
      <c r="H336" t="s">
        <v>1065</v>
      </c>
    </row>
    <row r="337" spans="1:8">
      <c r="A337" t="s">
        <v>1405</v>
      </c>
      <c r="B337" s="2">
        <v>45899</v>
      </c>
      <c r="C337" t="s">
        <v>8</v>
      </c>
      <c r="D337">
        <v>494</v>
      </c>
      <c r="E337">
        <v>471</v>
      </c>
      <c r="F337">
        <v>15</v>
      </c>
      <c r="G337" t="s">
        <v>1067</v>
      </c>
      <c r="H337" t="s">
        <v>1070</v>
      </c>
    </row>
    <row r="338" spans="1:8">
      <c r="A338" t="s">
        <v>1406</v>
      </c>
      <c r="B338" s="2">
        <v>45901</v>
      </c>
      <c r="C338" t="s">
        <v>29</v>
      </c>
      <c r="D338">
        <v>155</v>
      </c>
      <c r="E338">
        <v>145</v>
      </c>
      <c r="F338">
        <v>1</v>
      </c>
      <c r="G338" t="s">
        <v>1064</v>
      </c>
      <c r="H338" t="s">
        <v>1070</v>
      </c>
    </row>
    <row r="339" spans="1:8">
      <c r="A339" t="s">
        <v>1407</v>
      </c>
      <c r="B339" s="2">
        <v>45901</v>
      </c>
      <c r="C339" t="s">
        <v>41</v>
      </c>
      <c r="D339">
        <v>369</v>
      </c>
      <c r="E339">
        <v>358</v>
      </c>
      <c r="F339">
        <v>3</v>
      </c>
      <c r="G339" t="s">
        <v>1073</v>
      </c>
      <c r="H339" t="s">
        <v>1083</v>
      </c>
    </row>
    <row r="340" spans="1:8">
      <c r="A340" t="s">
        <v>1408</v>
      </c>
      <c r="B340" s="2">
        <v>45903</v>
      </c>
      <c r="C340" t="s">
        <v>52</v>
      </c>
      <c r="D340">
        <v>205</v>
      </c>
      <c r="E340">
        <v>198</v>
      </c>
      <c r="F340">
        <v>6</v>
      </c>
      <c r="G340" t="s">
        <v>1073</v>
      </c>
      <c r="H340" t="s">
        <v>1075</v>
      </c>
    </row>
    <row r="341" spans="1:8">
      <c r="A341" t="s">
        <v>1409</v>
      </c>
      <c r="B341" s="2">
        <v>45903</v>
      </c>
      <c r="C341" t="s">
        <v>52</v>
      </c>
      <c r="D341">
        <v>304</v>
      </c>
      <c r="E341">
        <v>288</v>
      </c>
      <c r="F341">
        <v>9</v>
      </c>
      <c r="G341" t="s">
        <v>1064</v>
      </c>
      <c r="H341" t="s">
        <v>1075</v>
      </c>
    </row>
    <row r="342" spans="1:8">
      <c r="A342" t="s">
        <v>1410</v>
      </c>
      <c r="B342" s="2">
        <v>45904</v>
      </c>
      <c r="C342" t="s">
        <v>48</v>
      </c>
      <c r="D342">
        <v>179</v>
      </c>
      <c r="E342">
        <v>177</v>
      </c>
      <c r="F342">
        <v>2</v>
      </c>
      <c r="G342" t="s">
        <v>1064</v>
      </c>
      <c r="H342" t="s">
        <v>1075</v>
      </c>
    </row>
    <row r="343" spans="1:8">
      <c r="A343" t="s">
        <v>1411</v>
      </c>
      <c r="B343" s="2">
        <v>45904</v>
      </c>
      <c r="C343" t="s">
        <v>52</v>
      </c>
      <c r="D343">
        <v>216</v>
      </c>
      <c r="E343">
        <v>205</v>
      </c>
      <c r="F343">
        <v>4</v>
      </c>
      <c r="G343" t="s">
        <v>1064</v>
      </c>
      <c r="H343" t="s">
        <v>1075</v>
      </c>
    </row>
    <row r="344" spans="1:8">
      <c r="A344" t="s">
        <v>1412</v>
      </c>
      <c r="B344" s="2">
        <v>45906</v>
      </c>
      <c r="C344" t="s">
        <v>33</v>
      </c>
      <c r="D344">
        <v>207</v>
      </c>
      <c r="E344">
        <v>195</v>
      </c>
      <c r="F344">
        <v>5</v>
      </c>
      <c r="G344" t="s">
        <v>1064</v>
      </c>
      <c r="H344" t="s">
        <v>1070</v>
      </c>
    </row>
    <row r="345" spans="1:8">
      <c r="A345" t="s">
        <v>1413</v>
      </c>
      <c r="B345" s="2">
        <v>45906</v>
      </c>
      <c r="C345" t="s">
        <v>33</v>
      </c>
      <c r="D345">
        <v>129</v>
      </c>
      <c r="E345">
        <v>126</v>
      </c>
      <c r="F345">
        <v>2</v>
      </c>
      <c r="G345" t="s">
        <v>1064</v>
      </c>
      <c r="H345" t="s">
        <v>1070</v>
      </c>
    </row>
    <row r="346" spans="1:8">
      <c r="A346" t="s">
        <v>1414</v>
      </c>
      <c r="B346" s="2">
        <v>45906</v>
      </c>
      <c r="C346" t="s">
        <v>17</v>
      </c>
      <c r="D346">
        <v>304</v>
      </c>
      <c r="E346">
        <v>293</v>
      </c>
      <c r="F346">
        <v>9</v>
      </c>
      <c r="G346" t="s">
        <v>1073</v>
      </c>
      <c r="H346" t="s">
        <v>1065</v>
      </c>
    </row>
    <row r="347" spans="1:8">
      <c r="A347" t="s">
        <v>1415</v>
      </c>
      <c r="B347" s="2">
        <v>45907</v>
      </c>
      <c r="C347" t="s">
        <v>21</v>
      </c>
      <c r="D347">
        <v>258</v>
      </c>
      <c r="E347">
        <v>252</v>
      </c>
      <c r="F347">
        <v>6</v>
      </c>
      <c r="G347" t="s">
        <v>1073</v>
      </c>
      <c r="H347" t="s">
        <v>1070</v>
      </c>
    </row>
    <row r="348" spans="1:8">
      <c r="A348" t="s">
        <v>1416</v>
      </c>
      <c r="B348" s="2">
        <v>45911</v>
      </c>
      <c r="C348" t="s">
        <v>45</v>
      </c>
      <c r="D348">
        <v>184</v>
      </c>
      <c r="E348">
        <v>179</v>
      </c>
      <c r="F348">
        <v>4</v>
      </c>
      <c r="G348" t="s">
        <v>1064</v>
      </c>
      <c r="H348" t="s">
        <v>1083</v>
      </c>
    </row>
    <row r="349" spans="1:8">
      <c r="A349" t="s">
        <v>1417</v>
      </c>
      <c r="B349" s="2">
        <v>45912</v>
      </c>
      <c r="C349" t="s">
        <v>52</v>
      </c>
      <c r="D349">
        <v>108</v>
      </c>
      <c r="E349">
        <v>102</v>
      </c>
      <c r="F349">
        <v>1</v>
      </c>
      <c r="G349" t="s">
        <v>1073</v>
      </c>
      <c r="H349" t="s">
        <v>1075</v>
      </c>
    </row>
    <row r="350" spans="1:8">
      <c r="A350" t="s">
        <v>1418</v>
      </c>
      <c r="B350" s="2">
        <v>45912</v>
      </c>
      <c r="C350" t="s">
        <v>45</v>
      </c>
      <c r="D350">
        <v>287</v>
      </c>
      <c r="E350">
        <v>278</v>
      </c>
      <c r="F350">
        <v>4</v>
      </c>
      <c r="G350" t="s">
        <v>1067</v>
      </c>
      <c r="H350" t="s">
        <v>1083</v>
      </c>
    </row>
    <row r="351" spans="1:8">
      <c r="A351" t="s">
        <v>1419</v>
      </c>
      <c r="B351" s="2">
        <v>45912</v>
      </c>
      <c r="C351" t="s">
        <v>13</v>
      </c>
      <c r="D351">
        <v>347</v>
      </c>
      <c r="E351">
        <v>329</v>
      </c>
      <c r="F351">
        <v>3</v>
      </c>
      <c r="G351" t="s">
        <v>1073</v>
      </c>
      <c r="H351" t="s">
        <v>1070</v>
      </c>
    </row>
    <row r="352" spans="1:8">
      <c r="A352" t="s">
        <v>1420</v>
      </c>
      <c r="B352" s="2">
        <v>45912</v>
      </c>
      <c r="C352" t="s">
        <v>48</v>
      </c>
      <c r="D352">
        <v>281</v>
      </c>
      <c r="E352">
        <v>256</v>
      </c>
      <c r="F352">
        <v>8</v>
      </c>
      <c r="G352" t="s">
        <v>1073</v>
      </c>
      <c r="H352" t="s">
        <v>1075</v>
      </c>
    </row>
    <row r="353" spans="1:8">
      <c r="A353" t="s">
        <v>1421</v>
      </c>
      <c r="B353" s="2">
        <v>45914</v>
      </c>
      <c r="C353" t="s">
        <v>25</v>
      </c>
      <c r="D353">
        <v>357</v>
      </c>
      <c r="E353">
        <v>341</v>
      </c>
      <c r="F353">
        <v>8</v>
      </c>
      <c r="G353" t="s">
        <v>1064</v>
      </c>
      <c r="H353" t="s">
        <v>1065</v>
      </c>
    </row>
    <row r="354" spans="1:8">
      <c r="A354" t="s">
        <v>1422</v>
      </c>
      <c r="B354" s="2">
        <v>45915</v>
      </c>
      <c r="C354" t="s">
        <v>21</v>
      </c>
      <c r="D354">
        <v>419</v>
      </c>
      <c r="E354">
        <v>392</v>
      </c>
      <c r="F354">
        <v>3</v>
      </c>
      <c r="G354" t="s">
        <v>1073</v>
      </c>
      <c r="H354" t="s">
        <v>1070</v>
      </c>
    </row>
    <row r="355" spans="1:8">
      <c r="A355" t="s">
        <v>1423</v>
      </c>
      <c r="B355" s="2">
        <v>45915</v>
      </c>
      <c r="C355" t="s">
        <v>52</v>
      </c>
      <c r="D355">
        <v>121</v>
      </c>
      <c r="E355">
        <v>115</v>
      </c>
      <c r="F355">
        <v>2</v>
      </c>
      <c r="G355" t="s">
        <v>1073</v>
      </c>
      <c r="H355" t="s">
        <v>1075</v>
      </c>
    </row>
    <row r="356" spans="1:8">
      <c r="A356" t="s">
        <v>1424</v>
      </c>
      <c r="B356" s="2">
        <v>45916</v>
      </c>
      <c r="C356" t="s">
        <v>41</v>
      </c>
      <c r="D356">
        <v>148</v>
      </c>
      <c r="E356">
        <v>144</v>
      </c>
      <c r="F356">
        <v>1</v>
      </c>
      <c r="G356" t="s">
        <v>1064</v>
      </c>
      <c r="H356" t="s">
        <v>1083</v>
      </c>
    </row>
    <row r="357" spans="1:8">
      <c r="A357" t="s">
        <v>1425</v>
      </c>
      <c r="B357" s="2">
        <v>45916</v>
      </c>
      <c r="C357" t="s">
        <v>33</v>
      </c>
      <c r="D357">
        <v>485</v>
      </c>
      <c r="E357">
        <v>453</v>
      </c>
      <c r="F357">
        <v>12</v>
      </c>
      <c r="G357" t="s">
        <v>1064</v>
      </c>
      <c r="H357" t="s">
        <v>1070</v>
      </c>
    </row>
    <row r="358" spans="1:8">
      <c r="A358" t="s">
        <v>1426</v>
      </c>
      <c r="B358" s="2">
        <v>45918</v>
      </c>
      <c r="C358" t="s">
        <v>48</v>
      </c>
      <c r="D358">
        <v>393</v>
      </c>
      <c r="E358">
        <v>388</v>
      </c>
      <c r="F358">
        <v>1</v>
      </c>
      <c r="G358" t="s">
        <v>1073</v>
      </c>
      <c r="H358" t="s">
        <v>1075</v>
      </c>
    </row>
    <row r="359" spans="1:8">
      <c r="A359" t="s">
        <v>1427</v>
      </c>
      <c r="B359" s="2">
        <v>45918</v>
      </c>
      <c r="C359" t="s">
        <v>25</v>
      </c>
      <c r="D359">
        <v>375</v>
      </c>
      <c r="E359">
        <v>359</v>
      </c>
      <c r="F359">
        <v>12</v>
      </c>
      <c r="G359" t="s">
        <v>1064</v>
      </c>
      <c r="H359" t="s">
        <v>1065</v>
      </c>
    </row>
    <row r="360" spans="1:8">
      <c r="A360" t="s">
        <v>1428</v>
      </c>
      <c r="B360" s="2">
        <v>45918</v>
      </c>
      <c r="C360" t="s">
        <v>17</v>
      </c>
      <c r="D360">
        <v>104</v>
      </c>
      <c r="E360">
        <v>100</v>
      </c>
      <c r="F360">
        <v>0</v>
      </c>
      <c r="G360" t="s">
        <v>1073</v>
      </c>
      <c r="H360" t="s">
        <v>1065</v>
      </c>
    </row>
    <row r="361" spans="1:8">
      <c r="A361" t="s">
        <v>1429</v>
      </c>
      <c r="B361" s="2">
        <v>45919</v>
      </c>
      <c r="C361" t="s">
        <v>21</v>
      </c>
      <c r="D361">
        <v>455</v>
      </c>
      <c r="E361">
        <v>444</v>
      </c>
      <c r="F361">
        <v>7</v>
      </c>
      <c r="G361" t="s">
        <v>1073</v>
      </c>
      <c r="H361" t="s">
        <v>1070</v>
      </c>
    </row>
    <row r="362" spans="1:8">
      <c r="A362" t="s">
        <v>1430</v>
      </c>
      <c r="B362" s="2">
        <v>45919</v>
      </c>
      <c r="C362" t="s">
        <v>13</v>
      </c>
      <c r="D362">
        <v>84</v>
      </c>
      <c r="E362">
        <v>79</v>
      </c>
      <c r="F362">
        <v>1</v>
      </c>
      <c r="G362" t="s">
        <v>1064</v>
      </c>
      <c r="H362" t="s">
        <v>1070</v>
      </c>
    </row>
    <row r="363" spans="1:8">
      <c r="A363" t="s">
        <v>1431</v>
      </c>
      <c r="B363" s="2">
        <v>45920</v>
      </c>
      <c r="C363" t="s">
        <v>21</v>
      </c>
      <c r="D363">
        <v>318</v>
      </c>
      <c r="E363">
        <v>298</v>
      </c>
      <c r="F363">
        <v>11</v>
      </c>
      <c r="G363" t="s">
        <v>1064</v>
      </c>
      <c r="H363" t="s">
        <v>1070</v>
      </c>
    </row>
    <row r="364" spans="1:8">
      <c r="A364" t="s">
        <v>1432</v>
      </c>
      <c r="B364" s="2">
        <v>45920</v>
      </c>
      <c r="C364" t="s">
        <v>52</v>
      </c>
      <c r="D364">
        <v>255</v>
      </c>
      <c r="E364">
        <v>245</v>
      </c>
      <c r="F364">
        <v>4</v>
      </c>
      <c r="G364" t="s">
        <v>1073</v>
      </c>
      <c r="H364" t="s">
        <v>1075</v>
      </c>
    </row>
    <row r="365" spans="1:8">
      <c r="A365" t="s">
        <v>1433</v>
      </c>
      <c r="B365" s="2">
        <v>45921</v>
      </c>
      <c r="C365" t="s">
        <v>48</v>
      </c>
      <c r="D365">
        <v>318</v>
      </c>
      <c r="E365">
        <v>306</v>
      </c>
      <c r="F365">
        <v>6</v>
      </c>
      <c r="G365" t="s">
        <v>1073</v>
      </c>
      <c r="H365" t="s">
        <v>1075</v>
      </c>
    </row>
    <row r="366" spans="1:8">
      <c r="A366" t="s">
        <v>1434</v>
      </c>
      <c r="B366" s="2">
        <v>45921</v>
      </c>
      <c r="C366" t="s">
        <v>37</v>
      </c>
      <c r="D366">
        <v>318</v>
      </c>
      <c r="E366">
        <v>305</v>
      </c>
      <c r="F366">
        <v>8</v>
      </c>
      <c r="G366" t="s">
        <v>1073</v>
      </c>
      <c r="H366" t="s">
        <v>1070</v>
      </c>
    </row>
    <row r="367" spans="1:8">
      <c r="A367" t="s">
        <v>1435</v>
      </c>
      <c r="B367" s="2">
        <v>45922</v>
      </c>
      <c r="C367" t="s">
        <v>25</v>
      </c>
      <c r="D367">
        <v>304</v>
      </c>
      <c r="E367">
        <v>302</v>
      </c>
      <c r="F367">
        <v>2</v>
      </c>
      <c r="G367" t="s">
        <v>1073</v>
      </c>
      <c r="H367" t="s">
        <v>1065</v>
      </c>
    </row>
    <row r="368" spans="1:8">
      <c r="A368" t="s">
        <v>1436</v>
      </c>
      <c r="B368" s="2">
        <v>45922</v>
      </c>
      <c r="C368" t="s">
        <v>29</v>
      </c>
      <c r="D368">
        <v>112</v>
      </c>
      <c r="E368">
        <v>105</v>
      </c>
      <c r="F368">
        <v>4</v>
      </c>
      <c r="G368" t="s">
        <v>1073</v>
      </c>
      <c r="H368" t="s">
        <v>1070</v>
      </c>
    </row>
    <row r="369" spans="1:8">
      <c r="A369" t="s">
        <v>1437</v>
      </c>
      <c r="B369" s="2">
        <v>45924</v>
      </c>
      <c r="C369" t="s">
        <v>48</v>
      </c>
      <c r="D369">
        <v>136</v>
      </c>
      <c r="E369">
        <v>126</v>
      </c>
      <c r="F369">
        <v>2</v>
      </c>
      <c r="G369" t="s">
        <v>1064</v>
      </c>
      <c r="H369" t="s">
        <v>1075</v>
      </c>
    </row>
    <row r="370" spans="1:8">
      <c r="A370" t="s">
        <v>1438</v>
      </c>
      <c r="B370" s="2">
        <v>45924</v>
      </c>
      <c r="C370" t="s">
        <v>8</v>
      </c>
      <c r="D370">
        <v>500</v>
      </c>
      <c r="E370">
        <v>491</v>
      </c>
      <c r="F370">
        <v>7</v>
      </c>
      <c r="G370" t="s">
        <v>1067</v>
      </c>
      <c r="H370" t="s">
        <v>1070</v>
      </c>
    </row>
    <row r="371" spans="1:8">
      <c r="A371" t="s">
        <v>1439</v>
      </c>
      <c r="B371" s="2">
        <v>45926</v>
      </c>
      <c r="C371" t="s">
        <v>17</v>
      </c>
      <c r="D371">
        <v>229</v>
      </c>
      <c r="E371">
        <v>212</v>
      </c>
      <c r="F371">
        <v>5</v>
      </c>
      <c r="G371" t="s">
        <v>1064</v>
      </c>
      <c r="H371" t="s">
        <v>1065</v>
      </c>
    </row>
    <row r="372" spans="1:8">
      <c r="A372" t="s">
        <v>1440</v>
      </c>
      <c r="B372" s="2">
        <v>45927</v>
      </c>
      <c r="C372" t="s">
        <v>13</v>
      </c>
      <c r="D372">
        <v>379</v>
      </c>
      <c r="E372">
        <v>366</v>
      </c>
      <c r="F372">
        <v>1</v>
      </c>
      <c r="G372" t="s">
        <v>1064</v>
      </c>
      <c r="H372" t="s">
        <v>1070</v>
      </c>
    </row>
    <row r="373" spans="1:8">
      <c r="A373" t="s">
        <v>1441</v>
      </c>
      <c r="B373" s="2">
        <v>45929</v>
      </c>
      <c r="C373" t="s">
        <v>13</v>
      </c>
      <c r="D373">
        <v>347</v>
      </c>
      <c r="E373">
        <v>321</v>
      </c>
      <c r="F373">
        <v>10</v>
      </c>
      <c r="G373" t="s">
        <v>1064</v>
      </c>
      <c r="H373" t="s">
        <v>1070</v>
      </c>
    </row>
    <row r="374" spans="1:8">
      <c r="A374" t="s">
        <v>1442</v>
      </c>
      <c r="B374" s="2">
        <v>45930</v>
      </c>
      <c r="C374" t="s">
        <v>45</v>
      </c>
      <c r="D374">
        <v>111</v>
      </c>
      <c r="E374">
        <v>104</v>
      </c>
      <c r="F374">
        <v>1</v>
      </c>
      <c r="G374" t="s">
        <v>1073</v>
      </c>
      <c r="H374" t="s">
        <v>1083</v>
      </c>
    </row>
    <row r="375" spans="1:8">
      <c r="A375" t="s">
        <v>1443</v>
      </c>
      <c r="B375" s="2">
        <v>45930</v>
      </c>
      <c r="C375" t="s">
        <v>45</v>
      </c>
      <c r="D375">
        <v>229</v>
      </c>
      <c r="E375">
        <v>213</v>
      </c>
      <c r="F375">
        <v>5</v>
      </c>
      <c r="G375" t="s">
        <v>1064</v>
      </c>
      <c r="H375" t="s">
        <v>1083</v>
      </c>
    </row>
    <row r="376" spans="1:8">
      <c r="A376" t="s">
        <v>1444</v>
      </c>
      <c r="B376" s="2">
        <v>45931</v>
      </c>
      <c r="C376" t="s">
        <v>17</v>
      </c>
      <c r="D376">
        <v>352</v>
      </c>
      <c r="E376">
        <v>341</v>
      </c>
      <c r="F376">
        <v>9</v>
      </c>
      <c r="G376" t="s">
        <v>1067</v>
      </c>
      <c r="H376" t="s">
        <v>1065</v>
      </c>
    </row>
    <row r="377" spans="1:8">
      <c r="A377" t="s">
        <v>1445</v>
      </c>
      <c r="B377" s="2">
        <v>45933</v>
      </c>
      <c r="C377" t="s">
        <v>52</v>
      </c>
      <c r="D377">
        <v>195</v>
      </c>
      <c r="E377">
        <v>192</v>
      </c>
      <c r="F377">
        <v>3</v>
      </c>
      <c r="G377" t="s">
        <v>1064</v>
      </c>
      <c r="H377" t="s">
        <v>1075</v>
      </c>
    </row>
    <row r="378" spans="1:8">
      <c r="A378" t="s">
        <v>1446</v>
      </c>
      <c r="B378" s="2">
        <v>45934</v>
      </c>
      <c r="C378" t="s">
        <v>45</v>
      </c>
      <c r="D378">
        <v>190</v>
      </c>
      <c r="E378">
        <v>174</v>
      </c>
      <c r="F378">
        <v>6</v>
      </c>
      <c r="G378" t="s">
        <v>1073</v>
      </c>
      <c r="H378" t="s">
        <v>1083</v>
      </c>
    </row>
    <row r="379" spans="1:8">
      <c r="A379" t="s">
        <v>1447</v>
      </c>
      <c r="B379" s="2">
        <v>45935</v>
      </c>
      <c r="C379" t="s">
        <v>33</v>
      </c>
      <c r="D379">
        <v>207</v>
      </c>
      <c r="E379">
        <v>201</v>
      </c>
      <c r="F379">
        <v>4</v>
      </c>
      <c r="G379" t="s">
        <v>1064</v>
      </c>
      <c r="H379" t="s">
        <v>1070</v>
      </c>
    </row>
    <row r="380" spans="1:8">
      <c r="A380" t="s">
        <v>1448</v>
      </c>
      <c r="B380" s="2">
        <v>45935</v>
      </c>
      <c r="C380" t="s">
        <v>25</v>
      </c>
      <c r="D380">
        <v>403</v>
      </c>
      <c r="E380">
        <v>383</v>
      </c>
      <c r="F380">
        <v>2</v>
      </c>
      <c r="G380" t="s">
        <v>1067</v>
      </c>
      <c r="H380" t="s">
        <v>1065</v>
      </c>
    </row>
    <row r="381" spans="1:8">
      <c r="A381" t="s">
        <v>1449</v>
      </c>
      <c r="B381" s="2">
        <v>45935</v>
      </c>
      <c r="C381" t="s">
        <v>21</v>
      </c>
      <c r="D381">
        <v>213</v>
      </c>
      <c r="E381">
        <v>204</v>
      </c>
      <c r="F381">
        <v>7</v>
      </c>
      <c r="G381" t="s">
        <v>1073</v>
      </c>
      <c r="H381" t="s">
        <v>1070</v>
      </c>
    </row>
    <row r="382" spans="1:8">
      <c r="A382" t="s">
        <v>1450</v>
      </c>
      <c r="B382" s="2">
        <v>45936</v>
      </c>
      <c r="C382" t="s">
        <v>13</v>
      </c>
      <c r="D382">
        <v>320</v>
      </c>
      <c r="E382">
        <v>293</v>
      </c>
      <c r="F382">
        <v>9</v>
      </c>
      <c r="G382" t="s">
        <v>1067</v>
      </c>
      <c r="H382" t="s">
        <v>1070</v>
      </c>
    </row>
    <row r="383" spans="1:8">
      <c r="A383" t="s">
        <v>1451</v>
      </c>
      <c r="B383" s="2">
        <v>45936</v>
      </c>
      <c r="C383" t="s">
        <v>45</v>
      </c>
      <c r="D383">
        <v>163</v>
      </c>
      <c r="E383">
        <v>152</v>
      </c>
      <c r="F383">
        <v>2</v>
      </c>
      <c r="G383" t="s">
        <v>1067</v>
      </c>
      <c r="H383" t="s">
        <v>1083</v>
      </c>
    </row>
    <row r="384" spans="1:8">
      <c r="A384" t="s">
        <v>1452</v>
      </c>
      <c r="B384" s="2">
        <v>45937</v>
      </c>
      <c r="C384" t="s">
        <v>41</v>
      </c>
      <c r="D384">
        <v>263</v>
      </c>
      <c r="E384">
        <v>243</v>
      </c>
      <c r="F384">
        <v>5</v>
      </c>
      <c r="G384" t="s">
        <v>1067</v>
      </c>
      <c r="H384" t="s">
        <v>1083</v>
      </c>
    </row>
    <row r="385" spans="1:8">
      <c r="A385" t="s">
        <v>1453</v>
      </c>
      <c r="B385" s="2">
        <v>45939</v>
      </c>
      <c r="C385" t="s">
        <v>25</v>
      </c>
      <c r="D385">
        <v>390</v>
      </c>
      <c r="E385">
        <v>368</v>
      </c>
      <c r="F385">
        <v>13</v>
      </c>
      <c r="G385" t="s">
        <v>1064</v>
      </c>
      <c r="H385" t="s">
        <v>1065</v>
      </c>
    </row>
    <row r="386" spans="1:8">
      <c r="A386" t="s">
        <v>1454</v>
      </c>
      <c r="B386" s="2">
        <v>45941</v>
      </c>
      <c r="C386" t="s">
        <v>33</v>
      </c>
      <c r="D386">
        <v>403</v>
      </c>
      <c r="E386">
        <v>382</v>
      </c>
      <c r="F386">
        <v>7</v>
      </c>
      <c r="G386" t="s">
        <v>1073</v>
      </c>
      <c r="H386" t="s">
        <v>1070</v>
      </c>
    </row>
    <row r="387" spans="1:8">
      <c r="A387" t="s">
        <v>1455</v>
      </c>
      <c r="B387" s="2">
        <v>45941</v>
      </c>
      <c r="C387" t="s">
        <v>45</v>
      </c>
      <c r="D387">
        <v>348</v>
      </c>
      <c r="E387">
        <v>329</v>
      </c>
      <c r="F387">
        <v>11</v>
      </c>
      <c r="G387" t="s">
        <v>1073</v>
      </c>
      <c r="H387" t="s">
        <v>1083</v>
      </c>
    </row>
    <row r="388" spans="1:8">
      <c r="A388" t="s">
        <v>1456</v>
      </c>
      <c r="B388" s="2">
        <v>45942</v>
      </c>
      <c r="C388" t="s">
        <v>13</v>
      </c>
      <c r="D388">
        <v>323</v>
      </c>
      <c r="E388">
        <v>310</v>
      </c>
      <c r="F388">
        <v>3</v>
      </c>
      <c r="G388" t="s">
        <v>1064</v>
      </c>
      <c r="H388" t="s">
        <v>1070</v>
      </c>
    </row>
    <row r="389" spans="1:8">
      <c r="A389" t="s">
        <v>1457</v>
      </c>
      <c r="B389" s="2">
        <v>45942</v>
      </c>
      <c r="C389" t="s">
        <v>45</v>
      </c>
      <c r="D389">
        <v>460</v>
      </c>
      <c r="E389">
        <v>430</v>
      </c>
      <c r="F389">
        <v>14</v>
      </c>
      <c r="G389" t="s">
        <v>1064</v>
      </c>
      <c r="H389" t="s">
        <v>1083</v>
      </c>
    </row>
    <row r="390" spans="1:8">
      <c r="A390" t="s">
        <v>1458</v>
      </c>
      <c r="B390" s="2">
        <v>45943</v>
      </c>
      <c r="C390" t="s">
        <v>21</v>
      </c>
      <c r="D390">
        <v>263</v>
      </c>
      <c r="E390">
        <v>255</v>
      </c>
      <c r="F390">
        <v>8</v>
      </c>
      <c r="G390" t="s">
        <v>1073</v>
      </c>
      <c r="H390" t="s">
        <v>1070</v>
      </c>
    </row>
    <row r="391" spans="1:8">
      <c r="A391" t="s">
        <v>1459</v>
      </c>
      <c r="B391" s="2">
        <v>45947</v>
      </c>
      <c r="C391" t="s">
        <v>48</v>
      </c>
      <c r="D391">
        <v>167</v>
      </c>
      <c r="E391">
        <v>162</v>
      </c>
      <c r="F391">
        <v>1</v>
      </c>
      <c r="G391" t="s">
        <v>1073</v>
      </c>
      <c r="H391" t="s">
        <v>1075</v>
      </c>
    </row>
    <row r="392" spans="1:8">
      <c r="A392" t="s">
        <v>1460</v>
      </c>
      <c r="B392" s="2">
        <v>45947</v>
      </c>
      <c r="C392" t="s">
        <v>13</v>
      </c>
      <c r="D392">
        <v>373</v>
      </c>
      <c r="E392">
        <v>356</v>
      </c>
      <c r="F392">
        <v>12</v>
      </c>
      <c r="G392" t="s">
        <v>1073</v>
      </c>
      <c r="H392" t="s">
        <v>1070</v>
      </c>
    </row>
    <row r="393" spans="1:8">
      <c r="A393" t="s">
        <v>1461</v>
      </c>
      <c r="B393" s="2">
        <v>45947</v>
      </c>
      <c r="C393" t="s">
        <v>25</v>
      </c>
      <c r="D393">
        <v>198</v>
      </c>
      <c r="E393">
        <v>189</v>
      </c>
      <c r="F393">
        <v>2</v>
      </c>
      <c r="G393" t="s">
        <v>1073</v>
      </c>
      <c r="H393" t="s">
        <v>1065</v>
      </c>
    </row>
    <row r="394" spans="1:8">
      <c r="A394" t="s">
        <v>1462</v>
      </c>
      <c r="B394" s="2">
        <v>45947</v>
      </c>
      <c r="C394" t="s">
        <v>48</v>
      </c>
      <c r="D394">
        <v>300</v>
      </c>
      <c r="E394">
        <v>296</v>
      </c>
      <c r="F394">
        <v>2</v>
      </c>
      <c r="G394" t="s">
        <v>1067</v>
      </c>
      <c r="H394" t="s">
        <v>1075</v>
      </c>
    </row>
    <row r="395" spans="1:8">
      <c r="A395" t="s">
        <v>1463</v>
      </c>
      <c r="B395" s="2">
        <v>45948</v>
      </c>
      <c r="C395" t="s">
        <v>21</v>
      </c>
      <c r="D395">
        <v>188</v>
      </c>
      <c r="E395">
        <v>177</v>
      </c>
      <c r="F395">
        <v>3</v>
      </c>
      <c r="G395" t="s">
        <v>1064</v>
      </c>
      <c r="H395" t="s">
        <v>1070</v>
      </c>
    </row>
    <row r="396" spans="1:8">
      <c r="A396" t="s">
        <v>1464</v>
      </c>
      <c r="B396" s="2">
        <v>45948</v>
      </c>
      <c r="C396" t="s">
        <v>21</v>
      </c>
      <c r="D396">
        <v>376</v>
      </c>
      <c r="E396">
        <v>359</v>
      </c>
      <c r="F396">
        <v>6</v>
      </c>
      <c r="G396" t="s">
        <v>1073</v>
      </c>
      <c r="H396" t="s">
        <v>1070</v>
      </c>
    </row>
    <row r="397" spans="1:8">
      <c r="A397" t="s">
        <v>1465</v>
      </c>
      <c r="B397" s="2">
        <v>45948</v>
      </c>
      <c r="C397" t="s">
        <v>8</v>
      </c>
      <c r="D397">
        <v>132</v>
      </c>
      <c r="E397">
        <v>123</v>
      </c>
      <c r="F397">
        <v>2</v>
      </c>
      <c r="G397" t="s">
        <v>1064</v>
      </c>
      <c r="H397" t="s">
        <v>1070</v>
      </c>
    </row>
    <row r="398" spans="1:8">
      <c r="A398" t="s">
        <v>1466</v>
      </c>
      <c r="B398" s="2">
        <v>45948</v>
      </c>
      <c r="C398" t="s">
        <v>21</v>
      </c>
      <c r="D398">
        <v>397</v>
      </c>
      <c r="E398">
        <v>376</v>
      </c>
      <c r="F398">
        <v>3</v>
      </c>
      <c r="G398" t="s">
        <v>1073</v>
      </c>
      <c r="H398" t="s">
        <v>1070</v>
      </c>
    </row>
    <row r="399" spans="1:8">
      <c r="A399" t="s">
        <v>1467</v>
      </c>
      <c r="B399" s="2">
        <v>45948</v>
      </c>
      <c r="C399" t="s">
        <v>17</v>
      </c>
      <c r="D399">
        <v>250</v>
      </c>
      <c r="E399">
        <v>234</v>
      </c>
      <c r="F399">
        <v>9</v>
      </c>
      <c r="G399" t="s">
        <v>1073</v>
      </c>
      <c r="H399" t="s">
        <v>1065</v>
      </c>
    </row>
    <row r="400" spans="1:8">
      <c r="A400" t="s">
        <v>1468</v>
      </c>
      <c r="B400" s="2">
        <v>45950</v>
      </c>
      <c r="C400" t="s">
        <v>8</v>
      </c>
      <c r="D400">
        <v>186</v>
      </c>
      <c r="E400">
        <v>179</v>
      </c>
      <c r="F400">
        <v>6</v>
      </c>
      <c r="G400" t="s">
        <v>1064</v>
      </c>
      <c r="H400" t="s">
        <v>1070</v>
      </c>
    </row>
    <row r="401" spans="1:8">
      <c r="A401" t="s">
        <v>1469</v>
      </c>
      <c r="B401" s="2">
        <v>45950</v>
      </c>
      <c r="C401" t="s">
        <v>41</v>
      </c>
      <c r="D401">
        <v>315</v>
      </c>
      <c r="E401">
        <v>300</v>
      </c>
      <c r="F401">
        <v>5</v>
      </c>
      <c r="G401" t="s">
        <v>1073</v>
      </c>
      <c r="H401" t="s">
        <v>1083</v>
      </c>
    </row>
    <row r="402" spans="1:8">
      <c r="A402" t="s">
        <v>1470</v>
      </c>
      <c r="B402" s="2">
        <v>45950</v>
      </c>
      <c r="C402" t="s">
        <v>13</v>
      </c>
      <c r="D402">
        <v>424</v>
      </c>
      <c r="E402">
        <v>410</v>
      </c>
      <c r="F402">
        <v>6</v>
      </c>
      <c r="G402" t="s">
        <v>1064</v>
      </c>
      <c r="H402" t="s">
        <v>1070</v>
      </c>
    </row>
    <row r="403" spans="1:8">
      <c r="A403" t="s">
        <v>1471</v>
      </c>
      <c r="B403" s="2">
        <v>45951</v>
      </c>
      <c r="C403" t="s">
        <v>33</v>
      </c>
      <c r="D403">
        <v>308</v>
      </c>
      <c r="E403">
        <v>289</v>
      </c>
      <c r="F403">
        <v>9</v>
      </c>
      <c r="G403" t="s">
        <v>1067</v>
      </c>
      <c r="H403" t="s">
        <v>1070</v>
      </c>
    </row>
    <row r="404" spans="1:8">
      <c r="A404" t="s">
        <v>1472</v>
      </c>
      <c r="B404" s="2">
        <v>45951</v>
      </c>
      <c r="C404" t="s">
        <v>48</v>
      </c>
      <c r="D404">
        <v>416</v>
      </c>
      <c r="E404">
        <v>404</v>
      </c>
      <c r="F404">
        <v>5</v>
      </c>
      <c r="G404" t="s">
        <v>1073</v>
      </c>
      <c r="H404" t="s">
        <v>1075</v>
      </c>
    </row>
    <row r="405" spans="1:8">
      <c r="A405" t="s">
        <v>1473</v>
      </c>
      <c r="B405" s="2">
        <v>45951</v>
      </c>
      <c r="C405" t="s">
        <v>21</v>
      </c>
      <c r="D405">
        <v>225</v>
      </c>
      <c r="E405">
        <v>211</v>
      </c>
      <c r="F405">
        <v>7</v>
      </c>
      <c r="G405" t="s">
        <v>1073</v>
      </c>
      <c r="H405" t="s">
        <v>1070</v>
      </c>
    </row>
    <row r="406" spans="1:8">
      <c r="A406" t="s">
        <v>1474</v>
      </c>
      <c r="B406" s="2">
        <v>45952</v>
      </c>
      <c r="C406" t="s">
        <v>48</v>
      </c>
      <c r="D406">
        <v>173</v>
      </c>
      <c r="E406">
        <v>163</v>
      </c>
      <c r="F406">
        <v>4</v>
      </c>
      <c r="G406" t="s">
        <v>1073</v>
      </c>
      <c r="H406" t="s">
        <v>1075</v>
      </c>
    </row>
    <row r="407" spans="1:8">
      <c r="A407" t="s">
        <v>1475</v>
      </c>
      <c r="B407" s="2">
        <v>45953</v>
      </c>
      <c r="C407" t="s">
        <v>41</v>
      </c>
      <c r="D407">
        <v>372</v>
      </c>
      <c r="E407">
        <v>360</v>
      </c>
      <c r="F407">
        <v>7</v>
      </c>
      <c r="G407" t="s">
        <v>1064</v>
      </c>
      <c r="H407" t="s">
        <v>1083</v>
      </c>
    </row>
    <row r="408" spans="1:8">
      <c r="A408" t="s">
        <v>1476</v>
      </c>
      <c r="B408" s="2">
        <v>45953</v>
      </c>
      <c r="C408" t="s">
        <v>33</v>
      </c>
      <c r="D408">
        <v>452</v>
      </c>
      <c r="E408">
        <v>413</v>
      </c>
      <c r="F408">
        <v>15</v>
      </c>
      <c r="G408" t="s">
        <v>1064</v>
      </c>
      <c r="H408" t="s">
        <v>1070</v>
      </c>
    </row>
    <row r="409" spans="1:8">
      <c r="A409" t="s">
        <v>1477</v>
      </c>
      <c r="B409" s="2">
        <v>45955</v>
      </c>
      <c r="C409" t="s">
        <v>21</v>
      </c>
      <c r="D409">
        <v>113</v>
      </c>
      <c r="E409">
        <v>105</v>
      </c>
      <c r="F409">
        <v>3</v>
      </c>
      <c r="G409" t="s">
        <v>1073</v>
      </c>
      <c r="H409" t="s">
        <v>1070</v>
      </c>
    </row>
    <row r="410" spans="1:8">
      <c r="A410" t="s">
        <v>1478</v>
      </c>
      <c r="B410" s="2">
        <v>45955</v>
      </c>
      <c r="C410" t="s">
        <v>29</v>
      </c>
      <c r="D410">
        <v>376</v>
      </c>
      <c r="E410">
        <v>370</v>
      </c>
      <c r="F410">
        <v>3</v>
      </c>
      <c r="G410" t="s">
        <v>1064</v>
      </c>
      <c r="H410" t="s">
        <v>1070</v>
      </c>
    </row>
    <row r="411" spans="1:8">
      <c r="A411" t="s">
        <v>1479</v>
      </c>
      <c r="B411" s="2">
        <v>45957</v>
      </c>
      <c r="C411" t="s">
        <v>21</v>
      </c>
      <c r="D411">
        <v>432</v>
      </c>
      <c r="E411">
        <v>423</v>
      </c>
      <c r="F411">
        <v>5</v>
      </c>
      <c r="G411" t="s">
        <v>1073</v>
      </c>
      <c r="H411" t="s">
        <v>1070</v>
      </c>
    </row>
    <row r="412" spans="1:8">
      <c r="A412" t="s">
        <v>1480</v>
      </c>
      <c r="B412" s="2">
        <v>45957</v>
      </c>
      <c r="C412" t="s">
        <v>13</v>
      </c>
      <c r="D412">
        <v>287</v>
      </c>
      <c r="E412">
        <v>267</v>
      </c>
      <c r="F412">
        <v>3</v>
      </c>
      <c r="G412" t="s">
        <v>1073</v>
      </c>
      <c r="H412" t="s">
        <v>1070</v>
      </c>
    </row>
    <row r="413" spans="1:8">
      <c r="A413" t="s">
        <v>1481</v>
      </c>
      <c r="B413" s="2">
        <v>45958</v>
      </c>
      <c r="C413" t="s">
        <v>48</v>
      </c>
      <c r="D413">
        <v>265</v>
      </c>
      <c r="E413">
        <v>248</v>
      </c>
      <c r="F413">
        <v>7</v>
      </c>
      <c r="G413" t="s">
        <v>1064</v>
      </c>
      <c r="H413" t="s">
        <v>1075</v>
      </c>
    </row>
    <row r="414" spans="1:8">
      <c r="A414" t="s">
        <v>1482</v>
      </c>
      <c r="B414" s="2">
        <v>45959</v>
      </c>
      <c r="C414" t="s">
        <v>41</v>
      </c>
      <c r="D414">
        <v>461</v>
      </c>
      <c r="E414">
        <v>450</v>
      </c>
      <c r="F414">
        <v>7</v>
      </c>
      <c r="G414" t="s">
        <v>1073</v>
      </c>
      <c r="H414" t="s">
        <v>1083</v>
      </c>
    </row>
    <row r="415" spans="1:8">
      <c r="A415" t="s">
        <v>1483</v>
      </c>
      <c r="B415" s="2">
        <v>45959</v>
      </c>
      <c r="C415" t="s">
        <v>52</v>
      </c>
      <c r="D415">
        <v>174</v>
      </c>
      <c r="E415">
        <v>165</v>
      </c>
      <c r="F415">
        <v>2</v>
      </c>
      <c r="G415" t="s">
        <v>1067</v>
      </c>
      <c r="H415" t="s">
        <v>1075</v>
      </c>
    </row>
    <row r="416" spans="1:8">
      <c r="A416" t="s">
        <v>1484</v>
      </c>
      <c r="B416" s="2">
        <v>45960</v>
      </c>
      <c r="C416" t="s">
        <v>17</v>
      </c>
      <c r="D416">
        <v>422</v>
      </c>
      <c r="E416">
        <v>401</v>
      </c>
      <c r="F416">
        <v>15</v>
      </c>
      <c r="G416" t="s">
        <v>1064</v>
      </c>
      <c r="H416" t="s">
        <v>1065</v>
      </c>
    </row>
    <row r="417" spans="1:8">
      <c r="A417" t="s">
        <v>1485</v>
      </c>
      <c r="B417" s="2">
        <v>45962</v>
      </c>
      <c r="C417" t="s">
        <v>17</v>
      </c>
      <c r="D417">
        <v>114</v>
      </c>
      <c r="E417">
        <v>108</v>
      </c>
      <c r="F417">
        <v>3</v>
      </c>
      <c r="G417" t="s">
        <v>1064</v>
      </c>
      <c r="H417" t="s">
        <v>1065</v>
      </c>
    </row>
    <row r="418" spans="1:8">
      <c r="A418" t="s">
        <v>1486</v>
      </c>
      <c r="B418" s="2">
        <v>45963</v>
      </c>
      <c r="C418" t="s">
        <v>45</v>
      </c>
      <c r="D418">
        <v>169</v>
      </c>
      <c r="E418">
        <v>156</v>
      </c>
      <c r="F418">
        <v>6</v>
      </c>
      <c r="G418" t="s">
        <v>1067</v>
      </c>
      <c r="H418" t="s">
        <v>1083</v>
      </c>
    </row>
    <row r="419" spans="1:8">
      <c r="A419" t="s">
        <v>1487</v>
      </c>
      <c r="B419" s="2">
        <v>45963</v>
      </c>
      <c r="C419" t="s">
        <v>21</v>
      </c>
      <c r="D419">
        <v>157</v>
      </c>
      <c r="E419">
        <v>150</v>
      </c>
      <c r="F419">
        <v>5</v>
      </c>
      <c r="G419" t="s">
        <v>1064</v>
      </c>
      <c r="H419" t="s">
        <v>1070</v>
      </c>
    </row>
    <row r="420" spans="1:8">
      <c r="A420" t="s">
        <v>1488</v>
      </c>
      <c r="B420" s="2">
        <v>45964</v>
      </c>
      <c r="C420" t="s">
        <v>17</v>
      </c>
      <c r="D420">
        <v>242</v>
      </c>
      <c r="E420">
        <v>223</v>
      </c>
      <c r="F420">
        <v>6</v>
      </c>
      <c r="G420" t="s">
        <v>1067</v>
      </c>
      <c r="H420" t="s">
        <v>1065</v>
      </c>
    </row>
    <row r="421" spans="1:8">
      <c r="A421" t="s">
        <v>1489</v>
      </c>
      <c r="B421" s="2">
        <v>45965</v>
      </c>
      <c r="C421" t="s">
        <v>37</v>
      </c>
      <c r="D421">
        <v>458</v>
      </c>
      <c r="E421">
        <v>417</v>
      </c>
      <c r="F421">
        <v>14</v>
      </c>
      <c r="G421" t="s">
        <v>1073</v>
      </c>
      <c r="H421" t="s">
        <v>1070</v>
      </c>
    </row>
    <row r="422" spans="1:8">
      <c r="A422" t="s">
        <v>1490</v>
      </c>
      <c r="B422" s="2">
        <v>45966</v>
      </c>
      <c r="C422" t="s">
        <v>41</v>
      </c>
      <c r="D422">
        <v>493</v>
      </c>
      <c r="E422">
        <v>486</v>
      </c>
      <c r="F422">
        <v>5</v>
      </c>
      <c r="G422" t="s">
        <v>1073</v>
      </c>
      <c r="H422" t="s">
        <v>1083</v>
      </c>
    </row>
    <row r="423" spans="1:8">
      <c r="A423" t="s">
        <v>1491</v>
      </c>
      <c r="B423" s="2">
        <v>45966</v>
      </c>
      <c r="C423" t="s">
        <v>48</v>
      </c>
      <c r="D423">
        <v>232</v>
      </c>
      <c r="E423">
        <v>223</v>
      </c>
      <c r="F423">
        <v>7</v>
      </c>
      <c r="G423" t="s">
        <v>1064</v>
      </c>
      <c r="H423" t="s">
        <v>1075</v>
      </c>
    </row>
    <row r="424" spans="1:8">
      <c r="A424" t="s">
        <v>1492</v>
      </c>
      <c r="B424" s="2">
        <v>45966</v>
      </c>
      <c r="C424" t="s">
        <v>17</v>
      </c>
      <c r="D424">
        <v>324</v>
      </c>
      <c r="E424">
        <v>303</v>
      </c>
      <c r="F424">
        <v>5</v>
      </c>
      <c r="G424" t="s">
        <v>1073</v>
      </c>
      <c r="H424" t="s">
        <v>1065</v>
      </c>
    </row>
    <row r="425" spans="1:8">
      <c r="A425" t="s">
        <v>1493</v>
      </c>
      <c r="B425" s="2">
        <v>45967</v>
      </c>
      <c r="C425" t="s">
        <v>37</v>
      </c>
      <c r="D425">
        <v>416</v>
      </c>
      <c r="E425">
        <v>404</v>
      </c>
      <c r="F425">
        <v>5</v>
      </c>
      <c r="G425" t="s">
        <v>1073</v>
      </c>
      <c r="H425" t="s">
        <v>1070</v>
      </c>
    </row>
    <row r="426" spans="1:8">
      <c r="A426" t="s">
        <v>1494</v>
      </c>
      <c r="B426" s="2">
        <v>45967</v>
      </c>
      <c r="C426" t="s">
        <v>52</v>
      </c>
      <c r="D426">
        <v>265</v>
      </c>
      <c r="E426">
        <v>255</v>
      </c>
      <c r="F426">
        <v>1</v>
      </c>
      <c r="G426" t="s">
        <v>1073</v>
      </c>
      <c r="H426" t="s">
        <v>1075</v>
      </c>
    </row>
    <row r="427" spans="1:8">
      <c r="A427" t="s">
        <v>1495</v>
      </c>
      <c r="B427" s="2">
        <v>45968</v>
      </c>
      <c r="C427" t="s">
        <v>33</v>
      </c>
      <c r="D427">
        <v>231</v>
      </c>
      <c r="E427">
        <v>218</v>
      </c>
      <c r="F427">
        <v>7</v>
      </c>
      <c r="G427" t="s">
        <v>1064</v>
      </c>
      <c r="H427" t="s">
        <v>1070</v>
      </c>
    </row>
    <row r="428" spans="1:8">
      <c r="A428" t="s">
        <v>1496</v>
      </c>
      <c r="B428" s="2">
        <v>45972</v>
      </c>
      <c r="C428" t="s">
        <v>25</v>
      </c>
      <c r="D428">
        <v>361</v>
      </c>
      <c r="E428">
        <v>341</v>
      </c>
      <c r="F428">
        <v>6</v>
      </c>
      <c r="G428" t="s">
        <v>1073</v>
      </c>
      <c r="H428" t="s">
        <v>1065</v>
      </c>
    </row>
    <row r="429" spans="1:8">
      <c r="A429" t="s">
        <v>1497</v>
      </c>
      <c r="B429" s="2">
        <v>45973</v>
      </c>
      <c r="C429" t="s">
        <v>25</v>
      </c>
      <c r="D429">
        <v>429</v>
      </c>
      <c r="E429">
        <v>419</v>
      </c>
      <c r="F429">
        <v>9</v>
      </c>
      <c r="G429" t="s">
        <v>1073</v>
      </c>
      <c r="H429" t="s">
        <v>1065</v>
      </c>
    </row>
    <row r="430" spans="1:8">
      <c r="A430" t="s">
        <v>1498</v>
      </c>
      <c r="B430" s="2">
        <v>45973</v>
      </c>
      <c r="C430" t="s">
        <v>17</v>
      </c>
      <c r="D430">
        <v>292</v>
      </c>
      <c r="E430">
        <v>272</v>
      </c>
      <c r="F430">
        <v>5</v>
      </c>
      <c r="G430" t="s">
        <v>1064</v>
      </c>
      <c r="H430" t="s">
        <v>1065</v>
      </c>
    </row>
    <row r="431" spans="1:8">
      <c r="A431" t="s">
        <v>1499</v>
      </c>
      <c r="B431" s="2">
        <v>45976</v>
      </c>
      <c r="C431" t="s">
        <v>13</v>
      </c>
      <c r="D431">
        <v>279</v>
      </c>
      <c r="E431">
        <v>260</v>
      </c>
      <c r="F431">
        <v>5</v>
      </c>
      <c r="G431" t="s">
        <v>1073</v>
      </c>
      <c r="H431" t="s">
        <v>1070</v>
      </c>
    </row>
    <row r="432" spans="1:8">
      <c r="A432" t="s">
        <v>1500</v>
      </c>
      <c r="B432" s="2">
        <v>45976</v>
      </c>
      <c r="C432" t="s">
        <v>37</v>
      </c>
      <c r="D432">
        <v>178</v>
      </c>
      <c r="E432">
        <v>170</v>
      </c>
      <c r="F432">
        <v>2</v>
      </c>
      <c r="G432" t="s">
        <v>1073</v>
      </c>
      <c r="H432" t="s">
        <v>1070</v>
      </c>
    </row>
    <row r="433" spans="1:8">
      <c r="A433" t="s">
        <v>1501</v>
      </c>
      <c r="B433" s="2">
        <v>45977</v>
      </c>
      <c r="C433" t="s">
        <v>37</v>
      </c>
      <c r="D433">
        <v>105</v>
      </c>
      <c r="E433">
        <v>103</v>
      </c>
      <c r="F433">
        <v>1</v>
      </c>
      <c r="G433" t="s">
        <v>1067</v>
      </c>
      <c r="H433" t="s">
        <v>1070</v>
      </c>
    </row>
    <row r="434" spans="1:8">
      <c r="A434" t="s">
        <v>1502</v>
      </c>
      <c r="B434" s="2">
        <v>45978</v>
      </c>
      <c r="C434" t="s">
        <v>48</v>
      </c>
      <c r="D434">
        <v>257</v>
      </c>
      <c r="E434">
        <v>245</v>
      </c>
      <c r="F434">
        <v>5</v>
      </c>
      <c r="G434" t="s">
        <v>1073</v>
      </c>
      <c r="H434" t="s">
        <v>1075</v>
      </c>
    </row>
    <row r="435" spans="1:8">
      <c r="A435" t="s">
        <v>1503</v>
      </c>
      <c r="B435" s="2">
        <v>45979</v>
      </c>
      <c r="C435" t="s">
        <v>29</v>
      </c>
      <c r="D435">
        <v>201</v>
      </c>
      <c r="E435">
        <v>194</v>
      </c>
      <c r="F435">
        <v>6</v>
      </c>
      <c r="G435" t="s">
        <v>1073</v>
      </c>
      <c r="H435" t="s">
        <v>1070</v>
      </c>
    </row>
    <row r="436" spans="1:8">
      <c r="A436" t="s">
        <v>1504</v>
      </c>
      <c r="B436" s="2">
        <v>45979</v>
      </c>
      <c r="C436" t="s">
        <v>33</v>
      </c>
      <c r="D436">
        <v>212</v>
      </c>
      <c r="E436">
        <v>202</v>
      </c>
      <c r="F436">
        <v>7</v>
      </c>
      <c r="G436" t="s">
        <v>1073</v>
      </c>
      <c r="H436" t="s">
        <v>1070</v>
      </c>
    </row>
    <row r="437" spans="1:8">
      <c r="A437" t="s">
        <v>1505</v>
      </c>
      <c r="B437" s="2">
        <v>45980</v>
      </c>
      <c r="C437" t="s">
        <v>21</v>
      </c>
      <c r="D437">
        <v>158</v>
      </c>
      <c r="E437">
        <v>154</v>
      </c>
      <c r="F437">
        <v>3</v>
      </c>
      <c r="G437" t="s">
        <v>1073</v>
      </c>
      <c r="H437" t="s">
        <v>1070</v>
      </c>
    </row>
    <row r="438" spans="1:8">
      <c r="A438" t="s">
        <v>1506</v>
      </c>
      <c r="B438" s="2">
        <v>45980</v>
      </c>
      <c r="C438" t="s">
        <v>25</v>
      </c>
      <c r="D438">
        <v>311</v>
      </c>
      <c r="E438">
        <v>286</v>
      </c>
      <c r="F438">
        <v>10</v>
      </c>
      <c r="G438" t="s">
        <v>1073</v>
      </c>
      <c r="H438" t="s">
        <v>1065</v>
      </c>
    </row>
    <row r="439" spans="1:8">
      <c r="A439" t="s">
        <v>1507</v>
      </c>
      <c r="B439" s="2">
        <v>45982</v>
      </c>
      <c r="C439" t="s">
        <v>21</v>
      </c>
      <c r="D439">
        <v>429</v>
      </c>
      <c r="E439">
        <v>401</v>
      </c>
      <c r="F439">
        <v>9</v>
      </c>
      <c r="G439" t="s">
        <v>1073</v>
      </c>
      <c r="H439" t="s">
        <v>1070</v>
      </c>
    </row>
    <row r="440" spans="1:8">
      <c r="A440" t="s">
        <v>1508</v>
      </c>
      <c r="B440" s="2">
        <v>45983</v>
      </c>
      <c r="C440" t="s">
        <v>13</v>
      </c>
      <c r="D440">
        <v>482</v>
      </c>
      <c r="E440">
        <v>450</v>
      </c>
      <c r="F440">
        <v>11</v>
      </c>
      <c r="G440" t="s">
        <v>1064</v>
      </c>
      <c r="H440" t="s">
        <v>1070</v>
      </c>
    </row>
    <row r="441" spans="1:8">
      <c r="A441" t="s">
        <v>1509</v>
      </c>
      <c r="B441" s="2">
        <v>45983</v>
      </c>
      <c r="C441" t="s">
        <v>29</v>
      </c>
      <c r="D441">
        <v>291</v>
      </c>
      <c r="E441">
        <v>274</v>
      </c>
      <c r="F441">
        <v>7</v>
      </c>
      <c r="G441" t="s">
        <v>1073</v>
      </c>
      <c r="H441" t="s">
        <v>1070</v>
      </c>
    </row>
    <row r="442" spans="1:8">
      <c r="A442" t="s">
        <v>1510</v>
      </c>
      <c r="B442" s="2">
        <v>45983</v>
      </c>
      <c r="C442" t="s">
        <v>8</v>
      </c>
      <c r="D442">
        <v>191</v>
      </c>
      <c r="E442">
        <v>180</v>
      </c>
      <c r="F442">
        <v>2</v>
      </c>
      <c r="G442" t="s">
        <v>1073</v>
      </c>
      <c r="H442" t="s">
        <v>1070</v>
      </c>
    </row>
    <row r="443" spans="1:8">
      <c r="A443" t="s">
        <v>1511</v>
      </c>
      <c r="B443" s="2">
        <v>45985</v>
      </c>
      <c r="C443" t="s">
        <v>8</v>
      </c>
      <c r="D443">
        <v>423</v>
      </c>
      <c r="E443">
        <v>400</v>
      </c>
      <c r="F443">
        <v>15</v>
      </c>
      <c r="G443" t="s">
        <v>1064</v>
      </c>
      <c r="H443" t="s">
        <v>1070</v>
      </c>
    </row>
    <row r="444" spans="1:8">
      <c r="A444" t="s">
        <v>1512</v>
      </c>
      <c r="B444" s="2">
        <v>45985</v>
      </c>
      <c r="C444" t="s">
        <v>25</v>
      </c>
      <c r="D444">
        <v>314</v>
      </c>
      <c r="E444">
        <v>289</v>
      </c>
      <c r="F444">
        <v>11</v>
      </c>
      <c r="G444" t="s">
        <v>1073</v>
      </c>
      <c r="H444" t="s">
        <v>1065</v>
      </c>
    </row>
    <row r="445" spans="1:8">
      <c r="A445" t="s">
        <v>1513</v>
      </c>
      <c r="B445" s="2">
        <v>45986</v>
      </c>
      <c r="C445" t="s">
        <v>45</v>
      </c>
      <c r="D445">
        <v>493</v>
      </c>
      <c r="E445">
        <v>468</v>
      </c>
      <c r="F445">
        <v>6</v>
      </c>
      <c r="G445" t="s">
        <v>1064</v>
      </c>
      <c r="H445" t="s">
        <v>1083</v>
      </c>
    </row>
    <row r="446" spans="1:8">
      <c r="A446" t="s">
        <v>1514</v>
      </c>
      <c r="B446" s="2">
        <v>45987</v>
      </c>
      <c r="C446" t="s">
        <v>33</v>
      </c>
      <c r="D446">
        <v>433</v>
      </c>
      <c r="E446">
        <v>409</v>
      </c>
      <c r="F446">
        <v>7</v>
      </c>
      <c r="G446" t="s">
        <v>1073</v>
      </c>
      <c r="H446" t="s">
        <v>1070</v>
      </c>
    </row>
    <row r="447" spans="1:8">
      <c r="A447" t="s">
        <v>1515</v>
      </c>
      <c r="B447" s="2">
        <v>45988</v>
      </c>
      <c r="C447" t="s">
        <v>8</v>
      </c>
      <c r="D447">
        <v>243</v>
      </c>
      <c r="E447">
        <v>233</v>
      </c>
      <c r="F447">
        <v>6</v>
      </c>
      <c r="G447" t="s">
        <v>1067</v>
      </c>
      <c r="H447" t="s">
        <v>1070</v>
      </c>
    </row>
    <row r="448" spans="1:8">
      <c r="A448" t="s">
        <v>1516</v>
      </c>
      <c r="B448" s="2">
        <v>45989</v>
      </c>
      <c r="C448" t="s">
        <v>8</v>
      </c>
      <c r="D448">
        <v>423</v>
      </c>
      <c r="E448">
        <v>400</v>
      </c>
      <c r="F448">
        <v>6</v>
      </c>
      <c r="G448" t="s">
        <v>1073</v>
      </c>
      <c r="H448" t="s">
        <v>1070</v>
      </c>
    </row>
    <row r="449" spans="1:8">
      <c r="A449" t="s">
        <v>1517</v>
      </c>
      <c r="B449" s="2">
        <v>45990</v>
      </c>
      <c r="C449" t="s">
        <v>41</v>
      </c>
      <c r="D449">
        <v>407</v>
      </c>
      <c r="E449">
        <v>382</v>
      </c>
      <c r="F449">
        <v>4</v>
      </c>
      <c r="G449" t="s">
        <v>1073</v>
      </c>
      <c r="H449" t="s">
        <v>1083</v>
      </c>
    </row>
    <row r="450" spans="1:8">
      <c r="A450" t="s">
        <v>1518</v>
      </c>
      <c r="B450" s="2">
        <v>45991</v>
      </c>
      <c r="C450" t="s">
        <v>41</v>
      </c>
      <c r="D450">
        <v>289</v>
      </c>
      <c r="E450">
        <v>273</v>
      </c>
      <c r="F450">
        <v>10</v>
      </c>
      <c r="G450" t="s">
        <v>1073</v>
      </c>
      <c r="H450" t="s">
        <v>1083</v>
      </c>
    </row>
    <row r="451" spans="1:8">
      <c r="A451" t="s">
        <v>1519</v>
      </c>
      <c r="B451" s="2">
        <v>45991</v>
      </c>
      <c r="C451" t="s">
        <v>29</v>
      </c>
      <c r="D451">
        <v>364</v>
      </c>
      <c r="E451">
        <v>349</v>
      </c>
      <c r="F451">
        <v>7</v>
      </c>
      <c r="G451" t="s">
        <v>1073</v>
      </c>
      <c r="H451" t="s">
        <v>1070</v>
      </c>
    </row>
    <row r="452" spans="1:8">
      <c r="A452" t="s">
        <v>1520</v>
      </c>
      <c r="B452" s="2">
        <v>45991</v>
      </c>
      <c r="C452" t="s">
        <v>52</v>
      </c>
      <c r="D452">
        <v>157</v>
      </c>
      <c r="E452">
        <v>153</v>
      </c>
      <c r="F452">
        <v>2</v>
      </c>
      <c r="G452" t="s">
        <v>1073</v>
      </c>
      <c r="H452" t="s">
        <v>1075</v>
      </c>
    </row>
    <row r="453" spans="1:8">
      <c r="A453" t="s">
        <v>1521</v>
      </c>
      <c r="B453" s="2">
        <v>45991</v>
      </c>
      <c r="C453" t="s">
        <v>21</v>
      </c>
      <c r="D453">
        <v>464</v>
      </c>
      <c r="E453">
        <v>450</v>
      </c>
      <c r="F453">
        <v>4</v>
      </c>
      <c r="G453" t="s">
        <v>1067</v>
      </c>
      <c r="H453" t="s">
        <v>1070</v>
      </c>
    </row>
    <row r="454" spans="1:8">
      <c r="A454" t="s">
        <v>1522</v>
      </c>
      <c r="B454" s="2">
        <v>45992</v>
      </c>
      <c r="C454" t="s">
        <v>25</v>
      </c>
      <c r="D454">
        <v>212</v>
      </c>
      <c r="E454">
        <v>196</v>
      </c>
      <c r="F454">
        <v>4</v>
      </c>
      <c r="G454" t="s">
        <v>1073</v>
      </c>
      <c r="H454" t="s">
        <v>1065</v>
      </c>
    </row>
    <row r="455" spans="1:8">
      <c r="A455" t="s">
        <v>1523</v>
      </c>
      <c r="B455" s="2">
        <v>45993</v>
      </c>
      <c r="C455" t="s">
        <v>41</v>
      </c>
      <c r="D455">
        <v>491</v>
      </c>
      <c r="E455">
        <v>473</v>
      </c>
      <c r="F455">
        <v>6</v>
      </c>
      <c r="G455" t="s">
        <v>1064</v>
      </c>
      <c r="H455" t="s">
        <v>1083</v>
      </c>
    </row>
    <row r="456" spans="1:8">
      <c r="A456" t="s">
        <v>1524</v>
      </c>
      <c r="B456" s="2">
        <v>45995</v>
      </c>
      <c r="C456" t="s">
        <v>37</v>
      </c>
      <c r="D456">
        <v>209</v>
      </c>
      <c r="E456">
        <v>196</v>
      </c>
      <c r="F456">
        <v>3</v>
      </c>
      <c r="G456" t="s">
        <v>1064</v>
      </c>
      <c r="H456" t="s">
        <v>1070</v>
      </c>
    </row>
    <row r="457" spans="1:8">
      <c r="A457" t="s">
        <v>1525</v>
      </c>
      <c r="B457" s="2">
        <v>45996</v>
      </c>
      <c r="C457" t="s">
        <v>25</v>
      </c>
      <c r="D457">
        <v>404</v>
      </c>
      <c r="E457">
        <v>389</v>
      </c>
      <c r="F457">
        <v>9</v>
      </c>
      <c r="G457" t="s">
        <v>1073</v>
      </c>
      <c r="H457" t="s">
        <v>1065</v>
      </c>
    </row>
    <row r="458" spans="1:8">
      <c r="A458" t="s">
        <v>1526</v>
      </c>
      <c r="B458" s="2">
        <v>45996</v>
      </c>
      <c r="C458" t="s">
        <v>21</v>
      </c>
      <c r="D458">
        <v>386</v>
      </c>
      <c r="E458">
        <v>365</v>
      </c>
      <c r="F458">
        <v>5</v>
      </c>
      <c r="G458" t="s">
        <v>1064</v>
      </c>
      <c r="H458" t="s">
        <v>1070</v>
      </c>
    </row>
    <row r="459" spans="1:8">
      <c r="A459" t="s">
        <v>1527</v>
      </c>
      <c r="B459" s="2">
        <v>45996</v>
      </c>
      <c r="C459" t="s">
        <v>8</v>
      </c>
      <c r="D459">
        <v>322</v>
      </c>
      <c r="E459">
        <v>298</v>
      </c>
      <c r="F459">
        <v>11</v>
      </c>
      <c r="G459" t="s">
        <v>1067</v>
      </c>
      <c r="H459" t="s">
        <v>1070</v>
      </c>
    </row>
    <row r="460" spans="1:8">
      <c r="A460" t="s">
        <v>1528</v>
      </c>
      <c r="B460" s="2">
        <v>45996</v>
      </c>
      <c r="C460" t="s">
        <v>13</v>
      </c>
      <c r="D460">
        <v>415</v>
      </c>
      <c r="E460">
        <v>403</v>
      </c>
      <c r="F460">
        <v>6</v>
      </c>
      <c r="G460" t="s">
        <v>1073</v>
      </c>
      <c r="H460" t="s">
        <v>1070</v>
      </c>
    </row>
    <row r="461" spans="1:8">
      <c r="A461" t="s">
        <v>1529</v>
      </c>
      <c r="B461" s="2">
        <v>45997</v>
      </c>
      <c r="C461" t="s">
        <v>52</v>
      </c>
      <c r="D461">
        <v>398</v>
      </c>
      <c r="E461">
        <v>378</v>
      </c>
      <c r="F461">
        <v>11</v>
      </c>
      <c r="G461" t="s">
        <v>1073</v>
      </c>
      <c r="H461" t="s">
        <v>1075</v>
      </c>
    </row>
    <row r="462" spans="1:8">
      <c r="A462" t="s">
        <v>1530</v>
      </c>
      <c r="B462" s="2">
        <v>45997</v>
      </c>
      <c r="C462" t="s">
        <v>52</v>
      </c>
      <c r="D462">
        <v>247</v>
      </c>
      <c r="E462">
        <v>232</v>
      </c>
      <c r="F462">
        <v>8</v>
      </c>
      <c r="G462" t="s">
        <v>1073</v>
      </c>
      <c r="H462" t="s">
        <v>1075</v>
      </c>
    </row>
    <row r="463" spans="1:8">
      <c r="A463" t="s">
        <v>1531</v>
      </c>
      <c r="B463" s="2">
        <v>45998</v>
      </c>
      <c r="C463" t="s">
        <v>52</v>
      </c>
      <c r="D463">
        <v>227</v>
      </c>
      <c r="E463">
        <v>216</v>
      </c>
      <c r="F463">
        <v>3</v>
      </c>
      <c r="G463" t="s">
        <v>1064</v>
      </c>
      <c r="H463" t="s">
        <v>1075</v>
      </c>
    </row>
    <row r="464" spans="1:8">
      <c r="A464" t="s">
        <v>1532</v>
      </c>
      <c r="B464" s="2">
        <v>45999</v>
      </c>
      <c r="C464" t="s">
        <v>33</v>
      </c>
      <c r="D464">
        <v>151</v>
      </c>
      <c r="E464">
        <v>139</v>
      </c>
      <c r="F464">
        <v>4</v>
      </c>
      <c r="G464" t="s">
        <v>1073</v>
      </c>
      <c r="H464" t="s">
        <v>1070</v>
      </c>
    </row>
    <row r="465" spans="1:8">
      <c r="A465" t="s">
        <v>1533</v>
      </c>
      <c r="B465" s="2">
        <v>45999</v>
      </c>
      <c r="C465" t="s">
        <v>25</v>
      </c>
      <c r="D465">
        <v>262</v>
      </c>
      <c r="E465">
        <v>258</v>
      </c>
      <c r="F465">
        <v>2</v>
      </c>
      <c r="G465" t="s">
        <v>1073</v>
      </c>
      <c r="H465" t="s">
        <v>1065</v>
      </c>
    </row>
    <row r="466" spans="1:8">
      <c r="A466" t="s">
        <v>1534</v>
      </c>
      <c r="B466" s="2">
        <v>46000</v>
      </c>
      <c r="C466" t="s">
        <v>33</v>
      </c>
      <c r="D466">
        <v>100</v>
      </c>
      <c r="E466">
        <v>97</v>
      </c>
      <c r="F466">
        <v>0</v>
      </c>
      <c r="G466" t="s">
        <v>1067</v>
      </c>
      <c r="H466" t="s">
        <v>1070</v>
      </c>
    </row>
    <row r="467" spans="1:8">
      <c r="A467" t="s">
        <v>1535</v>
      </c>
      <c r="B467" s="2">
        <v>46002</v>
      </c>
      <c r="C467" t="s">
        <v>25</v>
      </c>
      <c r="D467">
        <v>260</v>
      </c>
      <c r="E467">
        <v>250</v>
      </c>
      <c r="F467">
        <v>9</v>
      </c>
      <c r="G467" t="s">
        <v>1064</v>
      </c>
      <c r="H467" t="s">
        <v>1065</v>
      </c>
    </row>
    <row r="468" spans="1:8">
      <c r="A468" t="s">
        <v>1536</v>
      </c>
      <c r="B468" s="2">
        <v>46002</v>
      </c>
      <c r="C468" t="s">
        <v>48</v>
      </c>
      <c r="D468">
        <v>353</v>
      </c>
      <c r="E468">
        <v>322</v>
      </c>
      <c r="F468">
        <v>11</v>
      </c>
      <c r="G468" t="s">
        <v>1073</v>
      </c>
      <c r="H468" t="s">
        <v>1075</v>
      </c>
    </row>
    <row r="469" spans="1:8">
      <c r="A469" t="s">
        <v>1537</v>
      </c>
      <c r="B469" s="2">
        <v>46004</v>
      </c>
      <c r="C469" t="s">
        <v>8</v>
      </c>
      <c r="D469">
        <v>353</v>
      </c>
      <c r="E469">
        <v>333</v>
      </c>
      <c r="F469">
        <v>9</v>
      </c>
      <c r="G469" t="s">
        <v>1064</v>
      </c>
      <c r="H469" t="s">
        <v>1070</v>
      </c>
    </row>
    <row r="470" spans="1:8">
      <c r="A470" t="s">
        <v>1538</v>
      </c>
      <c r="B470" s="2">
        <v>46005</v>
      </c>
      <c r="C470" t="s">
        <v>48</v>
      </c>
      <c r="D470">
        <v>362</v>
      </c>
      <c r="E470">
        <v>352</v>
      </c>
      <c r="F470">
        <v>9</v>
      </c>
      <c r="G470" t="s">
        <v>1067</v>
      </c>
      <c r="H470" t="s">
        <v>1075</v>
      </c>
    </row>
    <row r="471" spans="1:8">
      <c r="A471" t="s">
        <v>1539</v>
      </c>
      <c r="B471" s="2">
        <v>46005</v>
      </c>
      <c r="C471" t="s">
        <v>48</v>
      </c>
      <c r="D471">
        <v>445</v>
      </c>
      <c r="E471">
        <v>429</v>
      </c>
      <c r="F471">
        <v>13</v>
      </c>
      <c r="G471" t="s">
        <v>1064</v>
      </c>
      <c r="H471" t="s">
        <v>1075</v>
      </c>
    </row>
    <row r="472" spans="1:8">
      <c r="A472" t="s">
        <v>1540</v>
      </c>
      <c r="B472" s="2">
        <v>46005</v>
      </c>
      <c r="C472" t="s">
        <v>17</v>
      </c>
      <c r="D472">
        <v>422</v>
      </c>
      <c r="E472">
        <v>399</v>
      </c>
      <c r="F472">
        <v>10</v>
      </c>
      <c r="G472" t="s">
        <v>1073</v>
      </c>
      <c r="H472" t="s">
        <v>1065</v>
      </c>
    </row>
    <row r="473" spans="1:8">
      <c r="A473" t="s">
        <v>1541</v>
      </c>
      <c r="B473" s="2">
        <v>46006</v>
      </c>
      <c r="C473" t="s">
        <v>25</v>
      </c>
      <c r="D473">
        <v>221</v>
      </c>
      <c r="E473">
        <v>218</v>
      </c>
      <c r="F473">
        <v>3</v>
      </c>
      <c r="G473" t="s">
        <v>1067</v>
      </c>
      <c r="H473" t="s">
        <v>1065</v>
      </c>
    </row>
    <row r="474" spans="1:8">
      <c r="A474" t="s">
        <v>1542</v>
      </c>
      <c r="B474" s="2">
        <v>46006</v>
      </c>
      <c r="C474" t="s">
        <v>37</v>
      </c>
      <c r="D474">
        <v>122</v>
      </c>
      <c r="E474">
        <v>115</v>
      </c>
      <c r="F474">
        <v>1</v>
      </c>
      <c r="G474" t="s">
        <v>1073</v>
      </c>
      <c r="H474" t="s">
        <v>1070</v>
      </c>
    </row>
    <row r="475" spans="1:8">
      <c r="A475" t="s">
        <v>1543</v>
      </c>
      <c r="B475" s="2">
        <v>46007</v>
      </c>
      <c r="C475" t="s">
        <v>25</v>
      </c>
      <c r="D475">
        <v>390</v>
      </c>
      <c r="E475">
        <v>379</v>
      </c>
      <c r="F475">
        <v>10</v>
      </c>
      <c r="G475" t="s">
        <v>1064</v>
      </c>
      <c r="H475" t="s">
        <v>1065</v>
      </c>
    </row>
    <row r="476" spans="1:8">
      <c r="A476" t="s">
        <v>1544</v>
      </c>
      <c r="B476" s="2">
        <v>46008</v>
      </c>
      <c r="C476" t="s">
        <v>41</v>
      </c>
      <c r="D476">
        <v>371</v>
      </c>
      <c r="E476">
        <v>341</v>
      </c>
      <c r="F476">
        <v>8</v>
      </c>
      <c r="G476" t="s">
        <v>1064</v>
      </c>
      <c r="H476" t="s">
        <v>1083</v>
      </c>
    </row>
    <row r="477" spans="1:8">
      <c r="A477" t="s">
        <v>1545</v>
      </c>
      <c r="B477" s="2">
        <v>46008</v>
      </c>
      <c r="C477" t="s">
        <v>33</v>
      </c>
      <c r="D477">
        <v>149</v>
      </c>
      <c r="E477">
        <v>145</v>
      </c>
      <c r="F477">
        <v>1</v>
      </c>
      <c r="G477" t="s">
        <v>1067</v>
      </c>
      <c r="H477" t="s">
        <v>1070</v>
      </c>
    </row>
    <row r="478" spans="1:8">
      <c r="A478" t="s">
        <v>1546</v>
      </c>
      <c r="B478" s="2">
        <v>46009</v>
      </c>
      <c r="C478" t="s">
        <v>45</v>
      </c>
      <c r="D478">
        <v>98</v>
      </c>
      <c r="E478">
        <v>91</v>
      </c>
      <c r="F478">
        <v>2</v>
      </c>
      <c r="G478" t="s">
        <v>1064</v>
      </c>
      <c r="H478" t="s">
        <v>1083</v>
      </c>
    </row>
    <row r="479" spans="1:8">
      <c r="A479" t="s">
        <v>1547</v>
      </c>
      <c r="B479" s="2">
        <v>46010</v>
      </c>
      <c r="C479" t="s">
        <v>41</v>
      </c>
      <c r="D479">
        <v>266</v>
      </c>
      <c r="E479">
        <v>248</v>
      </c>
      <c r="F479">
        <v>5</v>
      </c>
      <c r="G479" t="s">
        <v>1073</v>
      </c>
      <c r="H479" t="s">
        <v>1083</v>
      </c>
    </row>
    <row r="480" spans="1:8">
      <c r="A480" t="s">
        <v>1548</v>
      </c>
      <c r="B480" s="2">
        <v>46010</v>
      </c>
      <c r="C480" t="s">
        <v>13</v>
      </c>
      <c r="D480">
        <v>180</v>
      </c>
      <c r="E480">
        <v>171</v>
      </c>
      <c r="F480">
        <v>4</v>
      </c>
      <c r="G480" t="s">
        <v>1073</v>
      </c>
      <c r="H480" t="s">
        <v>1070</v>
      </c>
    </row>
    <row r="481" spans="1:8">
      <c r="A481" t="s">
        <v>1549</v>
      </c>
      <c r="B481" s="2">
        <v>46011</v>
      </c>
      <c r="C481" t="s">
        <v>33</v>
      </c>
      <c r="D481">
        <v>102</v>
      </c>
      <c r="E481">
        <v>97</v>
      </c>
      <c r="F481">
        <v>2</v>
      </c>
      <c r="G481" t="s">
        <v>1073</v>
      </c>
      <c r="H481" t="s">
        <v>1070</v>
      </c>
    </row>
    <row r="482" spans="1:8">
      <c r="A482" t="s">
        <v>1550</v>
      </c>
      <c r="B482" s="2">
        <v>46011</v>
      </c>
      <c r="C482" t="s">
        <v>25</v>
      </c>
      <c r="D482">
        <v>435</v>
      </c>
      <c r="E482">
        <v>408</v>
      </c>
      <c r="F482">
        <v>9</v>
      </c>
      <c r="G482" t="s">
        <v>1064</v>
      </c>
      <c r="H482" t="s">
        <v>1065</v>
      </c>
    </row>
    <row r="483" spans="1:8">
      <c r="A483" t="s">
        <v>1551</v>
      </c>
      <c r="B483" s="2">
        <v>46011</v>
      </c>
      <c r="C483" t="s">
        <v>41</v>
      </c>
      <c r="D483">
        <v>334</v>
      </c>
      <c r="E483">
        <v>329</v>
      </c>
      <c r="F483">
        <v>4</v>
      </c>
      <c r="G483" t="s">
        <v>1073</v>
      </c>
      <c r="H483" t="s">
        <v>1083</v>
      </c>
    </row>
    <row r="484" spans="1:8">
      <c r="A484" t="s">
        <v>1552</v>
      </c>
      <c r="B484" s="2">
        <v>46011</v>
      </c>
      <c r="C484" t="s">
        <v>48</v>
      </c>
      <c r="D484">
        <v>292</v>
      </c>
      <c r="E484">
        <v>266</v>
      </c>
      <c r="F484">
        <v>10</v>
      </c>
      <c r="G484" t="s">
        <v>1064</v>
      </c>
      <c r="H484" t="s">
        <v>1075</v>
      </c>
    </row>
    <row r="485" spans="1:8">
      <c r="A485" t="s">
        <v>1553</v>
      </c>
      <c r="B485" s="2">
        <v>46012</v>
      </c>
      <c r="C485" t="s">
        <v>52</v>
      </c>
      <c r="D485">
        <v>232</v>
      </c>
      <c r="E485">
        <v>222</v>
      </c>
      <c r="F485">
        <v>4</v>
      </c>
      <c r="G485" t="s">
        <v>1067</v>
      </c>
      <c r="H485" t="s">
        <v>1075</v>
      </c>
    </row>
    <row r="486" spans="1:8">
      <c r="A486" t="s">
        <v>1554</v>
      </c>
      <c r="B486" s="2">
        <v>46013</v>
      </c>
      <c r="C486" t="s">
        <v>25</v>
      </c>
      <c r="D486">
        <v>447</v>
      </c>
      <c r="E486">
        <v>415</v>
      </c>
      <c r="F486">
        <v>8</v>
      </c>
      <c r="G486" t="s">
        <v>1073</v>
      </c>
      <c r="H486" t="s">
        <v>1065</v>
      </c>
    </row>
    <row r="487" spans="1:8">
      <c r="A487" t="s">
        <v>1555</v>
      </c>
      <c r="B487" s="2">
        <v>46013</v>
      </c>
      <c r="C487" t="s">
        <v>45</v>
      </c>
      <c r="D487">
        <v>233</v>
      </c>
      <c r="E487">
        <v>220</v>
      </c>
      <c r="F487">
        <v>8</v>
      </c>
      <c r="G487" t="s">
        <v>1073</v>
      </c>
      <c r="H487" t="s">
        <v>1083</v>
      </c>
    </row>
    <row r="488" spans="1:8">
      <c r="A488" t="s">
        <v>1556</v>
      </c>
      <c r="B488" s="2">
        <v>46013</v>
      </c>
      <c r="C488" t="s">
        <v>8</v>
      </c>
      <c r="D488">
        <v>474</v>
      </c>
      <c r="E488">
        <v>439</v>
      </c>
      <c r="F488">
        <v>9</v>
      </c>
      <c r="G488" t="s">
        <v>1073</v>
      </c>
      <c r="H488" t="s">
        <v>1070</v>
      </c>
    </row>
    <row r="489" spans="1:8">
      <c r="A489" t="s">
        <v>1557</v>
      </c>
      <c r="B489" s="2">
        <v>46013</v>
      </c>
      <c r="C489" t="s">
        <v>13</v>
      </c>
      <c r="D489">
        <v>274</v>
      </c>
      <c r="E489">
        <v>269</v>
      </c>
      <c r="F489">
        <v>3</v>
      </c>
      <c r="G489" t="s">
        <v>1067</v>
      </c>
      <c r="H489" t="s">
        <v>1070</v>
      </c>
    </row>
    <row r="490" spans="1:8">
      <c r="A490" t="s">
        <v>1558</v>
      </c>
      <c r="B490" s="2">
        <v>46014</v>
      </c>
      <c r="C490" t="s">
        <v>13</v>
      </c>
      <c r="D490">
        <v>118</v>
      </c>
      <c r="E490">
        <v>108</v>
      </c>
      <c r="F490">
        <v>3</v>
      </c>
      <c r="G490" t="s">
        <v>1067</v>
      </c>
      <c r="H490" t="s">
        <v>1070</v>
      </c>
    </row>
    <row r="491" spans="1:8">
      <c r="A491" t="s">
        <v>1559</v>
      </c>
      <c r="B491" s="2">
        <v>46017</v>
      </c>
      <c r="C491" t="s">
        <v>25</v>
      </c>
      <c r="D491">
        <v>190</v>
      </c>
      <c r="E491">
        <v>182</v>
      </c>
      <c r="F491">
        <v>4</v>
      </c>
      <c r="G491" t="s">
        <v>1073</v>
      </c>
      <c r="H491" t="s">
        <v>1065</v>
      </c>
    </row>
    <row r="492" spans="1:8">
      <c r="A492" t="s">
        <v>1560</v>
      </c>
      <c r="B492" s="2">
        <v>46017</v>
      </c>
      <c r="C492" t="s">
        <v>45</v>
      </c>
      <c r="D492">
        <v>292</v>
      </c>
      <c r="E492">
        <v>278</v>
      </c>
      <c r="F492">
        <v>7</v>
      </c>
      <c r="G492" t="s">
        <v>1064</v>
      </c>
      <c r="H492" t="s">
        <v>1083</v>
      </c>
    </row>
    <row r="493" spans="1:8">
      <c r="A493" t="s">
        <v>1561</v>
      </c>
      <c r="B493" s="2">
        <v>46017</v>
      </c>
      <c r="C493" t="s">
        <v>33</v>
      </c>
      <c r="D493">
        <v>208</v>
      </c>
      <c r="E493">
        <v>197</v>
      </c>
      <c r="F493">
        <v>5</v>
      </c>
      <c r="G493" t="s">
        <v>1067</v>
      </c>
      <c r="H493" t="s">
        <v>1070</v>
      </c>
    </row>
    <row r="494" spans="1:8">
      <c r="A494" t="s">
        <v>1562</v>
      </c>
      <c r="B494" s="2">
        <v>46018</v>
      </c>
      <c r="C494" t="s">
        <v>37</v>
      </c>
      <c r="D494">
        <v>170</v>
      </c>
      <c r="E494">
        <v>164</v>
      </c>
      <c r="F494">
        <v>3</v>
      </c>
      <c r="G494" t="s">
        <v>1073</v>
      </c>
      <c r="H494" t="s">
        <v>1070</v>
      </c>
    </row>
    <row r="495" spans="1:8">
      <c r="A495" t="s">
        <v>1563</v>
      </c>
      <c r="B495" s="2">
        <v>46018</v>
      </c>
      <c r="C495" t="s">
        <v>13</v>
      </c>
      <c r="D495">
        <v>294</v>
      </c>
      <c r="E495">
        <v>279</v>
      </c>
      <c r="F495">
        <v>7</v>
      </c>
      <c r="G495" t="s">
        <v>1067</v>
      </c>
      <c r="H495" t="s">
        <v>1070</v>
      </c>
    </row>
    <row r="496" spans="1:8">
      <c r="A496" t="s">
        <v>1564</v>
      </c>
      <c r="B496" s="2">
        <v>46018</v>
      </c>
      <c r="C496" t="s">
        <v>17</v>
      </c>
      <c r="D496">
        <v>288</v>
      </c>
      <c r="E496">
        <v>268</v>
      </c>
      <c r="F496">
        <v>7</v>
      </c>
      <c r="G496" t="s">
        <v>1064</v>
      </c>
      <c r="H496" t="s">
        <v>1065</v>
      </c>
    </row>
    <row r="497" spans="1:8">
      <c r="A497" t="s">
        <v>1565</v>
      </c>
      <c r="B497" s="2">
        <v>46019</v>
      </c>
      <c r="C497" t="s">
        <v>13</v>
      </c>
      <c r="D497">
        <v>434</v>
      </c>
      <c r="E497">
        <v>416</v>
      </c>
      <c r="F497">
        <v>11</v>
      </c>
      <c r="G497" t="s">
        <v>1073</v>
      </c>
      <c r="H497" t="s">
        <v>1070</v>
      </c>
    </row>
    <row r="498" spans="1:8">
      <c r="A498" t="s">
        <v>1566</v>
      </c>
      <c r="B498" s="2">
        <v>46020</v>
      </c>
      <c r="C498" t="s">
        <v>45</v>
      </c>
      <c r="D498">
        <v>297</v>
      </c>
      <c r="E498">
        <v>294</v>
      </c>
      <c r="F498">
        <v>1</v>
      </c>
      <c r="G498" t="s">
        <v>1067</v>
      </c>
      <c r="H498" t="s">
        <v>1083</v>
      </c>
    </row>
    <row r="499" spans="1:8">
      <c r="A499" t="s">
        <v>1567</v>
      </c>
      <c r="B499" s="2">
        <v>46020</v>
      </c>
      <c r="C499" t="s">
        <v>45</v>
      </c>
      <c r="D499">
        <v>183</v>
      </c>
      <c r="E499">
        <v>171</v>
      </c>
      <c r="F499">
        <v>4</v>
      </c>
      <c r="G499" t="s">
        <v>1073</v>
      </c>
      <c r="H499" t="s">
        <v>1083</v>
      </c>
    </row>
    <row r="500" spans="1:8">
      <c r="A500" t="s">
        <v>1568</v>
      </c>
      <c r="B500" s="2">
        <v>46021</v>
      </c>
      <c r="C500" t="s">
        <v>13</v>
      </c>
      <c r="D500">
        <v>141</v>
      </c>
      <c r="E500">
        <v>138</v>
      </c>
      <c r="F500">
        <v>3</v>
      </c>
      <c r="G500" t="s">
        <v>1073</v>
      </c>
      <c r="H500" t="s">
        <v>1070</v>
      </c>
    </row>
    <row r="501" spans="1:8">
      <c r="A501" t="s">
        <v>1569</v>
      </c>
      <c r="B501" s="2">
        <v>46022</v>
      </c>
      <c r="C501" t="s">
        <v>52</v>
      </c>
      <c r="D501">
        <v>209</v>
      </c>
      <c r="E501">
        <v>204</v>
      </c>
      <c r="F501">
        <v>4</v>
      </c>
      <c r="G501" t="s">
        <v>1064</v>
      </c>
      <c r="H501" t="s">
        <v>1075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29EF-E83C-4FB4-A7C7-0E03A5610856}">
  <dimension ref="A1:G6230"/>
  <sheetViews>
    <sheetView topLeftCell="A6204" workbookViewId="0">
      <selection activeCell="C6230" sqref="C6230"/>
    </sheetView>
  </sheetViews>
  <sheetFormatPr defaultRowHeight="14.4"/>
  <cols>
    <col min="1" max="1" width="24.6640625" customWidth="1"/>
    <col min="2" max="2" width="18" bestFit="1" customWidth="1"/>
    <col min="3" max="3" width="12.6640625" customWidth="1"/>
    <col min="4" max="4" width="17.77734375" customWidth="1"/>
    <col min="5" max="5" width="10.21875" customWidth="1"/>
    <col min="6" max="6" width="21.109375" bestFit="1" customWidth="1"/>
    <col min="7" max="7" width="14.109375" customWidth="1"/>
  </cols>
  <sheetData>
    <row r="1" spans="1:7">
      <c r="A1" s="3" t="s">
        <v>1570</v>
      </c>
      <c r="B1" s="3" t="s">
        <v>1571</v>
      </c>
      <c r="C1" s="3" t="s">
        <v>55</v>
      </c>
      <c r="D1" s="3" t="s">
        <v>1572</v>
      </c>
      <c r="E1" s="3" t="s">
        <v>1573</v>
      </c>
      <c r="F1" s="3" t="s">
        <v>1574</v>
      </c>
      <c r="G1" s="3" t="s">
        <v>1575</v>
      </c>
    </row>
    <row r="2" spans="1:7">
      <c r="A2" t="s">
        <v>1576</v>
      </c>
      <c r="B2" s="2">
        <v>45658</v>
      </c>
      <c r="C2" t="s">
        <v>61</v>
      </c>
      <c r="D2" t="s">
        <v>1577</v>
      </c>
      <c r="E2">
        <v>107702.23</v>
      </c>
      <c r="F2" t="s">
        <v>1578</v>
      </c>
      <c r="G2" t="s">
        <v>1579</v>
      </c>
    </row>
    <row r="3" spans="1:7">
      <c r="A3" t="s">
        <v>1580</v>
      </c>
      <c r="B3" s="2">
        <v>45658</v>
      </c>
      <c r="C3" t="s">
        <v>65</v>
      </c>
      <c r="D3" t="s">
        <v>1577</v>
      </c>
      <c r="E3">
        <v>104399.24</v>
      </c>
      <c r="F3" t="s">
        <v>1578</v>
      </c>
      <c r="G3" t="s">
        <v>1581</v>
      </c>
    </row>
    <row r="4" spans="1:7">
      <c r="A4" t="s">
        <v>1582</v>
      </c>
      <c r="B4" s="2">
        <v>45658</v>
      </c>
      <c r="C4" t="s">
        <v>68</v>
      </c>
      <c r="D4" t="s">
        <v>1577</v>
      </c>
      <c r="E4">
        <v>92577.44</v>
      </c>
      <c r="F4" t="s">
        <v>1578</v>
      </c>
      <c r="G4" t="s">
        <v>1583</v>
      </c>
    </row>
    <row r="5" spans="1:7">
      <c r="A5" t="s">
        <v>1584</v>
      </c>
      <c r="B5" s="2">
        <v>45658</v>
      </c>
      <c r="C5" t="s">
        <v>70</v>
      </c>
      <c r="D5" t="s">
        <v>1577</v>
      </c>
      <c r="E5">
        <v>70351.839999999997</v>
      </c>
      <c r="F5" t="s">
        <v>1578</v>
      </c>
      <c r="G5" t="s">
        <v>1585</v>
      </c>
    </row>
    <row r="6" spans="1:7">
      <c r="A6" t="s">
        <v>1586</v>
      </c>
      <c r="B6" s="2">
        <v>45658</v>
      </c>
      <c r="C6" t="s">
        <v>73</v>
      </c>
      <c r="D6" t="s">
        <v>1577</v>
      </c>
      <c r="E6">
        <v>13736.33</v>
      </c>
      <c r="F6" t="s">
        <v>1578</v>
      </c>
      <c r="G6" t="s">
        <v>1587</v>
      </c>
    </row>
    <row r="7" spans="1:7">
      <c r="A7" t="s">
        <v>1588</v>
      </c>
      <c r="B7" s="2">
        <v>45658</v>
      </c>
      <c r="C7" t="s">
        <v>75</v>
      </c>
      <c r="D7" t="s">
        <v>1577</v>
      </c>
      <c r="E7">
        <v>157964.32999999999</v>
      </c>
      <c r="F7" t="s">
        <v>1578</v>
      </c>
      <c r="G7" t="s">
        <v>1589</v>
      </c>
    </row>
    <row r="8" spans="1:7">
      <c r="A8" t="s">
        <v>1590</v>
      </c>
      <c r="B8" s="2">
        <v>45658</v>
      </c>
      <c r="C8" t="s">
        <v>77</v>
      </c>
      <c r="D8" t="s">
        <v>1577</v>
      </c>
      <c r="E8">
        <v>71100.84</v>
      </c>
      <c r="F8" t="s">
        <v>1578</v>
      </c>
      <c r="G8" t="s">
        <v>1591</v>
      </c>
    </row>
    <row r="9" spans="1:7">
      <c r="A9" t="s">
        <v>1592</v>
      </c>
      <c r="B9" s="2">
        <v>45658</v>
      </c>
      <c r="C9" t="s">
        <v>79</v>
      </c>
      <c r="D9" t="s">
        <v>1577</v>
      </c>
      <c r="E9">
        <v>106972.23</v>
      </c>
      <c r="F9" t="s">
        <v>1578</v>
      </c>
      <c r="G9" t="s">
        <v>1593</v>
      </c>
    </row>
    <row r="10" spans="1:7">
      <c r="A10" t="s">
        <v>1594</v>
      </c>
      <c r="B10" s="2">
        <v>45658</v>
      </c>
      <c r="C10" t="s">
        <v>81</v>
      </c>
      <c r="D10" t="s">
        <v>1577</v>
      </c>
      <c r="E10">
        <v>214598.08</v>
      </c>
      <c r="F10" t="s">
        <v>1578</v>
      </c>
      <c r="G10" t="s">
        <v>1595</v>
      </c>
    </row>
    <row r="11" spans="1:7">
      <c r="A11" t="s">
        <v>1596</v>
      </c>
      <c r="B11" s="2">
        <v>45658</v>
      </c>
      <c r="C11" t="s">
        <v>84</v>
      </c>
      <c r="D11" t="s">
        <v>1577</v>
      </c>
      <c r="E11">
        <v>501.92</v>
      </c>
      <c r="F11" t="s">
        <v>1578</v>
      </c>
      <c r="G11" t="s">
        <v>1597</v>
      </c>
    </row>
    <row r="12" spans="1:7">
      <c r="A12" t="s">
        <v>1598</v>
      </c>
      <c r="B12" s="2">
        <v>45658</v>
      </c>
      <c r="C12" t="s">
        <v>87</v>
      </c>
      <c r="D12" t="s">
        <v>1577</v>
      </c>
      <c r="E12">
        <v>200</v>
      </c>
      <c r="F12" t="s">
        <v>1578</v>
      </c>
      <c r="G12" t="s">
        <v>1599</v>
      </c>
    </row>
    <row r="13" spans="1:7">
      <c r="A13" t="s">
        <v>1600</v>
      </c>
      <c r="B13" s="2">
        <v>45658</v>
      </c>
      <c r="C13" t="s">
        <v>89</v>
      </c>
      <c r="D13" t="s">
        <v>1577</v>
      </c>
      <c r="E13">
        <v>6216.71</v>
      </c>
      <c r="F13" t="s">
        <v>1578</v>
      </c>
      <c r="G13" t="s">
        <v>1601</v>
      </c>
    </row>
    <row r="14" spans="1:7">
      <c r="A14" t="s">
        <v>1602</v>
      </c>
      <c r="B14" s="2">
        <v>45658</v>
      </c>
      <c r="C14" t="s">
        <v>91</v>
      </c>
      <c r="D14" t="s">
        <v>1577</v>
      </c>
      <c r="E14">
        <v>16882.259999999998</v>
      </c>
      <c r="F14" t="s">
        <v>1578</v>
      </c>
      <c r="G14" t="s">
        <v>1603</v>
      </c>
    </row>
    <row r="15" spans="1:7">
      <c r="A15" t="s">
        <v>1604</v>
      </c>
      <c r="B15" s="2">
        <v>45658</v>
      </c>
      <c r="C15" t="s">
        <v>93</v>
      </c>
      <c r="D15" t="s">
        <v>1577</v>
      </c>
      <c r="E15">
        <v>17433.64</v>
      </c>
      <c r="F15" t="s">
        <v>1578</v>
      </c>
      <c r="G15" t="s">
        <v>1605</v>
      </c>
    </row>
    <row r="16" spans="1:7">
      <c r="A16" t="s">
        <v>1606</v>
      </c>
      <c r="B16" s="2">
        <v>45658</v>
      </c>
      <c r="C16" t="s">
        <v>95</v>
      </c>
      <c r="D16" t="s">
        <v>1577</v>
      </c>
      <c r="E16">
        <v>17012.79</v>
      </c>
      <c r="F16" t="s">
        <v>1578</v>
      </c>
      <c r="G16" t="s">
        <v>1607</v>
      </c>
    </row>
    <row r="17" spans="1:7">
      <c r="A17" t="s">
        <v>1608</v>
      </c>
      <c r="B17" s="2">
        <v>45658</v>
      </c>
      <c r="C17" t="s">
        <v>97</v>
      </c>
      <c r="D17" t="s">
        <v>1577</v>
      </c>
      <c r="E17">
        <v>33509.910000000003</v>
      </c>
      <c r="F17" t="s">
        <v>1578</v>
      </c>
      <c r="G17" t="s">
        <v>1609</v>
      </c>
    </row>
    <row r="18" spans="1:7">
      <c r="A18" t="s">
        <v>1610</v>
      </c>
      <c r="B18" s="2">
        <v>45658</v>
      </c>
      <c r="C18" t="s">
        <v>99</v>
      </c>
      <c r="D18" t="s">
        <v>1577</v>
      </c>
      <c r="E18">
        <v>15994.71</v>
      </c>
      <c r="F18" t="s">
        <v>1578</v>
      </c>
      <c r="G18" t="s">
        <v>1611</v>
      </c>
    </row>
    <row r="19" spans="1:7">
      <c r="A19" t="s">
        <v>1612</v>
      </c>
      <c r="B19" s="2">
        <v>45658</v>
      </c>
      <c r="C19" t="s">
        <v>102</v>
      </c>
      <c r="D19" t="s">
        <v>1577</v>
      </c>
      <c r="E19">
        <v>18516.64</v>
      </c>
      <c r="F19" t="s">
        <v>1578</v>
      </c>
      <c r="G19" t="s">
        <v>1613</v>
      </c>
    </row>
    <row r="20" spans="1:7">
      <c r="A20" t="s">
        <v>1614</v>
      </c>
      <c r="B20" s="2">
        <v>45658</v>
      </c>
      <c r="C20" t="s">
        <v>104</v>
      </c>
      <c r="D20" t="s">
        <v>1577</v>
      </c>
      <c r="E20">
        <v>16531.52</v>
      </c>
      <c r="F20" t="s">
        <v>1578</v>
      </c>
      <c r="G20" t="s">
        <v>1615</v>
      </c>
    </row>
    <row r="21" spans="1:7">
      <c r="A21" t="s">
        <v>1616</v>
      </c>
      <c r="B21" s="2">
        <v>45658</v>
      </c>
      <c r="C21" t="s">
        <v>106</v>
      </c>
      <c r="D21" t="s">
        <v>1577</v>
      </c>
      <c r="E21">
        <v>6876.61</v>
      </c>
      <c r="F21" t="s">
        <v>1578</v>
      </c>
      <c r="G21" t="s">
        <v>1617</v>
      </c>
    </row>
    <row r="22" spans="1:7">
      <c r="A22" t="s">
        <v>1618</v>
      </c>
      <c r="B22" s="2">
        <v>45658</v>
      </c>
      <c r="C22" t="s">
        <v>108</v>
      </c>
      <c r="D22" t="s">
        <v>1577</v>
      </c>
      <c r="E22">
        <v>162957.07</v>
      </c>
      <c r="F22" t="s">
        <v>1578</v>
      </c>
      <c r="G22" t="s">
        <v>1619</v>
      </c>
    </row>
    <row r="23" spans="1:7">
      <c r="A23" t="s">
        <v>1620</v>
      </c>
      <c r="B23" s="2">
        <v>45658</v>
      </c>
      <c r="C23" t="s">
        <v>110</v>
      </c>
      <c r="D23" t="s">
        <v>1577</v>
      </c>
      <c r="E23">
        <v>155496.1</v>
      </c>
      <c r="F23" t="s">
        <v>1578</v>
      </c>
      <c r="G23" t="s">
        <v>1621</v>
      </c>
    </row>
    <row r="24" spans="1:7">
      <c r="A24" t="s">
        <v>1622</v>
      </c>
      <c r="B24" s="2">
        <v>45658</v>
      </c>
      <c r="C24" t="s">
        <v>114</v>
      </c>
      <c r="D24" t="s">
        <v>1577</v>
      </c>
      <c r="E24">
        <v>151748.32999999999</v>
      </c>
      <c r="F24" t="s">
        <v>1578</v>
      </c>
      <c r="G24" t="s">
        <v>1623</v>
      </c>
    </row>
    <row r="25" spans="1:7">
      <c r="A25" t="s">
        <v>1624</v>
      </c>
      <c r="B25" s="2">
        <v>45658</v>
      </c>
      <c r="C25" t="s">
        <v>117</v>
      </c>
      <c r="D25" t="s">
        <v>1577</v>
      </c>
      <c r="E25">
        <v>152452.54</v>
      </c>
      <c r="F25" t="s">
        <v>1578</v>
      </c>
      <c r="G25" t="s">
        <v>1625</v>
      </c>
    </row>
    <row r="26" spans="1:7">
      <c r="A26" t="s">
        <v>1626</v>
      </c>
      <c r="B26" s="2">
        <v>45658</v>
      </c>
      <c r="C26" t="s">
        <v>119</v>
      </c>
      <c r="D26" t="s">
        <v>1577</v>
      </c>
      <c r="E26">
        <v>155828.32999999999</v>
      </c>
      <c r="F26" t="s">
        <v>1578</v>
      </c>
      <c r="G26" t="s">
        <v>1627</v>
      </c>
    </row>
    <row r="27" spans="1:7">
      <c r="A27" t="s">
        <v>1628</v>
      </c>
      <c r="B27" s="2">
        <v>45658</v>
      </c>
      <c r="C27" t="s">
        <v>61</v>
      </c>
      <c r="D27" t="s">
        <v>1629</v>
      </c>
      <c r="E27">
        <v>432.48</v>
      </c>
      <c r="F27" t="s">
        <v>1578</v>
      </c>
      <c r="G27" t="s">
        <v>1063</v>
      </c>
    </row>
    <row r="28" spans="1:7">
      <c r="A28" t="s">
        <v>1630</v>
      </c>
      <c r="B28" s="2">
        <v>45658</v>
      </c>
      <c r="C28" t="s">
        <v>65</v>
      </c>
      <c r="D28" t="s">
        <v>1629</v>
      </c>
      <c r="E28">
        <v>430.36</v>
      </c>
      <c r="F28" t="s">
        <v>1578</v>
      </c>
      <c r="G28" t="s">
        <v>1063</v>
      </c>
    </row>
    <row r="29" spans="1:7">
      <c r="A29" t="s">
        <v>1631</v>
      </c>
      <c r="B29" s="2">
        <v>45658</v>
      </c>
      <c r="C29" t="s">
        <v>68</v>
      </c>
      <c r="D29" t="s">
        <v>1629</v>
      </c>
      <c r="E29">
        <v>432.48</v>
      </c>
      <c r="F29" t="s">
        <v>1578</v>
      </c>
      <c r="G29" t="s">
        <v>1063</v>
      </c>
    </row>
    <row r="30" spans="1:7">
      <c r="A30" t="s">
        <v>1632</v>
      </c>
      <c r="B30" s="2">
        <v>45658</v>
      </c>
      <c r="C30" t="s">
        <v>70</v>
      </c>
      <c r="D30" t="s">
        <v>1629</v>
      </c>
      <c r="E30">
        <v>428.24</v>
      </c>
      <c r="F30" t="s">
        <v>1578</v>
      </c>
      <c r="G30" t="s">
        <v>1063</v>
      </c>
    </row>
    <row r="31" spans="1:7">
      <c r="A31" t="s">
        <v>1633</v>
      </c>
      <c r="B31" s="2">
        <v>45658</v>
      </c>
      <c r="C31" t="s">
        <v>73</v>
      </c>
      <c r="D31" t="s">
        <v>1629</v>
      </c>
      <c r="E31">
        <v>432.48</v>
      </c>
      <c r="F31" t="s">
        <v>1578</v>
      </c>
      <c r="G31" t="s">
        <v>1063</v>
      </c>
    </row>
    <row r="32" spans="1:7">
      <c r="A32" t="s">
        <v>1634</v>
      </c>
      <c r="B32" s="2">
        <v>45658</v>
      </c>
      <c r="C32" t="s">
        <v>75</v>
      </c>
      <c r="D32" t="s">
        <v>1629</v>
      </c>
      <c r="E32">
        <v>428.24</v>
      </c>
      <c r="F32" t="s">
        <v>1578</v>
      </c>
      <c r="G32" t="s">
        <v>1063</v>
      </c>
    </row>
    <row r="33" spans="1:7">
      <c r="A33" t="s">
        <v>1635</v>
      </c>
      <c r="B33" s="2">
        <v>45658</v>
      </c>
      <c r="C33" t="s">
        <v>77</v>
      </c>
      <c r="D33" t="s">
        <v>1629</v>
      </c>
      <c r="E33">
        <v>428.24</v>
      </c>
      <c r="F33" t="s">
        <v>1578</v>
      </c>
      <c r="G33" t="s">
        <v>1063</v>
      </c>
    </row>
    <row r="34" spans="1:7">
      <c r="A34" t="s">
        <v>1636</v>
      </c>
      <c r="B34" s="2">
        <v>45658</v>
      </c>
      <c r="C34" t="s">
        <v>79</v>
      </c>
      <c r="D34" t="s">
        <v>1629</v>
      </c>
      <c r="E34">
        <v>432.48</v>
      </c>
      <c r="F34" t="s">
        <v>1578</v>
      </c>
      <c r="G34" t="s">
        <v>1063</v>
      </c>
    </row>
    <row r="35" spans="1:7">
      <c r="A35" t="s">
        <v>1637</v>
      </c>
      <c r="B35" s="2">
        <v>45658</v>
      </c>
      <c r="C35" t="s">
        <v>81</v>
      </c>
      <c r="D35" t="s">
        <v>1629</v>
      </c>
      <c r="E35">
        <v>856.48</v>
      </c>
      <c r="F35" t="s">
        <v>1578</v>
      </c>
      <c r="G35" t="s">
        <v>1063</v>
      </c>
    </row>
    <row r="36" spans="1:7">
      <c r="A36" t="s">
        <v>1638</v>
      </c>
      <c r="B36" s="2">
        <v>45658</v>
      </c>
      <c r="C36" t="s">
        <v>108</v>
      </c>
      <c r="D36" t="s">
        <v>1629</v>
      </c>
      <c r="E36">
        <v>860.72</v>
      </c>
      <c r="F36" t="s">
        <v>1578</v>
      </c>
      <c r="G36" t="s">
        <v>1063</v>
      </c>
    </row>
    <row r="37" spans="1:7">
      <c r="A37" t="s">
        <v>1639</v>
      </c>
      <c r="B37" s="2">
        <v>45658</v>
      </c>
      <c r="C37" t="s">
        <v>110</v>
      </c>
      <c r="D37" t="s">
        <v>1629</v>
      </c>
      <c r="E37">
        <v>432.48</v>
      </c>
      <c r="F37" t="s">
        <v>1578</v>
      </c>
      <c r="G37" t="s">
        <v>1063</v>
      </c>
    </row>
    <row r="38" spans="1:7">
      <c r="A38" t="s">
        <v>1640</v>
      </c>
      <c r="B38" s="2">
        <v>45658</v>
      </c>
      <c r="C38" t="s">
        <v>114</v>
      </c>
      <c r="D38" t="s">
        <v>1629</v>
      </c>
      <c r="E38">
        <v>428.24</v>
      </c>
      <c r="F38" t="s">
        <v>1578</v>
      </c>
      <c r="G38" t="s">
        <v>1063</v>
      </c>
    </row>
    <row r="39" spans="1:7">
      <c r="A39" t="s">
        <v>1641</v>
      </c>
      <c r="B39" s="2">
        <v>45658</v>
      </c>
      <c r="C39" t="s">
        <v>117</v>
      </c>
      <c r="D39" t="s">
        <v>1629</v>
      </c>
      <c r="E39">
        <v>426.12</v>
      </c>
      <c r="F39" t="s">
        <v>1578</v>
      </c>
      <c r="G39" t="s">
        <v>1063</v>
      </c>
    </row>
    <row r="40" spans="1:7">
      <c r="A40" t="s">
        <v>1642</v>
      </c>
      <c r="B40" s="2">
        <v>45658</v>
      </c>
      <c r="C40" t="s">
        <v>119</v>
      </c>
      <c r="D40" t="s">
        <v>1629</v>
      </c>
      <c r="E40">
        <v>428.24</v>
      </c>
      <c r="F40" t="s">
        <v>1578</v>
      </c>
      <c r="G40" t="s">
        <v>1063</v>
      </c>
    </row>
    <row r="41" spans="1:7">
      <c r="A41" t="s">
        <v>1643</v>
      </c>
      <c r="B41" s="2">
        <v>45658</v>
      </c>
      <c r="C41" t="s">
        <v>61</v>
      </c>
      <c r="D41" t="s">
        <v>1629</v>
      </c>
      <c r="E41">
        <v>170.34</v>
      </c>
      <c r="F41" t="s">
        <v>1578</v>
      </c>
      <c r="G41" t="s">
        <v>1066</v>
      </c>
    </row>
    <row r="42" spans="1:7">
      <c r="A42" t="s">
        <v>1644</v>
      </c>
      <c r="B42" s="2">
        <v>45658</v>
      </c>
      <c r="C42" t="s">
        <v>65</v>
      </c>
      <c r="D42" t="s">
        <v>1629</v>
      </c>
      <c r="E42">
        <v>169.5</v>
      </c>
      <c r="F42" t="s">
        <v>1578</v>
      </c>
      <c r="G42" t="s">
        <v>1066</v>
      </c>
    </row>
    <row r="43" spans="1:7">
      <c r="A43" t="s">
        <v>1645</v>
      </c>
      <c r="B43" s="2">
        <v>45658</v>
      </c>
      <c r="C43" t="s">
        <v>68</v>
      </c>
      <c r="D43" t="s">
        <v>1629</v>
      </c>
      <c r="E43">
        <v>170.34</v>
      </c>
      <c r="F43" t="s">
        <v>1578</v>
      </c>
      <c r="G43" t="s">
        <v>1066</v>
      </c>
    </row>
    <row r="44" spans="1:7">
      <c r="A44" t="s">
        <v>1646</v>
      </c>
      <c r="B44" s="2">
        <v>45658</v>
      </c>
      <c r="C44" t="s">
        <v>70</v>
      </c>
      <c r="D44" t="s">
        <v>1629</v>
      </c>
      <c r="E44">
        <v>168.67</v>
      </c>
      <c r="F44" t="s">
        <v>1578</v>
      </c>
      <c r="G44" t="s">
        <v>1066</v>
      </c>
    </row>
    <row r="45" spans="1:7">
      <c r="A45" t="s">
        <v>1647</v>
      </c>
      <c r="B45" s="2">
        <v>45658</v>
      </c>
      <c r="C45" t="s">
        <v>75</v>
      </c>
      <c r="D45" t="s">
        <v>1629</v>
      </c>
      <c r="E45">
        <v>168.67</v>
      </c>
      <c r="F45" t="s">
        <v>1578</v>
      </c>
      <c r="G45" t="s">
        <v>1066</v>
      </c>
    </row>
    <row r="46" spans="1:7">
      <c r="A46" t="s">
        <v>1648</v>
      </c>
      <c r="B46" s="2">
        <v>45658</v>
      </c>
      <c r="C46" t="s">
        <v>77</v>
      </c>
      <c r="D46" t="s">
        <v>1629</v>
      </c>
      <c r="E46">
        <v>168.67</v>
      </c>
      <c r="F46" t="s">
        <v>1578</v>
      </c>
      <c r="G46" t="s">
        <v>1066</v>
      </c>
    </row>
    <row r="47" spans="1:7">
      <c r="A47" t="s">
        <v>1649</v>
      </c>
      <c r="B47" s="2">
        <v>45658</v>
      </c>
      <c r="C47" t="s">
        <v>79</v>
      </c>
      <c r="D47" t="s">
        <v>1629</v>
      </c>
      <c r="E47">
        <v>170.34</v>
      </c>
      <c r="F47" t="s">
        <v>1578</v>
      </c>
      <c r="G47" t="s">
        <v>1066</v>
      </c>
    </row>
    <row r="48" spans="1:7">
      <c r="A48" t="s">
        <v>1650</v>
      </c>
      <c r="B48" s="2">
        <v>45658</v>
      </c>
      <c r="C48" t="s">
        <v>81</v>
      </c>
      <c r="D48" t="s">
        <v>1629</v>
      </c>
      <c r="E48">
        <v>337.34</v>
      </c>
      <c r="F48" t="s">
        <v>1578</v>
      </c>
      <c r="G48" t="s">
        <v>1066</v>
      </c>
    </row>
    <row r="49" spans="1:7">
      <c r="A49" t="s">
        <v>1651</v>
      </c>
      <c r="B49" s="2">
        <v>45658</v>
      </c>
      <c r="C49" t="s">
        <v>110</v>
      </c>
      <c r="D49" t="s">
        <v>1629</v>
      </c>
      <c r="E49">
        <v>170.34</v>
      </c>
      <c r="F49" t="s">
        <v>1578</v>
      </c>
      <c r="G49" t="s">
        <v>1066</v>
      </c>
    </row>
    <row r="50" spans="1:7">
      <c r="A50" t="s">
        <v>1652</v>
      </c>
      <c r="B50" s="2">
        <v>45658</v>
      </c>
      <c r="C50" t="s">
        <v>114</v>
      </c>
      <c r="D50" t="s">
        <v>1629</v>
      </c>
      <c r="E50">
        <v>168.67</v>
      </c>
      <c r="F50" t="s">
        <v>1578</v>
      </c>
      <c r="G50" t="s">
        <v>1066</v>
      </c>
    </row>
    <row r="51" spans="1:7">
      <c r="A51" t="s">
        <v>1653</v>
      </c>
      <c r="B51" s="2">
        <v>45658</v>
      </c>
      <c r="C51" t="s">
        <v>117</v>
      </c>
      <c r="D51" t="s">
        <v>1629</v>
      </c>
      <c r="E51">
        <v>167.83</v>
      </c>
      <c r="F51" t="s">
        <v>1578</v>
      </c>
      <c r="G51" t="s">
        <v>1066</v>
      </c>
    </row>
    <row r="52" spans="1:7">
      <c r="A52" t="s">
        <v>1654</v>
      </c>
      <c r="B52" s="2">
        <v>45658</v>
      </c>
      <c r="C52" t="s">
        <v>119</v>
      </c>
      <c r="D52" t="s">
        <v>1629</v>
      </c>
      <c r="E52">
        <v>168.67</v>
      </c>
      <c r="F52" t="s">
        <v>1578</v>
      </c>
      <c r="G52" t="s">
        <v>1066</v>
      </c>
    </row>
    <row r="53" spans="1:7">
      <c r="A53" t="s">
        <v>1655</v>
      </c>
      <c r="B53" s="2">
        <v>45658</v>
      </c>
      <c r="C53" t="s">
        <v>61</v>
      </c>
      <c r="D53" t="s">
        <v>1629</v>
      </c>
      <c r="E53">
        <v>338.64</v>
      </c>
      <c r="F53" t="s">
        <v>1578</v>
      </c>
      <c r="G53" t="s">
        <v>1068</v>
      </c>
    </row>
    <row r="54" spans="1:7">
      <c r="A54" t="s">
        <v>1656</v>
      </c>
      <c r="B54" s="2">
        <v>45658</v>
      </c>
      <c r="C54" t="s">
        <v>65</v>
      </c>
      <c r="D54" t="s">
        <v>1629</v>
      </c>
      <c r="E54">
        <v>336.98</v>
      </c>
      <c r="F54" t="s">
        <v>1578</v>
      </c>
      <c r="G54" t="s">
        <v>1068</v>
      </c>
    </row>
    <row r="55" spans="1:7">
      <c r="A55" t="s">
        <v>1657</v>
      </c>
      <c r="B55" s="2">
        <v>45658</v>
      </c>
      <c r="C55" t="s">
        <v>68</v>
      </c>
      <c r="D55" t="s">
        <v>1629</v>
      </c>
      <c r="E55">
        <v>338.64</v>
      </c>
      <c r="F55" t="s">
        <v>1578</v>
      </c>
      <c r="G55" t="s">
        <v>1068</v>
      </c>
    </row>
    <row r="56" spans="1:7">
      <c r="A56" t="s">
        <v>1658</v>
      </c>
      <c r="B56" s="2">
        <v>45658</v>
      </c>
      <c r="C56" t="s">
        <v>70</v>
      </c>
      <c r="D56" t="s">
        <v>1629</v>
      </c>
      <c r="E56">
        <v>335.32</v>
      </c>
      <c r="F56" t="s">
        <v>1578</v>
      </c>
      <c r="G56" t="s">
        <v>1068</v>
      </c>
    </row>
    <row r="57" spans="1:7">
      <c r="A57" t="s">
        <v>1659</v>
      </c>
      <c r="B57" s="2">
        <v>45658</v>
      </c>
      <c r="C57" t="s">
        <v>73</v>
      </c>
      <c r="D57" t="s">
        <v>1629</v>
      </c>
      <c r="E57">
        <v>338.64</v>
      </c>
      <c r="F57" t="s">
        <v>1578</v>
      </c>
      <c r="G57" t="s">
        <v>1068</v>
      </c>
    </row>
    <row r="58" spans="1:7">
      <c r="A58" t="s">
        <v>1660</v>
      </c>
      <c r="B58" s="2">
        <v>45658</v>
      </c>
      <c r="C58" t="s">
        <v>75</v>
      </c>
      <c r="D58" t="s">
        <v>1629</v>
      </c>
      <c r="E58">
        <v>335.32</v>
      </c>
      <c r="F58" t="s">
        <v>1578</v>
      </c>
      <c r="G58" t="s">
        <v>1068</v>
      </c>
    </row>
    <row r="59" spans="1:7">
      <c r="A59" t="s">
        <v>1661</v>
      </c>
      <c r="B59" s="2">
        <v>45658</v>
      </c>
      <c r="C59" t="s">
        <v>77</v>
      </c>
      <c r="D59" t="s">
        <v>1629</v>
      </c>
      <c r="E59">
        <v>335.32</v>
      </c>
      <c r="F59" t="s">
        <v>1578</v>
      </c>
      <c r="G59" t="s">
        <v>1068</v>
      </c>
    </row>
    <row r="60" spans="1:7">
      <c r="A60" t="s">
        <v>1662</v>
      </c>
      <c r="B60" s="2">
        <v>45658</v>
      </c>
      <c r="C60" t="s">
        <v>79</v>
      </c>
      <c r="D60" t="s">
        <v>1629</v>
      </c>
      <c r="E60">
        <v>338.64</v>
      </c>
      <c r="F60" t="s">
        <v>1578</v>
      </c>
      <c r="G60" t="s">
        <v>1068</v>
      </c>
    </row>
    <row r="61" spans="1:7">
      <c r="A61" t="s">
        <v>1663</v>
      </c>
      <c r="B61" s="2">
        <v>45658</v>
      </c>
      <c r="C61" t="s">
        <v>81</v>
      </c>
      <c r="D61" t="s">
        <v>1629</v>
      </c>
      <c r="E61">
        <v>670.64</v>
      </c>
      <c r="F61" t="s">
        <v>1578</v>
      </c>
      <c r="G61" t="s">
        <v>1068</v>
      </c>
    </row>
    <row r="62" spans="1:7">
      <c r="A62" t="s">
        <v>1664</v>
      </c>
      <c r="B62" s="2">
        <v>45658</v>
      </c>
      <c r="C62" t="s">
        <v>108</v>
      </c>
      <c r="D62" t="s">
        <v>1629</v>
      </c>
      <c r="E62">
        <v>673.96</v>
      </c>
      <c r="F62" t="s">
        <v>1578</v>
      </c>
      <c r="G62" t="s">
        <v>1068</v>
      </c>
    </row>
    <row r="63" spans="1:7">
      <c r="A63" t="s">
        <v>1665</v>
      </c>
      <c r="B63" s="2">
        <v>45658</v>
      </c>
      <c r="C63" t="s">
        <v>110</v>
      </c>
      <c r="D63" t="s">
        <v>1629</v>
      </c>
      <c r="E63">
        <v>338.64</v>
      </c>
      <c r="F63" t="s">
        <v>1578</v>
      </c>
      <c r="G63" t="s">
        <v>1068</v>
      </c>
    </row>
    <row r="64" spans="1:7">
      <c r="A64" t="s">
        <v>1666</v>
      </c>
      <c r="B64" s="2">
        <v>45658</v>
      </c>
      <c r="C64" t="s">
        <v>114</v>
      </c>
      <c r="D64" t="s">
        <v>1629</v>
      </c>
      <c r="E64">
        <v>335.32</v>
      </c>
      <c r="F64" t="s">
        <v>1578</v>
      </c>
      <c r="G64" t="s">
        <v>1068</v>
      </c>
    </row>
    <row r="65" spans="1:7">
      <c r="A65" t="s">
        <v>1667</v>
      </c>
      <c r="B65" s="2">
        <v>45658</v>
      </c>
      <c r="C65" t="s">
        <v>117</v>
      </c>
      <c r="D65" t="s">
        <v>1629</v>
      </c>
      <c r="E65">
        <v>333.66</v>
      </c>
      <c r="F65" t="s">
        <v>1578</v>
      </c>
      <c r="G65" t="s">
        <v>1068</v>
      </c>
    </row>
    <row r="66" spans="1:7">
      <c r="A66" t="s">
        <v>1668</v>
      </c>
      <c r="B66" s="2">
        <v>45658</v>
      </c>
      <c r="C66" t="s">
        <v>119</v>
      </c>
      <c r="D66" t="s">
        <v>1629</v>
      </c>
      <c r="E66">
        <v>335.32</v>
      </c>
      <c r="F66" t="s">
        <v>1578</v>
      </c>
      <c r="G66" t="s">
        <v>1068</v>
      </c>
    </row>
    <row r="67" spans="1:7">
      <c r="A67" t="s">
        <v>1669</v>
      </c>
      <c r="B67" s="2">
        <v>45658</v>
      </c>
      <c r="C67" t="s">
        <v>61</v>
      </c>
      <c r="D67" t="s">
        <v>1629</v>
      </c>
      <c r="E67">
        <v>244.8</v>
      </c>
      <c r="F67" t="s">
        <v>1578</v>
      </c>
      <c r="G67" t="s">
        <v>1069</v>
      </c>
    </row>
    <row r="68" spans="1:7">
      <c r="A68" t="s">
        <v>1670</v>
      </c>
      <c r="B68" s="2">
        <v>45658</v>
      </c>
      <c r="C68" t="s">
        <v>65</v>
      </c>
      <c r="D68" t="s">
        <v>1629</v>
      </c>
      <c r="E68">
        <v>243.6</v>
      </c>
      <c r="F68" t="s">
        <v>1578</v>
      </c>
      <c r="G68" t="s">
        <v>1069</v>
      </c>
    </row>
    <row r="69" spans="1:7">
      <c r="A69" t="s">
        <v>1671</v>
      </c>
      <c r="B69" s="2">
        <v>45658</v>
      </c>
      <c r="C69" t="s">
        <v>68</v>
      </c>
      <c r="D69" t="s">
        <v>1629</v>
      </c>
      <c r="E69">
        <v>244.8</v>
      </c>
      <c r="F69" t="s">
        <v>1578</v>
      </c>
      <c r="G69" t="s">
        <v>1069</v>
      </c>
    </row>
    <row r="70" spans="1:7">
      <c r="A70" t="s">
        <v>1672</v>
      </c>
      <c r="B70" s="2">
        <v>45658</v>
      </c>
      <c r="C70" t="s">
        <v>70</v>
      </c>
      <c r="D70" t="s">
        <v>1629</v>
      </c>
      <c r="E70">
        <v>242.4</v>
      </c>
      <c r="F70" t="s">
        <v>1578</v>
      </c>
      <c r="G70" t="s">
        <v>1069</v>
      </c>
    </row>
    <row r="71" spans="1:7">
      <c r="A71" t="s">
        <v>1673</v>
      </c>
      <c r="B71" s="2">
        <v>45658</v>
      </c>
      <c r="C71" t="s">
        <v>75</v>
      </c>
      <c r="D71" t="s">
        <v>1629</v>
      </c>
      <c r="E71">
        <v>242.4</v>
      </c>
      <c r="F71" t="s">
        <v>1578</v>
      </c>
      <c r="G71" t="s">
        <v>1069</v>
      </c>
    </row>
    <row r="72" spans="1:7">
      <c r="A72" t="s">
        <v>1674</v>
      </c>
      <c r="B72" s="2">
        <v>45658</v>
      </c>
      <c r="C72" t="s">
        <v>77</v>
      </c>
      <c r="D72" t="s">
        <v>1629</v>
      </c>
      <c r="E72">
        <v>242.4</v>
      </c>
      <c r="F72" t="s">
        <v>1578</v>
      </c>
      <c r="G72" t="s">
        <v>1069</v>
      </c>
    </row>
    <row r="73" spans="1:7">
      <c r="A73" t="s">
        <v>1675</v>
      </c>
      <c r="B73" s="2">
        <v>45658</v>
      </c>
      <c r="C73" t="s">
        <v>79</v>
      </c>
      <c r="D73" t="s">
        <v>1629</v>
      </c>
      <c r="E73">
        <v>244.8</v>
      </c>
      <c r="F73" t="s">
        <v>1578</v>
      </c>
      <c r="G73" t="s">
        <v>1069</v>
      </c>
    </row>
    <row r="74" spans="1:7">
      <c r="A74" t="s">
        <v>1676</v>
      </c>
      <c r="B74" s="2">
        <v>45658</v>
      </c>
      <c r="C74" t="s">
        <v>81</v>
      </c>
      <c r="D74" t="s">
        <v>1629</v>
      </c>
      <c r="E74">
        <v>484.8</v>
      </c>
      <c r="F74" t="s">
        <v>1578</v>
      </c>
      <c r="G74" t="s">
        <v>1069</v>
      </c>
    </row>
    <row r="75" spans="1:7">
      <c r="A75" t="s">
        <v>1677</v>
      </c>
      <c r="B75" s="2">
        <v>45658</v>
      </c>
      <c r="C75" t="s">
        <v>108</v>
      </c>
      <c r="D75" t="s">
        <v>1629</v>
      </c>
      <c r="E75">
        <v>487.2</v>
      </c>
      <c r="F75" t="s">
        <v>1578</v>
      </c>
      <c r="G75" t="s">
        <v>1069</v>
      </c>
    </row>
    <row r="76" spans="1:7">
      <c r="A76" t="s">
        <v>1678</v>
      </c>
      <c r="B76" s="2">
        <v>45658</v>
      </c>
      <c r="C76" t="s">
        <v>110</v>
      </c>
      <c r="D76" t="s">
        <v>1629</v>
      </c>
      <c r="E76">
        <v>244.8</v>
      </c>
      <c r="F76" t="s">
        <v>1578</v>
      </c>
      <c r="G76" t="s">
        <v>1069</v>
      </c>
    </row>
    <row r="77" spans="1:7">
      <c r="A77" t="s">
        <v>1679</v>
      </c>
      <c r="B77" s="2">
        <v>45658</v>
      </c>
      <c r="C77" t="s">
        <v>114</v>
      </c>
      <c r="D77" t="s">
        <v>1629</v>
      </c>
      <c r="E77">
        <v>242.4</v>
      </c>
      <c r="F77" t="s">
        <v>1578</v>
      </c>
      <c r="G77" t="s">
        <v>1069</v>
      </c>
    </row>
    <row r="78" spans="1:7">
      <c r="A78" t="s">
        <v>1680</v>
      </c>
      <c r="B78" s="2">
        <v>45658</v>
      </c>
      <c r="C78" t="s">
        <v>117</v>
      </c>
      <c r="D78" t="s">
        <v>1629</v>
      </c>
      <c r="E78">
        <v>241.2</v>
      </c>
      <c r="F78" t="s">
        <v>1578</v>
      </c>
      <c r="G78" t="s">
        <v>1069</v>
      </c>
    </row>
    <row r="79" spans="1:7">
      <c r="A79" t="s">
        <v>1681</v>
      </c>
      <c r="B79" s="2">
        <v>45658</v>
      </c>
      <c r="C79" t="s">
        <v>119</v>
      </c>
      <c r="D79" t="s">
        <v>1629</v>
      </c>
      <c r="E79">
        <v>242.4</v>
      </c>
      <c r="F79" t="s">
        <v>1578</v>
      </c>
      <c r="G79" t="s">
        <v>1069</v>
      </c>
    </row>
    <row r="80" spans="1:7">
      <c r="A80" t="s">
        <v>1682</v>
      </c>
      <c r="B80" s="2">
        <v>45658</v>
      </c>
      <c r="C80" t="s">
        <v>73</v>
      </c>
      <c r="D80" t="s">
        <v>1683</v>
      </c>
      <c r="E80">
        <v>122</v>
      </c>
      <c r="F80" t="s">
        <v>1578</v>
      </c>
      <c r="G80" t="s">
        <v>353</v>
      </c>
    </row>
    <row r="81" spans="1:7">
      <c r="A81" t="s">
        <v>1684</v>
      </c>
      <c r="B81" s="2">
        <v>45658</v>
      </c>
      <c r="C81" t="s">
        <v>93</v>
      </c>
      <c r="D81" t="s">
        <v>1683</v>
      </c>
      <c r="E81">
        <v>232</v>
      </c>
      <c r="F81" t="s">
        <v>1578</v>
      </c>
      <c r="G81" t="s">
        <v>355</v>
      </c>
    </row>
    <row r="82" spans="1:7">
      <c r="A82" t="s">
        <v>1685</v>
      </c>
      <c r="B82" s="2">
        <v>45658</v>
      </c>
      <c r="C82" t="s">
        <v>106</v>
      </c>
      <c r="D82" t="s">
        <v>1683</v>
      </c>
      <c r="E82">
        <v>80</v>
      </c>
      <c r="F82" t="s">
        <v>1578</v>
      </c>
      <c r="G82" t="s">
        <v>356</v>
      </c>
    </row>
    <row r="83" spans="1:7">
      <c r="A83" t="s">
        <v>1686</v>
      </c>
      <c r="B83" s="2">
        <v>45658</v>
      </c>
      <c r="C83" t="s">
        <v>73</v>
      </c>
      <c r="D83" t="s">
        <v>1683</v>
      </c>
      <c r="E83">
        <v>439</v>
      </c>
      <c r="F83" t="s">
        <v>1578</v>
      </c>
      <c r="G83" t="s">
        <v>357</v>
      </c>
    </row>
    <row r="84" spans="1:7">
      <c r="A84" t="s">
        <v>1687</v>
      </c>
      <c r="B84" s="2">
        <v>45659</v>
      </c>
      <c r="C84" t="s">
        <v>61</v>
      </c>
      <c r="D84" t="s">
        <v>1629</v>
      </c>
      <c r="E84">
        <v>441.66</v>
      </c>
      <c r="F84" t="s">
        <v>1578</v>
      </c>
      <c r="G84" t="s">
        <v>1071</v>
      </c>
    </row>
    <row r="85" spans="1:7">
      <c r="A85" t="s">
        <v>1688</v>
      </c>
      <c r="B85" s="2">
        <v>45659</v>
      </c>
      <c r="C85" t="s">
        <v>65</v>
      </c>
      <c r="D85" t="s">
        <v>1629</v>
      </c>
      <c r="E85">
        <v>439.49</v>
      </c>
      <c r="F85" t="s">
        <v>1578</v>
      </c>
      <c r="G85" t="s">
        <v>1071</v>
      </c>
    </row>
    <row r="86" spans="1:7">
      <c r="A86" t="s">
        <v>1689</v>
      </c>
      <c r="B86" s="2">
        <v>45659</v>
      </c>
      <c r="C86" t="s">
        <v>68</v>
      </c>
      <c r="D86" t="s">
        <v>1629</v>
      </c>
      <c r="E86">
        <v>441.66</v>
      </c>
      <c r="F86" t="s">
        <v>1578</v>
      </c>
      <c r="G86" t="s">
        <v>1071</v>
      </c>
    </row>
    <row r="87" spans="1:7">
      <c r="A87" t="s">
        <v>1690</v>
      </c>
      <c r="B87" s="2">
        <v>45659</v>
      </c>
      <c r="C87" t="s">
        <v>70</v>
      </c>
      <c r="D87" t="s">
        <v>1629</v>
      </c>
      <c r="E87">
        <v>437.33</v>
      </c>
      <c r="F87" t="s">
        <v>1578</v>
      </c>
      <c r="G87" t="s">
        <v>1071</v>
      </c>
    </row>
    <row r="88" spans="1:7">
      <c r="A88" t="s">
        <v>1691</v>
      </c>
      <c r="B88" s="2">
        <v>45659</v>
      </c>
      <c r="C88" t="s">
        <v>75</v>
      </c>
      <c r="D88" t="s">
        <v>1629</v>
      </c>
      <c r="E88">
        <v>437.33</v>
      </c>
      <c r="F88" t="s">
        <v>1578</v>
      </c>
      <c r="G88" t="s">
        <v>1071</v>
      </c>
    </row>
    <row r="89" spans="1:7">
      <c r="A89" t="s">
        <v>1692</v>
      </c>
      <c r="B89" s="2">
        <v>45659</v>
      </c>
      <c r="C89" t="s">
        <v>77</v>
      </c>
      <c r="D89" t="s">
        <v>1629</v>
      </c>
      <c r="E89">
        <v>437.33</v>
      </c>
      <c r="F89" t="s">
        <v>1578</v>
      </c>
      <c r="G89" t="s">
        <v>1071</v>
      </c>
    </row>
    <row r="90" spans="1:7">
      <c r="A90" t="s">
        <v>1693</v>
      </c>
      <c r="B90" s="2">
        <v>45659</v>
      </c>
      <c r="C90" t="s">
        <v>79</v>
      </c>
      <c r="D90" t="s">
        <v>1629</v>
      </c>
      <c r="E90">
        <v>441.66</v>
      </c>
      <c r="F90" t="s">
        <v>1578</v>
      </c>
      <c r="G90" t="s">
        <v>1071</v>
      </c>
    </row>
    <row r="91" spans="1:7">
      <c r="A91" t="s">
        <v>1694</v>
      </c>
      <c r="B91" s="2">
        <v>45659</v>
      </c>
      <c r="C91" t="s">
        <v>81</v>
      </c>
      <c r="D91" t="s">
        <v>1629</v>
      </c>
      <c r="E91">
        <v>874.66</v>
      </c>
      <c r="F91" t="s">
        <v>1578</v>
      </c>
      <c r="G91" t="s">
        <v>1071</v>
      </c>
    </row>
    <row r="92" spans="1:7">
      <c r="A92" t="s">
        <v>1695</v>
      </c>
      <c r="B92" s="2">
        <v>45659</v>
      </c>
      <c r="C92" t="s">
        <v>108</v>
      </c>
      <c r="D92" t="s">
        <v>1629</v>
      </c>
      <c r="E92">
        <v>878.99</v>
      </c>
      <c r="F92" t="s">
        <v>1578</v>
      </c>
      <c r="G92" t="s">
        <v>1071</v>
      </c>
    </row>
    <row r="93" spans="1:7">
      <c r="A93" t="s">
        <v>1696</v>
      </c>
      <c r="B93" s="2">
        <v>45659</v>
      </c>
      <c r="C93" t="s">
        <v>110</v>
      </c>
      <c r="D93" t="s">
        <v>1629</v>
      </c>
      <c r="E93">
        <v>441.66</v>
      </c>
      <c r="F93" t="s">
        <v>1578</v>
      </c>
      <c r="G93" t="s">
        <v>1071</v>
      </c>
    </row>
    <row r="94" spans="1:7">
      <c r="A94" t="s">
        <v>1697</v>
      </c>
      <c r="B94" s="2">
        <v>45659</v>
      </c>
      <c r="C94" t="s">
        <v>114</v>
      </c>
      <c r="D94" t="s">
        <v>1629</v>
      </c>
      <c r="E94">
        <v>437.33</v>
      </c>
      <c r="F94" t="s">
        <v>1578</v>
      </c>
      <c r="G94" t="s">
        <v>1071</v>
      </c>
    </row>
    <row r="95" spans="1:7">
      <c r="A95" t="s">
        <v>1698</v>
      </c>
      <c r="B95" s="2">
        <v>45659</v>
      </c>
      <c r="C95" t="s">
        <v>117</v>
      </c>
      <c r="D95" t="s">
        <v>1629</v>
      </c>
      <c r="E95">
        <v>435.16</v>
      </c>
      <c r="F95" t="s">
        <v>1578</v>
      </c>
      <c r="G95" t="s">
        <v>1071</v>
      </c>
    </row>
    <row r="96" spans="1:7">
      <c r="A96" t="s">
        <v>1699</v>
      </c>
      <c r="B96" s="2">
        <v>45659</v>
      </c>
      <c r="C96" t="s">
        <v>119</v>
      </c>
      <c r="D96" t="s">
        <v>1629</v>
      </c>
      <c r="E96">
        <v>437.33</v>
      </c>
      <c r="F96" t="s">
        <v>1578</v>
      </c>
      <c r="G96" t="s">
        <v>1071</v>
      </c>
    </row>
    <row r="97" spans="1:7">
      <c r="A97" t="s">
        <v>1700</v>
      </c>
      <c r="B97" s="2">
        <v>45659</v>
      </c>
      <c r="C97" t="s">
        <v>61</v>
      </c>
      <c r="D97" t="s">
        <v>1629</v>
      </c>
      <c r="E97">
        <v>199.92</v>
      </c>
      <c r="F97" t="s">
        <v>1578</v>
      </c>
      <c r="G97" t="s">
        <v>1072</v>
      </c>
    </row>
    <row r="98" spans="1:7">
      <c r="A98" t="s">
        <v>1701</v>
      </c>
      <c r="B98" s="2">
        <v>45659</v>
      </c>
      <c r="C98" t="s">
        <v>65</v>
      </c>
      <c r="D98" t="s">
        <v>1629</v>
      </c>
      <c r="E98">
        <v>198.94</v>
      </c>
      <c r="F98" t="s">
        <v>1578</v>
      </c>
      <c r="G98" t="s">
        <v>1072</v>
      </c>
    </row>
    <row r="99" spans="1:7">
      <c r="A99" t="s">
        <v>1702</v>
      </c>
      <c r="B99" s="2">
        <v>45659</v>
      </c>
      <c r="C99" t="s">
        <v>68</v>
      </c>
      <c r="D99" t="s">
        <v>1629</v>
      </c>
      <c r="E99">
        <v>199.92</v>
      </c>
      <c r="F99" t="s">
        <v>1578</v>
      </c>
      <c r="G99" t="s">
        <v>1072</v>
      </c>
    </row>
    <row r="100" spans="1:7">
      <c r="A100" t="s">
        <v>1703</v>
      </c>
      <c r="B100" s="2">
        <v>45659</v>
      </c>
      <c r="C100" t="s">
        <v>70</v>
      </c>
      <c r="D100" t="s">
        <v>1629</v>
      </c>
      <c r="E100">
        <v>197.96</v>
      </c>
      <c r="F100" t="s">
        <v>1578</v>
      </c>
      <c r="G100" t="s">
        <v>1072</v>
      </c>
    </row>
    <row r="101" spans="1:7">
      <c r="A101" t="s">
        <v>1704</v>
      </c>
      <c r="B101" s="2">
        <v>45659</v>
      </c>
      <c r="C101" t="s">
        <v>75</v>
      </c>
      <c r="D101" t="s">
        <v>1629</v>
      </c>
      <c r="E101">
        <v>197.96</v>
      </c>
      <c r="F101" t="s">
        <v>1578</v>
      </c>
      <c r="G101" t="s">
        <v>1072</v>
      </c>
    </row>
    <row r="102" spans="1:7">
      <c r="A102" t="s">
        <v>1705</v>
      </c>
      <c r="B102" s="2">
        <v>45659</v>
      </c>
      <c r="C102" t="s">
        <v>77</v>
      </c>
      <c r="D102" t="s">
        <v>1629</v>
      </c>
      <c r="E102">
        <v>197.96</v>
      </c>
      <c r="F102" t="s">
        <v>1578</v>
      </c>
      <c r="G102" t="s">
        <v>1072</v>
      </c>
    </row>
    <row r="103" spans="1:7">
      <c r="A103" t="s">
        <v>1706</v>
      </c>
      <c r="B103" s="2">
        <v>45659</v>
      </c>
      <c r="C103" t="s">
        <v>79</v>
      </c>
      <c r="D103" t="s">
        <v>1629</v>
      </c>
      <c r="E103">
        <v>199.92</v>
      </c>
      <c r="F103" t="s">
        <v>1578</v>
      </c>
      <c r="G103" t="s">
        <v>1072</v>
      </c>
    </row>
    <row r="104" spans="1:7">
      <c r="A104" t="s">
        <v>1707</v>
      </c>
      <c r="B104" s="2">
        <v>45659</v>
      </c>
      <c r="C104" t="s">
        <v>81</v>
      </c>
      <c r="D104" t="s">
        <v>1629</v>
      </c>
      <c r="E104">
        <v>395.92</v>
      </c>
      <c r="F104" t="s">
        <v>1578</v>
      </c>
      <c r="G104" t="s">
        <v>1072</v>
      </c>
    </row>
    <row r="105" spans="1:7">
      <c r="A105" t="s">
        <v>1708</v>
      </c>
      <c r="B105" s="2">
        <v>45659</v>
      </c>
      <c r="C105" t="s">
        <v>108</v>
      </c>
      <c r="D105" t="s">
        <v>1629</v>
      </c>
      <c r="E105">
        <v>397.88</v>
      </c>
      <c r="F105" t="s">
        <v>1578</v>
      </c>
      <c r="G105" t="s">
        <v>1072</v>
      </c>
    </row>
    <row r="106" spans="1:7">
      <c r="A106" t="s">
        <v>1709</v>
      </c>
      <c r="B106" s="2">
        <v>45659</v>
      </c>
      <c r="C106" t="s">
        <v>110</v>
      </c>
      <c r="D106" t="s">
        <v>1629</v>
      </c>
      <c r="E106">
        <v>199.92</v>
      </c>
      <c r="F106" t="s">
        <v>1578</v>
      </c>
      <c r="G106" t="s">
        <v>1072</v>
      </c>
    </row>
    <row r="107" spans="1:7">
      <c r="A107" t="s">
        <v>1710</v>
      </c>
      <c r="B107" s="2">
        <v>45659</v>
      </c>
      <c r="C107" t="s">
        <v>114</v>
      </c>
      <c r="D107" t="s">
        <v>1629</v>
      </c>
      <c r="E107">
        <v>197.96</v>
      </c>
      <c r="F107" t="s">
        <v>1578</v>
      </c>
      <c r="G107" t="s">
        <v>1072</v>
      </c>
    </row>
    <row r="108" spans="1:7">
      <c r="A108" t="s">
        <v>1711</v>
      </c>
      <c r="B108" s="2">
        <v>45659</v>
      </c>
      <c r="C108" t="s">
        <v>117</v>
      </c>
      <c r="D108" t="s">
        <v>1629</v>
      </c>
      <c r="E108">
        <v>196.98</v>
      </c>
      <c r="F108" t="s">
        <v>1578</v>
      </c>
      <c r="G108" t="s">
        <v>1072</v>
      </c>
    </row>
    <row r="109" spans="1:7">
      <c r="A109" t="s">
        <v>1712</v>
      </c>
      <c r="B109" s="2">
        <v>45659</v>
      </c>
      <c r="C109" t="s">
        <v>119</v>
      </c>
      <c r="D109" t="s">
        <v>1629</v>
      </c>
      <c r="E109">
        <v>197.96</v>
      </c>
      <c r="F109" t="s">
        <v>1578</v>
      </c>
      <c r="G109" t="s">
        <v>1072</v>
      </c>
    </row>
    <row r="110" spans="1:7">
      <c r="A110" t="s">
        <v>1713</v>
      </c>
      <c r="B110" s="2">
        <v>45659</v>
      </c>
      <c r="C110" t="s">
        <v>119</v>
      </c>
      <c r="D110" t="s">
        <v>1683</v>
      </c>
      <c r="E110">
        <v>233</v>
      </c>
      <c r="F110" t="s">
        <v>1578</v>
      </c>
      <c r="G110" t="s">
        <v>358</v>
      </c>
    </row>
    <row r="111" spans="1:7">
      <c r="A111" t="s">
        <v>1714</v>
      </c>
      <c r="B111" s="2">
        <v>45659</v>
      </c>
      <c r="C111" t="s">
        <v>108</v>
      </c>
      <c r="D111" t="s">
        <v>1683</v>
      </c>
      <c r="E111">
        <v>666</v>
      </c>
      <c r="F111" t="s">
        <v>1578</v>
      </c>
      <c r="G111" t="s">
        <v>360</v>
      </c>
    </row>
    <row r="112" spans="1:7">
      <c r="A112" t="s">
        <v>1715</v>
      </c>
      <c r="B112" s="2">
        <v>45659</v>
      </c>
      <c r="C112" t="s">
        <v>117</v>
      </c>
      <c r="D112" t="s">
        <v>1683</v>
      </c>
      <c r="E112">
        <v>174</v>
      </c>
      <c r="F112" t="s">
        <v>1578</v>
      </c>
      <c r="G112" t="s">
        <v>361</v>
      </c>
    </row>
    <row r="113" spans="1:7">
      <c r="A113" t="s">
        <v>1716</v>
      </c>
      <c r="B113" s="2">
        <v>45660</v>
      </c>
      <c r="C113" t="s">
        <v>75</v>
      </c>
      <c r="D113" t="s">
        <v>1629</v>
      </c>
      <c r="E113">
        <v>373.7</v>
      </c>
      <c r="F113" t="s">
        <v>1578</v>
      </c>
      <c r="G113" t="s">
        <v>1074</v>
      </c>
    </row>
    <row r="114" spans="1:7">
      <c r="A114" t="s">
        <v>1717</v>
      </c>
      <c r="B114" s="2">
        <v>45660</v>
      </c>
      <c r="C114" t="s">
        <v>104</v>
      </c>
      <c r="D114" t="s">
        <v>1629</v>
      </c>
      <c r="E114">
        <v>762.2</v>
      </c>
      <c r="F114" t="s">
        <v>1578</v>
      </c>
      <c r="G114" t="s">
        <v>1074</v>
      </c>
    </row>
    <row r="115" spans="1:7">
      <c r="A115" t="s">
        <v>1718</v>
      </c>
      <c r="B115" s="2">
        <v>45660</v>
      </c>
      <c r="C115" t="s">
        <v>108</v>
      </c>
      <c r="D115" t="s">
        <v>1629</v>
      </c>
      <c r="E115">
        <v>751.1</v>
      </c>
      <c r="F115" t="s">
        <v>1578</v>
      </c>
      <c r="G115" t="s">
        <v>1074</v>
      </c>
    </row>
    <row r="116" spans="1:7">
      <c r="A116" t="s">
        <v>1719</v>
      </c>
      <c r="B116" s="2">
        <v>45660</v>
      </c>
      <c r="C116" t="s">
        <v>110</v>
      </c>
      <c r="D116" t="s">
        <v>1629</v>
      </c>
      <c r="E116">
        <v>377.4</v>
      </c>
      <c r="F116" t="s">
        <v>1578</v>
      </c>
      <c r="G116" t="s">
        <v>1074</v>
      </c>
    </row>
    <row r="117" spans="1:7">
      <c r="A117" t="s">
        <v>1720</v>
      </c>
      <c r="B117" s="2">
        <v>45660</v>
      </c>
      <c r="C117" t="s">
        <v>114</v>
      </c>
      <c r="D117" t="s">
        <v>1629</v>
      </c>
      <c r="E117">
        <v>373.7</v>
      </c>
      <c r="F117" t="s">
        <v>1578</v>
      </c>
      <c r="G117" t="s">
        <v>1074</v>
      </c>
    </row>
    <row r="118" spans="1:7">
      <c r="A118" t="s">
        <v>1721</v>
      </c>
      <c r="B118" s="2">
        <v>45660</v>
      </c>
      <c r="C118" t="s">
        <v>117</v>
      </c>
      <c r="D118" t="s">
        <v>1629</v>
      </c>
      <c r="E118">
        <v>371.85</v>
      </c>
      <c r="F118" t="s">
        <v>1578</v>
      </c>
      <c r="G118" t="s">
        <v>1074</v>
      </c>
    </row>
    <row r="119" spans="1:7">
      <c r="A119" t="s">
        <v>1722</v>
      </c>
      <c r="B119" s="2">
        <v>45660</v>
      </c>
      <c r="C119" t="s">
        <v>119</v>
      </c>
      <c r="D119" t="s">
        <v>1629</v>
      </c>
      <c r="E119">
        <v>373.7</v>
      </c>
      <c r="F119" t="s">
        <v>1578</v>
      </c>
      <c r="G119" t="s">
        <v>1074</v>
      </c>
    </row>
    <row r="120" spans="1:7">
      <c r="A120" t="s">
        <v>1723</v>
      </c>
      <c r="B120" s="2">
        <v>45661</v>
      </c>
      <c r="C120" t="s">
        <v>61</v>
      </c>
      <c r="D120" t="s">
        <v>1629</v>
      </c>
      <c r="E120">
        <v>223.38</v>
      </c>
      <c r="F120" t="s">
        <v>1578</v>
      </c>
      <c r="G120" t="s">
        <v>1076</v>
      </c>
    </row>
    <row r="121" spans="1:7">
      <c r="A121" t="s">
        <v>1724</v>
      </c>
      <c r="B121" s="2">
        <v>45661</v>
      </c>
      <c r="C121" t="s">
        <v>65</v>
      </c>
      <c r="D121" t="s">
        <v>1629</v>
      </c>
      <c r="E121">
        <v>222.28</v>
      </c>
      <c r="F121" t="s">
        <v>1578</v>
      </c>
      <c r="G121" t="s">
        <v>1076</v>
      </c>
    </row>
    <row r="122" spans="1:7">
      <c r="A122" t="s">
        <v>1725</v>
      </c>
      <c r="B122" s="2">
        <v>45661</v>
      </c>
      <c r="C122" t="s">
        <v>68</v>
      </c>
      <c r="D122" t="s">
        <v>1629</v>
      </c>
      <c r="E122">
        <v>223.38</v>
      </c>
      <c r="F122" t="s">
        <v>1578</v>
      </c>
      <c r="G122" t="s">
        <v>1076</v>
      </c>
    </row>
    <row r="123" spans="1:7">
      <c r="A123" t="s">
        <v>1726</v>
      </c>
      <c r="B123" s="2">
        <v>45661</v>
      </c>
      <c r="C123" t="s">
        <v>70</v>
      </c>
      <c r="D123" t="s">
        <v>1629</v>
      </c>
      <c r="E123">
        <v>221.19</v>
      </c>
      <c r="F123" t="s">
        <v>1578</v>
      </c>
      <c r="G123" t="s">
        <v>1076</v>
      </c>
    </row>
    <row r="124" spans="1:7">
      <c r="A124" t="s">
        <v>1727</v>
      </c>
      <c r="B124" s="2">
        <v>45661</v>
      </c>
      <c r="C124" t="s">
        <v>75</v>
      </c>
      <c r="D124" t="s">
        <v>1629</v>
      </c>
      <c r="E124">
        <v>221.19</v>
      </c>
      <c r="F124" t="s">
        <v>1578</v>
      </c>
      <c r="G124" t="s">
        <v>1076</v>
      </c>
    </row>
    <row r="125" spans="1:7">
      <c r="A125" t="s">
        <v>1728</v>
      </c>
      <c r="B125" s="2">
        <v>45661</v>
      </c>
      <c r="C125" t="s">
        <v>77</v>
      </c>
      <c r="D125" t="s">
        <v>1629</v>
      </c>
      <c r="E125">
        <v>221.19</v>
      </c>
      <c r="F125" t="s">
        <v>1578</v>
      </c>
      <c r="G125" t="s">
        <v>1076</v>
      </c>
    </row>
    <row r="126" spans="1:7">
      <c r="A126" t="s">
        <v>1729</v>
      </c>
      <c r="B126" s="2">
        <v>45661</v>
      </c>
      <c r="C126" t="s">
        <v>79</v>
      </c>
      <c r="D126" t="s">
        <v>1629</v>
      </c>
      <c r="E126">
        <v>223.38</v>
      </c>
      <c r="F126" t="s">
        <v>1578</v>
      </c>
      <c r="G126" t="s">
        <v>1076</v>
      </c>
    </row>
    <row r="127" spans="1:7">
      <c r="A127" t="s">
        <v>1730</v>
      </c>
      <c r="B127" s="2">
        <v>45661</v>
      </c>
      <c r="C127" t="s">
        <v>81</v>
      </c>
      <c r="D127" t="s">
        <v>1629</v>
      </c>
      <c r="E127">
        <v>442.38</v>
      </c>
      <c r="F127" t="s">
        <v>1578</v>
      </c>
      <c r="G127" t="s">
        <v>1076</v>
      </c>
    </row>
    <row r="128" spans="1:7">
      <c r="A128" t="s">
        <v>1731</v>
      </c>
      <c r="B128" s="2">
        <v>45661</v>
      </c>
      <c r="C128" t="s">
        <v>110</v>
      </c>
      <c r="D128" t="s">
        <v>1629</v>
      </c>
      <c r="E128">
        <v>223.38</v>
      </c>
      <c r="F128" t="s">
        <v>1578</v>
      </c>
      <c r="G128" t="s">
        <v>1076</v>
      </c>
    </row>
    <row r="129" spans="1:7">
      <c r="A129" t="s">
        <v>1732</v>
      </c>
      <c r="B129" s="2">
        <v>45661</v>
      </c>
      <c r="C129" t="s">
        <v>114</v>
      </c>
      <c r="D129" t="s">
        <v>1629</v>
      </c>
      <c r="E129">
        <v>221.19</v>
      </c>
      <c r="F129" t="s">
        <v>1578</v>
      </c>
      <c r="G129" t="s">
        <v>1076</v>
      </c>
    </row>
    <row r="130" spans="1:7">
      <c r="A130" t="s">
        <v>1733</v>
      </c>
      <c r="B130" s="2">
        <v>45661</v>
      </c>
      <c r="C130" t="s">
        <v>117</v>
      </c>
      <c r="D130" t="s">
        <v>1629</v>
      </c>
      <c r="E130">
        <v>220.09</v>
      </c>
      <c r="F130" t="s">
        <v>1578</v>
      </c>
      <c r="G130" t="s">
        <v>1076</v>
      </c>
    </row>
    <row r="131" spans="1:7">
      <c r="A131" t="s">
        <v>1734</v>
      </c>
      <c r="B131" s="2">
        <v>45661</v>
      </c>
      <c r="C131" t="s">
        <v>119</v>
      </c>
      <c r="D131" t="s">
        <v>1629</v>
      </c>
      <c r="E131">
        <v>221.19</v>
      </c>
      <c r="F131" t="s">
        <v>1578</v>
      </c>
      <c r="G131" t="s">
        <v>1076</v>
      </c>
    </row>
    <row r="132" spans="1:7">
      <c r="A132" t="s">
        <v>1735</v>
      </c>
      <c r="B132" s="2">
        <v>45661</v>
      </c>
      <c r="C132" t="s">
        <v>87</v>
      </c>
      <c r="D132" t="s">
        <v>1683</v>
      </c>
      <c r="E132">
        <v>144</v>
      </c>
      <c r="F132" t="s">
        <v>1578</v>
      </c>
      <c r="G132" t="s">
        <v>362</v>
      </c>
    </row>
    <row r="133" spans="1:7">
      <c r="A133" t="s">
        <v>1736</v>
      </c>
      <c r="B133" s="2">
        <v>45663</v>
      </c>
      <c r="C133" t="s">
        <v>61</v>
      </c>
      <c r="D133" t="s">
        <v>1629</v>
      </c>
      <c r="E133">
        <v>404.94</v>
      </c>
      <c r="F133" t="s">
        <v>1578</v>
      </c>
      <c r="G133" t="s">
        <v>1077</v>
      </c>
    </row>
    <row r="134" spans="1:7">
      <c r="A134" t="s">
        <v>1737</v>
      </c>
      <c r="B134" s="2">
        <v>45663</v>
      </c>
      <c r="C134" t="s">
        <v>65</v>
      </c>
      <c r="D134" t="s">
        <v>1629</v>
      </c>
      <c r="E134">
        <v>402.96</v>
      </c>
      <c r="F134" t="s">
        <v>1578</v>
      </c>
      <c r="G134" t="s">
        <v>1077</v>
      </c>
    </row>
    <row r="135" spans="1:7">
      <c r="A135" t="s">
        <v>1738</v>
      </c>
      <c r="B135" s="2">
        <v>45663</v>
      </c>
      <c r="C135" t="s">
        <v>68</v>
      </c>
      <c r="D135" t="s">
        <v>1629</v>
      </c>
      <c r="E135">
        <v>404.94</v>
      </c>
      <c r="F135" t="s">
        <v>1578</v>
      </c>
      <c r="G135" t="s">
        <v>1077</v>
      </c>
    </row>
    <row r="136" spans="1:7">
      <c r="A136" t="s">
        <v>1739</v>
      </c>
      <c r="B136" s="2">
        <v>45663</v>
      </c>
      <c r="C136" t="s">
        <v>75</v>
      </c>
      <c r="D136" t="s">
        <v>1629</v>
      </c>
      <c r="E136">
        <v>400.97</v>
      </c>
      <c r="F136" t="s">
        <v>1578</v>
      </c>
      <c r="G136" t="s">
        <v>1077</v>
      </c>
    </row>
    <row r="137" spans="1:7">
      <c r="A137" t="s">
        <v>1740</v>
      </c>
      <c r="B137" s="2">
        <v>45663</v>
      </c>
      <c r="C137" t="s">
        <v>79</v>
      </c>
      <c r="D137" t="s">
        <v>1629</v>
      </c>
      <c r="E137">
        <v>404.94</v>
      </c>
      <c r="F137" t="s">
        <v>1578</v>
      </c>
      <c r="G137" t="s">
        <v>1077</v>
      </c>
    </row>
    <row r="138" spans="1:7">
      <c r="A138" t="s">
        <v>1741</v>
      </c>
      <c r="B138" s="2">
        <v>45663</v>
      </c>
      <c r="C138" t="s">
        <v>81</v>
      </c>
      <c r="D138" t="s">
        <v>1629</v>
      </c>
      <c r="E138">
        <v>801.94</v>
      </c>
      <c r="F138" t="s">
        <v>1578</v>
      </c>
      <c r="G138" t="s">
        <v>1077</v>
      </c>
    </row>
    <row r="139" spans="1:7">
      <c r="A139" t="s">
        <v>1742</v>
      </c>
      <c r="B139" s="2">
        <v>45663</v>
      </c>
      <c r="C139" t="s">
        <v>110</v>
      </c>
      <c r="D139" t="s">
        <v>1629</v>
      </c>
      <c r="E139">
        <v>404.94</v>
      </c>
      <c r="F139" t="s">
        <v>1578</v>
      </c>
      <c r="G139" t="s">
        <v>1077</v>
      </c>
    </row>
    <row r="140" spans="1:7">
      <c r="A140" t="s">
        <v>1743</v>
      </c>
      <c r="B140" s="2">
        <v>45663</v>
      </c>
      <c r="C140" t="s">
        <v>114</v>
      </c>
      <c r="D140" t="s">
        <v>1629</v>
      </c>
      <c r="E140">
        <v>400.97</v>
      </c>
      <c r="F140" t="s">
        <v>1578</v>
      </c>
      <c r="G140" t="s">
        <v>1077</v>
      </c>
    </row>
    <row r="141" spans="1:7">
      <c r="A141" t="s">
        <v>1744</v>
      </c>
      <c r="B141" s="2">
        <v>45663</v>
      </c>
      <c r="C141" t="s">
        <v>117</v>
      </c>
      <c r="D141" t="s">
        <v>1629</v>
      </c>
      <c r="E141">
        <v>398.98</v>
      </c>
      <c r="F141" t="s">
        <v>1578</v>
      </c>
      <c r="G141" t="s">
        <v>1077</v>
      </c>
    </row>
    <row r="142" spans="1:7">
      <c r="A142" t="s">
        <v>1745</v>
      </c>
      <c r="B142" s="2">
        <v>45663</v>
      </c>
      <c r="C142" t="s">
        <v>119</v>
      </c>
      <c r="D142" t="s">
        <v>1629</v>
      </c>
      <c r="E142">
        <v>400.97</v>
      </c>
      <c r="F142" t="s">
        <v>1578</v>
      </c>
      <c r="G142" t="s">
        <v>1077</v>
      </c>
    </row>
    <row r="143" spans="1:7">
      <c r="A143" t="s">
        <v>1746</v>
      </c>
      <c r="B143" s="2">
        <v>45663</v>
      </c>
      <c r="C143" t="s">
        <v>61</v>
      </c>
      <c r="D143" t="s">
        <v>1629</v>
      </c>
      <c r="E143">
        <v>188.7</v>
      </c>
      <c r="F143" t="s">
        <v>1578</v>
      </c>
      <c r="G143" t="s">
        <v>1078</v>
      </c>
    </row>
    <row r="144" spans="1:7">
      <c r="A144" t="s">
        <v>1747</v>
      </c>
      <c r="B144" s="2">
        <v>45663</v>
      </c>
      <c r="C144" t="s">
        <v>65</v>
      </c>
      <c r="D144" t="s">
        <v>1629</v>
      </c>
      <c r="E144">
        <v>187.77</v>
      </c>
      <c r="F144" t="s">
        <v>1578</v>
      </c>
      <c r="G144" t="s">
        <v>1078</v>
      </c>
    </row>
    <row r="145" spans="1:7">
      <c r="A145" t="s">
        <v>1748</v>
      </c>
      <c r="B145" s="2">
        <v>45663</v>
      </c>
      <c r="C145" t="s">
        <v>68</v>
      </c>
      <c r="D145" t="s">
        <v>1629</v>
      </c>
      <c r="E145">
        <v>188.7</v>
      </c>
      <c r="F145" t="s">
        <v>1578</v>
      </c>
      <c r="G145" t="s">
        <v>1078</v>
      </c>
    </row>
    <row r="146" spans="1:7">
      <c r="A146" t="s">
        <v>1749</v>
      </c>
      <c r="B146" s="2">
        <v>45663</v>
      </c>
      <c r="C146" t="s">
        <v>75</v>
      </c>
      <c r="D146" t="s">
        <v>1629</v>
      </c>
      <c r="E146">
        <v>186.85</v>
      </c>
      <c r="F146" t="s">
        <v>1578</v>
      </c>
      <c r="G146" t="s">
        <v>1078</v>
      </c>
    </row>
    <row r="147" spans="1:7">
      <c r="A147" t="s">
        <v>1750</v>
      </c>
      <c r="B147" s="2">
        <v>45663</v>
      </c>
      <c r="C147" t="s">
        <v>79</v>
      </c>
      <c r="D147" t="s">
        <v>1629</v>
      </c>
      <c r="E147">
        <v>188.7</v>
      </c>
      <c r="F147" t="s">
        <v>1578</v>
      </c>
      <c r="G147" t="s">
        <v>1078</v>
      </c>
    </row>
    <row r="148" spans="1:7">
      <c r="A148" t="s">
        <v>1751</v>
      </c>
      <c r="B148" s="2">
        <v>45663</v>
      </c>
      <c r="C148" t="s">
        <v>81</v>
      </c>
      <c r="D148" t="s">
        <v>1629</v>
      </c>
      <c r="E148">
        <v>373.7</v>
      </c>
      <c r="F148" t="s">
        <v>1578</v>
      </c>
      <c r="G148" t="s">
        <v>1078</v>
      </c>
    </row>
    <row r="149" spans="1:7">
      <c r="A149" t="s">
        <v>1752</v>
      </c>
      <c r="B149" s="2">
        <v>45663</v>
      </c>
      <c r="C149" t="s">
        <v>110</v>
      </c>
      <c r="D149" t="s">
        <v>1629</v>
      </c>
      <c r="E149">
        <v>188.7</v>
      </c>
      <c r="F149" t="s">
        <v>1578</v>
      </c>
      <c r="G149" t="s">
        <v>1078</v>
      </c>
    </row>
    <row r="150" spans="1:7">
      <c r="A150" t="s">
        <v>1753</v>
      </c>
      <c r="B150" s="2">
        <v>45663</v>
      </c>
      <c r="C150" t="s">
        <v>114</v>
      </c>
      <c r="D150" t="s">
        <v>1629</v>
      </c>
      <c r="E150">
        <v>186.85</v>
      </c>
      <c r="F150" t="s">
        <v>1578</v>
      </c>
      <c r="G150" t="s">
        <v>1078</v>
      </c>
    </row>
    <row r="151" spans="1:7">
      <c r="A151" t="s">
        <v>1754</v>
      </c>
      <c r="B151" s="2">
        <v>45663</v>
      </c>
      <c r="C151" t="s">
        <v>117</v>
      </c>
      <c r="D151" t="s">
        <v>1629</v>
      </c>
      <c r="E151">
        <v>185.92</v>
      </c>
      <c r="F151" t="s">
        <v>1578</v>
      </c>
      <c r="G151" t="s">
        <v>1078</v>
      </c>
    </row>
    <row r="152" spans="1:7">
      <c r="A152" t="s">
        <v>1755</v>
      </c>
      <c r="B152" s="2">
        <v>45663</v>
      </c>
      <c r="C152" t="s">
        <v>119</v>
      </c>
      <c r="D152" t="s">
        <v>1629</v>
      </c>
      <c r="E152">
        <v>186.85</v>
      </c>
      <c r="F152" t="s">
        <v>1578</v>
      </c>
      <c r="G152" t="s">
        <v>1078</v>
      </c>
    </row>
    <row r="153" spans="1:7">
      <c r="A153" t="s">
        <v>1756</v>
      </c>
      <c r="B153" s="2">
        <v>45663</v>
      </c>
      <c r="C153" t="s">
        <v>89</v>
      </c>
      <c r="D153" t="s">
        <v>1683</v>
      </c>
      <c r="E153">
        <v>115</v>
      </c>
      <c r="F153" t="s">
        <v>1578</v>
      </c>
      <c r="G153" t="s">
        <v>363</v>
      </c>
    </row>
    <row r="154" spans="1:7">
      <c r="A154" t="s">
        <v>1757</v>
      </c>
      <c r="B154" s="2">
        <v>45664</v>
      </c>
      <c r="C154" t="s">
        <v>61</v>
      </c>
      <c r="D154" t="s">
        <v>1629</v>
      </c>
      <c r="E154">
        <v>457.98</v>
      </c>
      <c r="F154" t="s">
        <v>1578</v>
      </c>
      <c r="G154" t="s">
        <v>1079</v>
      </c>
    </row>
    <row r="155" spans="1:7">
      <c r="A155" t="s">
        <v>1758</v>
      </c>
      <c r="B155" s="2">
        <v>45664</v>
      </c>
      <c r="C155" t="s">
        <v>65</v>
      </c>
      <c r="D155" t="s">
        <v>1629</v>
      </c>
      <c r="E155">
        <v>455.73</v>
      </c>
      <c r="F155" t="s">
        <v>1578</v>
      </c>
      <c r="G155" t="s">
        <v>1079</v>
      </c>
    </row>
    <row r="156" spans="1:7">
      <c r="A156" t="s">
        <v>1759</v>
      </c>
      <c r="B156" s="2">
        <v>45664</v>
      </c>
      <c r="C156" t="s">
        <v>68</v>
      </c>
      <c r="D156" t="s">
        <v>1629</v>
      </c>
      <c r="E156">
        <v>457.98</v>
      </c>
      <c r="F156" t="s">
        <v>1578</v>
      </c>
      <c r="G156" t="s">
        <v>1079</v>
      </c>
    </row>
    <row r="157" spans="1:7">
      <c r="A157" t="s">
        <v>1760</v>
      </c>
      <c r="B157" s="2">
        <v>45664</v>
      </c>
      <c r="C157" t="s">
        <v>70</v>
      </c>
      <c r="D157" t="s">
        <v>1629</v>
      </c>
      <c r="E157">
        <v>453.49</v>
      </c>
      <c r="F157" t="s">
        <v>1578</v>
      </c>
      <c r="G157" t="s">
        <v>1079</v>
      </c>
    </row>
    <row r="158" spans="1:7">
      <c r="A158" t="s">
        <v>1761</v>
      </c>
      <c r="B158" s="2">
        <v>45664</v>
      </c>
      <c r="C158" t="s">
        <v>75</v>
      </c>
      <c r="D158" t="s">
        <v>1629</v>
      </c>
      <c r="E158">
        <v>453.49</v>
      </c>
      <c r="F158" t="s">
        <v>1578</v>
      </c>
      <c r="G158" t="s">
        <v>1079</v>
      </c>
    </row>
    <row r="159" spans="1:7">
      <c r="A159" t="s">
        <v>1762</v>
      </c>
      <c r="B159" s="2">
        <v>45664</v>
      </c>
      <c r="C159" t="s">
        <v>77</v>
      </c>
      <c r="D159" t="s">
        <v>1629</v>
      </c>
      <c r="E159">
        <v>453.49</v>
      </c>
      <c r="F159" t="s">
        <v>1578</v>
      </c>
      <c r="G159" t="s">
        <v>1079</v>
      </c>
    </row>
    <row r="160" spans="1:7">
      <c r="A160" t="s">
        <v>1763</v>
      </c>
      <c r="B160" s="2">
        <v>45664</v>
      </c>
      <c r="C160" t="s">
        <v>79</v>
      </c>
      <c r="D160" t="s">
        <v>1629</v>
      </c>
      <c r="E160">
        <v>457.98</v>
      </c>
      <c r="F160" t="s">
        <v>1578</v>
      </c>
      <c r="G160" t="s">
        <v>1079</v>
      </c>
    </row>
    <row r="161" spans="1:7">
      <c r="A161" t="s">
        <v>1764</v>
      </c>
      <c r="B161" s="2">
        <v>45664</v>
      </c>
      <c r="C161" t="s">
        <v>81</v>
      </c>
      <c r="D161" t="s">
        <v>1629</v>
      </c>
      <c r="E161">
        <v>906.98</v>
      </c>
      <c r="F161" t="s">
        <v>1578</v>
      </c>
      <c r="G161" t="s">
        <v>1079</v>
      </c>
    </row>
    <row r="162" spans="1:7">
      <c r="A162" t="s">
        <v>1765</v>
      </c>
      <c r="B162" s="2">
        <v>45664</v>
      </c>
      <c r="C162" t="s">
        <v>110</v>
      </c>
      <c r="D162" t="s">
        <v>1629</v>
      </c>
      <c r="E162">
        <v>457.98</v>
      </c>
      <c r="F162" t="s">
        <v>1578</v>
      </c>
      <c r="G162" t="s">
        <v>1079</v>
      </c>
    </row>
    <row r="163" spans="1:7">
      <c r="A163" t="s">
        <v>1766</v>
      </c>
      <c r="B163" s="2">
        <v>45664</v>
      </c>
      <c r="C163" t="s">
        <v>114</v>
      </c>
      <c r="D163" t="s">
        <v>1629</v>
      </c>
      <c r="E163">
        <v>453.49</v>
      </c>
      <c r="F163" t="s">
        <v>1578</v>
      </c>
      <c r="G163" t="s">
        <v>1079</v>
      </c>
    </row>
    <row r="164" spans="1:7">
      <c r="A164" t="s">
        <v>1767</v>
      </c>
      <c r="B164" s="2">
        <v>45664</v>
      </c>
      <c r="C164" t="s">
        <v>117</v>
      </c>
      <c r="D164" t="s">
        <v>1629</v>
      </c>
      <c r="E164">
        <v>451.24</v>
      </c>
      <c r="F164" t="s">
        <v>1578</v>
      </c>
      <c r="G164" t="s">
        <v>1079</v>
      </c>
    </row>
    <row r="165" spans="1:7">
      <c r="A165" t="s">
        <v>1768</v>
      </c>
      <c r="B165" s="2">
        <v>45664</v>
      </c>
      <c r="C165" t="s">
        <v>119</v>
      </c>
      <c r="D165" t="s">
        <v>1629</v>
      </c>
      <c r="E165">
        <v>453.49</v>
      </c>
      <c r="F165" t="s">
        <v>1578</v>
      </c>
      <c r="G165" t="s">
        <v>1079</v>
      </c>
    </row>
    <row r="166" spans="1:7">
      <c r="A166" t="s">
        <v>1769</v>
      </c>
      <c r="B166" s="2">
        <v>45665</v>
      </c>
      <c r="C166" t="s">
        <v>61</v>
      </c>
      <c r="D166" t="s">
        <v>1629</v>
      </c>
      <c r="E166">
        <v>181.56</v>
      </c>
      <c r="F166" t="s">
        <v>1578</v>
      </c>
      <c r="G166" t="s">
        <v>1080</v>
      </c>
    </row>
    <row r="167" spans="1:7">
      <c r="A167" t="s">
        <v>1770</v>
      </c>
      <c r="B167" s="2">
        <v>45665</v>
      </c>
      <c r="C167" t="s">
        <v>65</v>
      </c>
      <c r="D167" t="s">
        <v>1629</v>
      </c>
      <c r="E167">
        <v>180.67</v>
      </c>
      <c r="F167" t="s">
        <v>1578</v>
      </c>
      <c r="G167" t="s">
        <v>1080</v>
      </c>
    </row>
    <row r="168" spans="1:7">
      <c r="A168" t="s">
        <v>1771</v>
      </c>
      <c r="B168" s="2">
        <v>45665</v>
      </c>
      <c r="C168" t="s">
        <v>68</v>
      </c>
      <c r="D168" t="s">
        <v>1629</v>
      </c>
      <c r="E168">
        <v>181.56</v>
      </c>
      <c r="F168" t="s">
        <v>1578</v>
      </c>
      <c r="G168" t="s">
        <v>1080</v>
      </c>
    </row>
    <row r="169" spans="1:7">
      <c r="A169" t="s">
        <v>1772</v>
      </c>
      <c r="B169" s="2">
        <v>45665</v>
      </c>
      <c r="C169" t="s">
        <v>75</v>
      </c>
      <c r="D169" t="s">
        <v>1629</v>
      </c>
      <c r="E169">
        <v>179.78</v>
      </c>
      <c r="F169" t="s">
        <v>1578</v>
      </c>
      <c r="G169" t="s">
        <v>1080</v>
      </c>
    </row>
    <row r="170" spans="1:7">
      <c r="A170" t="s">
        <v>1773</v>
      </c>
      <c r="B170" s="2">
        <v>45665</v>
      </c>
      <c r="C170" t="s">
        <v>79</v>
      </c>
      <c r="D170" t="s">
        <v>1629</v>
      </c>
      <c r="E170">
        <v>181.56</v>
      </c>
      <c r="F170" t="s">
        <v>1578</v>
      </c>
      <c r="G170" t="s">
        <v>1080</v>
      </c>
    </row>
    <row r="171" spans="1:7">
      <c r="A171" t="s">
        <v>1774</v>
      </c>
      <c r="B171" s="2">
        <v>45665</v>
      </c>
      <c r="C171" t="s">
        <v>81</v>
      </c>
      <c r="D171" t="s">
        <v>1629</v>
      </c>
      <c r="E171">
        <v>359.56</v>
      </c>
      <c r="F171" t="s">
        <v>1578</v>
      </c>
      <c r="G171" t="s">
        <v>1080</v>
      </c>
    </row>
    <row r="172" spans="1:7">
      <c r="A172" t="s">
        <v>1775</v>
      </c>
      <c r="B172" s="2">
        <v>45665</v>
      </c>
      <c r="C172" t="s">
        <v>110</v>
      </c>
      <c r="D172" t="s">
        <v>1629</v>
      </c>
      <c r="E172">
        <v>181.56</v>
      </c>
      <c r="F172" t="s">
        <v>1578</v>
      </c>
      <c r="G172" t="s">
        <v>1080</v>
      </c>
    </row>
    <row r="173" spans="1:7">
      <c r="A173" t="s">
        <v>1776</v>
      </c>
      <c r="B173" s="2">
        <v>45665</v>
      </c>
      <c r="C173" t="s">
        <v>114</v>
      </c>
      <c r="D173" t="s">
        <v>1629</v>
      </c>
      <c r="E173">
        <v>179.78</v>
      </c>
      <c r="F173" t="s">
        <v>1578</v>
      </c>
      <c r="G173" t="s">
        <v>1080</v>
      </c>
    </row>
    <row r="174" spans="1:7">
      <c r="A174" t="s">
        <v>1777</v>
      </c>
      <c r="B174" s="2">
        <v>45665</v>
      </c>
      <c r="C174" t="s">
        <v>117</v>
      </c>
      <c r="D174" t="s">
        <v>1629</v>
      </c>
      <c r="E174">
        <v>178.89</v>
      </c>
      <c r="F174" t="s">
        <v>1578</v>
      </c>
      <c r="G174" t="s">
        <v>1080</v>
      </c>
    </row>
    <row r="175" spans="1:7">
      <c r="A175" t="s">
        <v>1778</v>
      </c>
      <c r="B175" s="2">
        <v>45665</v>
      </c>
      <c r="C175" t="s">
        <v>119</v>
      </c>
      <c r="D175" t="s">
        <v>1629</v>
      </c>
      <c r="E175">
        <v>179.78</v>
      </c>
      <c r="F175" t="s">
        <v>1578</v>
      </c>
      <c r="G175" t="s">
        <v>1080</v>
      </c>
    </row>
    <row r="176" spans="1:7">
      <c r="A176" t="s">
        <v>1779</v>
      </c>
      <c r="B176" s="2">
        <v>45665</v>
      </c>
      <c r="C176" t="s">
        <v>84</v>
      </c>
      <c r="D176" t="s">
        <v>1683</v>
      </c>
      <c r="E176">
        <v>289</v>
      </c>
      <c r="F176" t="s">
        <v>1578</v>
      </c>
      <c r="G176" t="s">
        <v>368</v>
      </c>
    </row>
    <row r="177" spans="1:7">
      <c r="A177" t="s">
        <v>1780</v>
      </c>
      <c r="B177" s="2">
        <v>45666</v>
      </c>
      <c r="C177" t="s">
        <v>68</v>
      </c>
      <c r="D177" t="s">
        <v>1683</v>
      </c>
      <c r="E177">
        <v>150</v>
      </c>
      <c r="F177" t="s">
        <v>1578</v>
      </c>
      <c r="G177" t="s">
        <v>369</v>
      </c>
    </row>
    <row r="178" spans="1:7">
      <c r="A178" t="s">
        <v>1781</v>
      </c>
      <c r="B178" s="2">
        <v>45667</v>
      </c>
      <c r="C178" t="s">
        <v>61</v>
      </c>
      <c r="D178" t="s">
        <v>1629</v>
      </c>
      <c r="E178">
        <v>422.28</v>
      </c>
      <c r="F178" t="s">
        <v>1578</v>
      </c>
      <c r="G178" t="s">
        <v>1081</v>
      </c>
    </row>
    <row r="179" spans="1:7">
      <c r="A179" t="s">
        <v>1782</v>
      </c>
      <c r="B179" s="2">
        <v>45667</v>
      </c>
      <c r="C179" t="s">
        <v>65</v>
      </c>
      <c r="D179" t="s">
        <v>1629</v>
      </c>
      <c r="E179">
        <v>420.21</v>
      </c>
      <c r="F179" t="s">
        <v>1578</v>
      </c>
      <c r="G179" t="s">
        <v>1081</v>
      </c>
    </row>
    <row r="180" spans="1:7">
      <c r="A180" t="s">
        <v>1783</v>
      </c>
      <c r="B180" s="2">
        <v>45667</v>
      </c>
      <c r="C180" t="s">
        <v>68</v>
      </c>
      <c r="D180" t="s">
        <v>1629</v>
      </c>
      <c r="E180">
        <v>422.28</v>
      </c>
      <c r="F180" t="s">
        <v>1578</v>
      </c>
      <c r="G180" t="s">
        <v>1081</v>
      </c>
    </row>
    <row r="181" spans="1:7">
      <c r="A181" t="s">
        <v>1784</v>
      </c>
      <c r="B181" s="2">
        <v>45667</v>
      </c>
      <c r="C181" t="s">
        <v>70</v>
      </c>
      <c r="D181" t="s">
        <v>1629</v>
      </c>
      <c r="E181">
        <v>418.14</v>
      </c>
      <c r="F181" t="s">
        <v>1578</v>
      </c>
      <c r="G181" t="s">
        <v>1081</v>
      </c>
    </row>
    <row r="182" spans="1:7">
      <c r="A182" t="s">
        <v>1785</v>
      </c>
      <c r="B182" s="2">
        <v>45667</v>
      </c>
      <c r="C182" t="s">
        <v>75</v>
      </c>
      <c r="D182" t="s">
        <v>1629</v>
      </c>
      <c r="E182">
        <v>418.14</v>
      </c>
      <c r="F182" t="s">
        <v>1578</v>
      </c>
      <c r="G182" t="s">
        <v>1081</v>
      </c>
    </row>
    <row r="183" spans="1:7">
      <c r="A183" t="s">
        <v>1786</v>
      </c>
      <c r="B183" s="2">
        <v>45667</v>
      </c>
      <c r="C183" t="s">
        <v>77</v>
      </c>
      <c r="D183" t="s">
        <v>1629</v>
      </c>
      <c r="E183">
        <v>418.14</v>
      </c>
      <c r="F183" t="s">
        <v>1578</v>
      </c>
      <c r="G183" t="s">
        <v>1081</v>
      </c>
    </row>
    <row r="184" spans="1:7">
      <c r="A184" t="s">
        <v>1787</v>
      </c>
      <c r="B184" s="2">
        <v>45667</v>
      </c>
      <c r="C184" t="s">
        <v>79</v>
      </c>
      <c r="D184" t="s">
        <v>1629</v>
      </c>
      <c r="E184">
        <v>422.28</v>
      </c>
      <c r="F184" t="s">
        <v>1578</v>
      </c>
      <c r="G184" t="s">
        <v>1081</v>
      </c>
    </row>
    <row r="185" spans="1:7">
      <c r="A185" t="s">
        <v>1788</v>
      </c>
      <c r="B185" s="2">
        <v>45667</v>
      </c>
      <c r="C185" t="s">
        <v>81</v>
      </c>
      <c r="D185" t="s">
        <v>1629</v>
      </c>
      <c r="E185">
        <v>836.28</v>
      </c>
      <c r="F185" t="s">
        <v>1578</v>
      </c>
      <c r="G185" t="s">
        <v>1081</v>
      </c>
    </row>
    <row r="186" spans="1:7">
      <c r="A186" t="s">
        <v>1789</v>
      </c>
      <c r="B186" s="2">
        <v>45667</v>
      </c>
      <c r="C186" t="s">
        <v>110</v>
      </c>
      <c r="D186" t="s">
        <v>1629</v>
      </c>
      <c r="E186">
        <v>422.28</v>
      </c>
      <c r="F186" t="s">
        <v>1578</v>
      </c>
      <c r="G186" t="s">
        <v>1081</v>
      </c>
    </row>
    <row r="187" spans="1:7">
      <c r="A187" t="s">
        <v>1790</v>
      </c>
      <c r="B187" s="2">
        <v>45667</v>
      </c>
      <c r="C187" t="s">
        <v>114</v>
      </c>
      <c r="D187" t="s">
        <v>1629</v>
      </c>
      <c r="E187">
        <v>418.14</v>
      </c>
      <c r="F187" t="s">
        <v>1578</v>
      </c>
      <c r="G187" t="s">
        <v>1081</v>
      </c>
    </row>
    <row r="188" spans="1:7">
      <c r="A188" t="s">
        <v>1791</v>
      </c>
      <c r="B188" s="2">
        <v>45667</v>
      </c>
      <c r="C188" t="s">
        <v>117</v>
      </c>
      <c r="D188" t="s">
        <v>1629</v>
      </c>
      <c r="E188">
        <v>416.07</v>
      </c>
      <c r="F188" t="s">
        <v>1578</v>
      </c>
      <c r="G188" t="s">
        <v>1081</v>
      </c>
    </row>
    <row r="189" spans="1:7">
      <c r="A189" t="s">
        <v>1792</v>
      </c>
      <c r="B189" s="2">
        <v>45667</v>
      </c>
      <c r="C189" t="s">
        <v>119</v>
      </c>
      <c r="D189" t="s">
        <v>1629</v>
      </c>
      <c r="E189">
        <v>418.14</v>
      </c>
      <c r="F189" t="s">
        <v>1578</v>
      </c>
      <c r="G189" t="s">
        <v>1081</v>
      </c>
    </row>
    <row r="190" spans="1:7">
      <c r="A190" t="s">
        <v>1793</v>
      </c>
      <c r="B190" s="2">
        <v>45667</v>
      </c>
      <c r="C190" t="s">
        <v>75</v>
      </c>
      <c r="D190" t="s">
        <v>1629</v>
      </c>
      <c r="E190">
        <v>140.38999999999999</v>
      </c>
      <c r="F190" t="s">
        <v>1578</v>
      </c>
      <c r="G190" t="s">
        <v>1082</v>
      </c>
    </row>
    <row r="191" spans="1:7">
      <c r="A191" t="s">
        <v>1794</v>
      </c>
      <c r="B191" s="2">
        <v>45667</v>
      </c>
      <c r="C191" t="s">
        <v>91</v>
      </c>
      <c r="D191" t="s">
        <v>1629</v>
      </c>
      <c r="E191">
        <v>142.47999999999999</v>
      </c>
      <c r="F191" t="s">
        <v>1578</v>
      </c>
      <c r="G191" t="s">
        <v>1082</v>
      </c>
    </row>
    <row r="192" spans="1:7">
      <c r="A192" t="s">
        <v>1795</v>
      </c>
      <c r="B192" s="2">
        <v>45667</v>
      </c>
      <c r="C192" t="s">
        <v>93</v>
      </c>
      <c r="D192" t="s">
        <v>1629</v>
      </c>
      <c r="E192">
        <v>141.78</v>
      </c>
      <c r="F192" t="s">
        <v>1578</v>
      </c>
      <c r="G192" t="s">
        <v>1082</v>
      </c>
    </row>
    <row r="193" spans="1:7">
      <c r="A193" t="s">
        <v>1796</v>
      </c>
      <c r="B193" s="2">
        <v>45667</v>
      </c>
      <c r="C193" t="s">
        <v>95</v>
      </c>
      <c r="D193" t="s">
        <v>1629</v>
      </c>
      <c r="E193">
        <v>141.08000000000001</v>
      </c>
      <c r="F193" t="s">
        <v>1578</v>
      </c>
      <c r="G193" t="s">
        <v>1082</v>
      </c>
    </row>
    <row r="194" spans="1:7">
      <c r="A194" t="s">
        <v>1797</v>
      </c>
      <c r="B194" s="2">
        <v>45667</v>
      </c>
      <c r="C194" t="s">
        <v>97</v>
      </c>
      <c r="D194" t="s">
        <v>1629</v>
      </c>
      <c r="E194">
        <v>140.38999999999999</v>
      </c>
      <c r="F194" t="s">
        <v>1578</v>
      </c>
      <c r="G194" t="s">
        <v>1082</v>
      </c>
    </row>
    <row r="195" spans="1:7">
      <c r="A195" t="s">
        <v>1798</v>
      </c>
      <c r="B195" s="2">
        <v>45667</v>
      </c>
      <c r="C195" t="s">
        <v>99</v>
      </c>
      <c r="D195" t="s">
        <v>1629</v>
      </c>
      <c r="E195">
        <v>171.8</v>
      </c>
      <c r="F195" t="s">
        <v>1578</v>
      </c>
      <c r="G195" t="s">
        <v>1082</v>
      </c>
    </row>
    <row r="196" spans="1:7">
      <c r="A196" t="s">
        <v>1799</v>
      </c>
      <c r="B196" s="2">
        <v>45667</v>
      </c>
      <c r="C196" t="s">
        <v>102</v>
      </c>
      <c r="D196" t="s">
        <v>1629</v>
      </c>
      <c r="E196">
        <v>141.78</v>
      </c>
      <c r="F196" t="s">
        <v>1578</v>
      </c>
      <c r="G196" t="s">
        <v>1082</v>
      </c>
    </row>
    <row r="197" spans="1:7">
      <c r="A197" t="s">
        <v>1800</v>
      </c>
      <c r="B197" s="2">
        <v>45667</v>
      </c>
      <c r="C197" t="s">
        <v>108</v>
      </c>
      <c r="D197" t="s">
        <v>1629</v>
      </c>
      <c r="E197">
        <v>282.17</v>
      </c>
      <c r="F197" t="s">
        <v>1578</v>
      </c>
      <c r="G197" t="s">
        <v>1082</v>
      </c>
    </row>
    <row r="198" spans="1:7">
      <c r="A198" t="s">
        <v>1801</v>
      </c>
      <c r="B198" s="2">
        <v>45667</v>
      </c>
      <c r="C198" t="s">
        <v>110</v>
      </c>
      <c r="D198" t="s">
        <v>1629</v>
      </c>
      <c r="E198">
        <v>141.78</v>
      </c>
      <c r="F198" t="s">
        <v>1578</v>
      </c>
      <c r="G198" t="s">
        <v>1082</v>
      </c>
    </row>
    <row r="199" spans="1:7">
      <c r="A199" t="s">
        <v>1802</v>
      </c>
      <c r="B199" s="2">
        <v>45667</v>
      </c>
      <c r="C199" t="s">
        <v>114</v>
      </c>
      <c r="D199" t="s">
        <v>1629</v>
      </c>
      <c r="E199">
        <v>140.38999999999999</v>
      </c>
      <c r="F199" t="s">
        <v>1578</v>
      </c>
      <c r="G199" t="s">
        <v>1082</v>
      </c>
    </row>
    <row r="200" spans="1:7">
      <c r="A200" t="s">
        <v>1803</v>
      </c>
      <c r="B200" s="2">
        <v>45667</v>
      </c>
      <c r="C200" t="s">
        <v>117</v>
      </c>
      <c r="D200" t="s">
        <v>1629</v>
      </c>
      <c r="E200">
        <v>139.69999999999999</v>
      </c>
      <c r="F200" t="s">
        <v>1578</v>
      </c>
      <c r="G200" t="s">
        <v>1082</v>
      </c>
    </row>
    <row r="201" spans="1:7">
      <c r="A201" t="s">
        <v>1804</v>
      </c>
      <c r="B201" s="2">
        <v>45667</v>
      </c>
      <c r="C201" t="s">
        <v>119</v>
      </c>
      <c r="D201" t="s">
        <v>1629</v>
      </c>
      <c r="E201">
        <v>140.38999999999999</v>
      </c>
      <c r="F201" t="s">
        <v>1578</v>
      </c>
      <c r="G201" t="s">
        <v>1082</v>
      </c>
    </row>
    <row r="202" spans="1:7">
      <c r="A202" t="s">
        <v>1805</v>
      </c>
      <c r="B202" s="2">
        <v>45667</v>
      </c>
      <c r="C202" t="s">
        <v>75</v>
      </c>
      <c r="D202" t="s">
        <v>1629</v>
      </c>
      <c r="E202">
        <v>89.89</v>
      </c>
      <c r="F202" t="s">
        <v>1578</v>
      </c>
      <c r="G202" t="s">
        <v>1084</v>
      </c>
    </row>
    <row r="203" spans="1:7">
      <c r="A203" t="s">
        <v>1806</v>
      </c>
      <c r="B203" s="2">
        <v>45667</v>
      </c>
      <c r="C203" t="s">
        <v>91</v>
      </c>
      <c r="D203" t="s">
        <v>1629</v>
      </c>
      <c r="E203">
        <v>91.22</v>
      </c>
      <c r="F203" t="s">
        <v>1578</v>
      </c>
      <c r="G203" t="s">
        <v>1084</v>
      </c>
    </row>
    <row r="204" spans="1:7">
      <c r="A204" t="s">
        <v>1807</v>
      </c>
      <c r="B204" s="2">
        <v>45667</v>
      </c>
      <c r="C204" t="s">
        <v>93</v>
      </c>
      <c r="D204" t="s">
        <v>1629</v>
      </c>
      <c r="E204">
        <v>90.78</v>
      </c>
      <c r="F204" t="s">
        <v>1578</v>
      </c>
      <c r="G204" t="s">
        <v>1084</v>
      </c>
    </row>
    <row r="205" spans="1:7">
      <c r="A205" t="s">
        <v>1808</v>
      </c>
      <c r="B205" s="2">
        <v>45667</v>
      </c>
      <c r="C205" t="s">
        <v>95</v>
      </c>
      <c r="D205" t="s">
        <v>1629</v>
      </c>
      <c r="E205">
        <v>90.34</v>
      </c>
      <c r="F205" t="s">
        <v>1578</v>
      </c>
      <c r="G205" t="s">
        <v>1084</v>
      </c>
    </row>
    <row r="206" spans="1:7">
      <c r="A206" t="s">
        <v>1809</v>
      </c>
      <c r="B206" s="2">
        <v>45667</v>
      </c>
      <c r="C206" t="s">
        <v>97</v>
      </c>
      <c r="D206" t="s">
        <v>1629</v>
      </c>
      <c r="E206">
        <v>89.89</v>
      </c>
      <c r="F206" t="s">
        <v>1578</v>
      </c>
      <c r="G206" t="s">
        <v>1084</v>
      </c>
    </row>
    <row r="207" spans="1:7">
      <c r="A207" t="s">
        <v>1810</v>
      </c>
      <c r="B207" s="2">
        <v>45667</v>
      </c>
      <c r="C207" t="s">
        <v>99</v>
      </c>
      <c r="D207" t="s">
        <v>1629</v>
      </c>
      <c r="E207">
        <v>110</v>
      </c>
      <c r="F207" t="s">
        <v>1578</v>
      </c>
      <c r="G207" t="s">
        <v>1084</v>
      </c>
    </row>
    <row r="208" spans="1:7">
      <c r="A208" t="s">
        <v>1811</v>
      </c>
      <c r="B208" s="2">
        <v>45667</v>
      </c>
      <c r="C208" t="s">
        <v>102</v>
      </c>
      <c r="D208" t="s">
        <v>1629</v>
      </c>
      <c r="E208">
        <v>90.78</v>
      </c>
      <c r="F208" t="s">
        <v>1578</v>
      </c>
      <c r="G208" t="s">
        <v>1084</v>
      </c>
    </row>
    <row r="209" spans="1:7">
      <c r="A209" t="s">
        <v>1812</v>
      </c>
      <c r="B209" s="2">
        <v>45667</v>
      </c>
      <c r="C209" t="s">
        <v>108</v>
      </c>
      <c r="D209" t="s">
        <v>1629</v>
      </c>
      <c r="E209">
        <v>180.67</v>
      </c>
      <c r="F209" t="s">
        <v>1578</v>
      </c>
      <c r="G209" t="s">
        <v>1084</v>
      </c>
    </row>
    <row r="210" spans="1:7">
      <c r="A210" t="s">
        <v>1813</v>
      </c>
      <c r="B210" s="2">
        <v>45667</v>
      </c>
      <c r="C210" t="s">
        <v>110</v>
      </c>
      <c r="D210" t="s">
        <v>1629</v>
      </c>
      <c r="E210">
        <v>90.78</v>
      </c>
      <c r="F210" t="s">
        <v>1578</v>
      </c>
      <c r="G210" t="s">
        <v>1084</v>
      </c>
    </row>
    <row r="211" spans="1:7">
      <c r="A211" t="s">
        <v>1814</v>
      </c>
      <c r="B211" s="2">
        <v>45667</v>
      </c>
      <c r="C211" t="s">
        <v>114</v>
      </c>
      <c r="D211" t="s">
        <v>1629</v>
      </c>
      <c r="E211">
        <v>89.89</v>
      </c>
      <c r="F211" t="s">
        <v>1578</v>
      </c>
      <c r="G211" t="s">
        <v>1084</v>
      </c>
    </row>
    <row r="212" spans="1:7">
      <c r="A212" t="s">
        <v>1815</v>
      </c>
      <c r="B212" s="2">
        <v>45667</v>
      </c>
      <c r="C212" t="s">
        <v>117</v>
      </c>
      <c r="D212" t="s">
        <v>1629</v>
      </c>
      <c r="E212">
        <v>89.44</v>
      </c>
      <c r="F212" t="s">
        <v>1578</v>
      </c>
      <c r="G212" t="s">
        <v>1084</v>
      </c>
    </row>
    <row r="213" spans="1:7">
      <c r="A213" t="s">
        <v>1816</v>
      </c>
      <c r="B213" s="2">
        <v>45667</v>
      </c>
      <c r="C213" t="s">
        <v>119</v>
      </c>
      <c r="D213" t="s">
        <v>1629</v>
      </c>
      <c r="E213">
        <v>89.89</v>
      </c>
      <c r="F213" t="s">
        <v>1578</v>
      </c>
      <c r="G213" t="s">
        <v>1084</v>
      </c>
    </row>
    <row r="214" spans="1:7">
      <c r="A214" t="s">
        <v>1817</v>
      </c>
      <c r="B214" s="2">
        <v>45667</v>
      </c>
      <c r="C214" t="s">
        <v>75</v>
      </c>
      <c r="D214" t="s">
        <v>1629</v>
      </c>
      <c r="E214">
        <v>433.29</v>
      </c>
      <c r="F214" t="s">
        <v>1578</v>
      </c>
      <c r="G214" t="s">
        <v>1085</v>
      </c>
    </row>
    <row r="215" spans="1:7">
      <c r="A215" t="s">
        <v>1818</v>
      </c>
      <c r="B215" s="2">
        <v>45667</v>
      </c>
      <c r="C215" t="s">
        <v>106</v>
      </c>
      <c r="D215" t="s">
        <v>1629</v>
      </c>
      <c r="E215">
        <v>441.87</v>
      </c>
      <c r="F215" t="s">
        <v>1578</v>
      </c>
      <c r="G215" t="s">
        <v>1085</v>
      </c>
    </row>
    <row r="216" spans="1:7">
      <c r="A216" t="s">
        <v>1819</v>
      </c>
      <c r="B216" s="2">
        <v>45667</v>
      </c>
      <c r="C216" t="s">
        <v>108</v>
      </c>
      <c r="D216" t="s">
        <v>1629</v>
      </c>
      <c r="E216">
        <v>870.87</v>
      </c>
      <c r="F216" t="s">
        <v>1578</v>
      </c>
      <c r="G216" t="s">
        <v>1085</v>
      </c>
    </row>
    <row r="217" spans="1:7">
      <c r="A217" t="s">
        <v>1820</v>
      </c>
      <c r="B217" s="2">
        <v>45667</v>
      </c>
      <c r="C217" t="s">
        <v>110</v>
      </c>
      <c r="D217" t="s">
        <v>1629</v>
      </c>
      <c r="E217">
        <v>437.58</v>
      </c>
      <c r="F217" t="s">
        <v>1578</v>
      </c>
      <c r="G217" t="s">
        <v>1085</v>
      </c>
    </row>
    <row r="218" spans="1:7">
      <c r="A218" t="s">
        <v>1821</v>
      </c>
      <c r="B218" s="2">
        <v>45667</v>
      </c>
      <c r="C218" t="s">
        <v>114</v>
      </c>
      <c r="D218" t="s">
        <v>1629</v>
      </c>
      <c r="E218">
        <v>433.29</v>
      </c>
      <c r="F218" t="s">
        <v>1578</v>
      </c>
      <c r="G218" t="s">
        <v>1085</v>
      </c>
    </row>
    <row r="219" spans="1:7">
      <c r="A219" t="s">
        <v>1822</v>
      </c>
      <c r="B219" s="2">
        <v>45667</v>
      </c>
      <c r="C219" t="s">
        <v>117</v>
      </c>
      <c r="D219" t="s">
        <v>1629</v>
      </c>
      <c r="E219">
        <v>431.14</v>
      </c>
      <c r="F219" t="s">
        <v>1578</v>
      </c>
      <c r="G219" t="s">
        <v>1085</v>
      </c>
    </row>
    <row r="220" spans="1:7">
      <c r="A220" t="s">
        <v>1823</v>
      </c>
      <c r="B220" s="2">
        <v>45667</v>
      </c>
      <c r="C220" t="s">
        <v>119</v>
      </c>
      <c r="D220" t="s">
        <v>1629</v>
      </c>
      <c r="E220">
        <v>433.29</v>
      </c>
      <c r="F220" t="s">
        <v>1578</v>
      </c>
      <c r="G220" t="s">
        <v>1085</v>
      </c>
    </row>
    <row r="221" spans="1:7">
      <c r="A221" t="s">
        <v>1824</v>
      </c>
      <c r="B221" s="2">
        <v>45667</v>
      </c>
      <c r="C221" t="s">
        <v>61</v>
      </c>
      <c r="D221" t="s">
        <v>1629</v>
      </c>
      <c r="E221">
        <v>335.58</v>
      </c>
      <c r="F221" t="s">
        <v>1578</v>
      </c>
      <c r="G221" t="s">
        <v>1086</v>
      </c>
    </row>
    <row r="222" spans="1:7">
      <c r="A222" t="s">
        <v>1825</v>
      </c>
      <c r="B222" s="2">
        <v>45667</v>
      </c>
      <c r="C222" t="s">
        <v>65</v>
      </c>
      <c r="D222" t="s">
        <v>1629</v>
      </c>
      <c r="E222">
        <v>333.93</v>
      </c>
      <c r="F222" t="s">
        <v>1578</v>
      </c>
      <c r="G222" t="s">
        <v>1086</v>
      </c>
    </row>
    <row r="223" spans="1:7">
      <c r="A223" t="s">
        <v>1826</v>
      </c>
      <c r="B223" s="2">
        <v>45667</v>
      </c>
      <c r="C223" t="s">
        <v>68</v>
      </c>
      <c r="D223" t="s">
        <v>1629</v>
      </c>
      <c r="E223">
        <v>335.58</v>
      </c>
      <c r="F223" t="s">
        <v>1578</v>
      </c>
      <c r="G223" t="s">
        <v>1086</v>
      </c>
    </row>
    <row r="224" spans="1:7">
      <c r="A224" t="s">
        <v>1827</v>
      </c>
      <c r="B224" s="2">
        <v>45667</v>
      </c>
      <c r="C224" t="s">
        <v>70</v>
      </c>
      <c r="D224" t="s">
        <v>1629</v>
      </c>
      <c r="E224">
        <v>332.29</v>
      </c>
      <c r="F224" t="s">
        <v>1578</v>
      </c>
      <c r="G224" t="s">
        <v>1086</v>
      </c>
    </row>
    <row r="225" spans="1:7">
      <c r="A225" t="s">
        <v>1828</v>
      </c>
      <c r="B225" s="2">
        <v>45667</v>
      </c>
      <c r="C225" t="s">
        <v>75</v>
      </c>
      <c r="D225" t="s">
        <v>1629</v>
      </c>
      <c r="E225">
        <v>332.29</v>
      </c>
      <c r="F225" t="s">
        <v>1578</v>
      </c>
      <c r="G225" t="s">
        <v>1086</v>
      </c>
    </row>
    <row r="226" spans="1:7">
      <c r="A226" t="s">
        <v>1829</v>
      </c>
      <c r="B226" s="2">
        <v>45667</v>
      </c>
      <c r="C226" t="s">
        <v>77</v>
      </c>
      <c r="D226" t="s">
        <v>1629</v>
      </c>
      <c r="E226">
        <v>332.29</v>
      </c>
      <c r="F226" t="s">
        <v>1578</v>
      </c>
      <c r="G226" t="s">
        <v>1086</v>
      </c>
    </row>
    <row r="227" spans="1:7">
      <c r="A227" t="s">
        <v>1830</v>
      </c>
      <c r="B227" s="2">
        <v>45667</v>
      </c>
      <c r="C227" t="s">
        <v>79</v>
      </c>
      <c r="D227" t="s">
        <v>1629</v>
      </c>
      <c r="E227">
        <v>335.58</v>
      </c>
      <c r="F227" t="s">
        <v>1578</v>
      </c>
      <c r="G227" t="s">
        <v>1086</v>
      </c>
    </row>
    <row r="228" spans="1:7">
      <c r="A228" t="s">
        <v>1831</v>
      </c>
      <c r="B228" s="2">
        <v>45667</v>
      </c>
      <c r="C228" t="s">
        <v>81</v>
      </c>
      <c r="D228" t="s">
        <v>1629</v>
      </c>
      <c r="E228">
        <v>664.58</v>
      </c>
      <c r="F228" t="s">
        <v>1578</v>
      </c>
      <c r="G228" t="s">
        <v>1086</v>
      </c>
    </row>
    <row r="229" spans="1:7">
      <c r="A229" t="s">
        <v>1832</v>
      </c>
      <c r="B229" s="2">
        <v>45667</v>
      </c>
      <c r="C229" t="s">
        <v>110</v>
      </c>
      <c r="D229" t="s">
        <v>1629</v>
      </c>
      <c r="E229">
        <v>335.58</v>
      </c>
      <c r="F229" t="s">
        <v>1578</v>
      </c>
      <c r="G229" t="s">
        <v>1086</v>
      </c>
    </row>
    <row r="230" spans="1:7">
      <c r="A230" t="s">
        <v>1833</v>
      </c>
      <c r="B230" s="2">
        <v>45667</v>
      </c>
      <c r="C230" t="s">
        <v>114</v>
      </c>
      <c r="D230" t="s">
        <v>1629</v>
      </c>
      <c r="E230">
        <v>332.29</v>
      </c>
      <c r="F230" t="s">
        <v>1578</v>
      </c>
      <c r="G230" t="s">
        <v>1086</v>
      </c>
    </row>
    <row r="231" spans="1:7">
      <c r="A231" t="s">
        <v>1834</v>
      </c>
      <c r="B231" s="2">
        <v>45667</v>
      </c>
      <c r="C231" t="s">
        <v>117</v>
      </c>
      <c r="D231" t="s">
        <v>1629</v>
      </c>
      <c r="E231">
        <v>330.64</v>
      </c>
      <c r="F231" t="s">
        <v>1578</v>
      </c>
      <c r="G231" t="s">
        <v>1086</v>
      </c>
    </row>
    <row r="232" spans="1:7">
      <c r="A232" t="s">
        <v>1835</v>
      </c>
      <c r="B232" s="2">
        <v>45667</v>
      </c>
      <c r="C232" t="s">
        <v>119</v>
      </c>
      <c r="D232" t="s">
        <v>1629</v>
      </c>
      <c r="E232">
        <v>332.29</v>
      </c>
      <c r="F232" t="s">
        <v>1578</v>
      </c>
      <c r="G232" t="s">
        <v>1086</v>
      </c>
    </row>
    <row r="233" spans="1:7">
      <c r="A233" t="s">
        <v>1836</v>
      </c>
      <c r="B233" s="2">
        <v>45668</v>
      </c>
      <c r="C233" t="s">
        <v>75</v>
      </c>
      <c r="D233" t="s">
        <v>1629</v>
      </c>
      <c r="E233">
        <v>414.1</v>
      </c>
      <c r="F233" t="s">
        <v>1578</v>
      </c>
      <c r="G233" t="s">
        <v>1087</v>
      </c>
    </row>
    <row r="234" spans="1:7">
      <c r="A234" t="s">
        <v>1837</v>
      </c>
      <c r="B234" s="2">
        <v>45668</v>
      </c>
      <c r="C234" t="s">
        <v>91</v>
      </c>
      <c r="D234" t="s">
        <v>1629</v>
      </c>
      <c r="E234">
        <v>420.25</v>
      </c>
      <c r="F234" t="s">
        <v>1578</v>
      </c>
      <c r="G234" t="s">
        <v>1087</v>
      </c>
    </row>
    <row r="235" spans="1:7">
      <c r="A235" t="s">
        <v>1838</v>
      </c>
      <c r="B235" s="2">
        <v>45668</v>
      </c>
      <c r="C235" t="s">
        <v>93</v>
      </c>
      <c r="D235" t="s">
        <v>1629</v>
      </c>
      <c r="E235">
        <v>418.2</v>
      </c>
      <c r="F235" t="s">
        <v>1578</v>
      </c>
      <c r="G235" t="s">
        <v>1087</v>
      </c>
    </row>
    <row r="236" spans="1:7">
      <c r="A236" t="s">
        <v>1839</v>
      </c>
      <c r="B236" s="2">
        <v>45668</v>
      </c>
      <c r="C236" t="s">
        <v>95</v>
      </c>
      <c r="D236" t="s">
        <v>1629</v>
      </c>
      <c r="E236">
        <v>416.15</v>
      </c>
      <c r="F236" t="s">
        <v>1578</v>
      </c>
      <c r="G236" t="s">
        <v>1087</v>
      </c>
    </row>
    <row r="237" spans="1:7">
      <c r="A237" t="s">
        <v>1840</v>
      </c>
      <c r="B237" s="2">
        <v>45668</v>
      </c>
      <c r="C237" t="s">
        <v>97</v>
      </c>
      <c r="D237" t="s">
        <v>1629</v>
      </c>
      <c r="E237">
        <v>414.1</v>
      </c>
      <c r="F237" t="s">
        <v>1578</v>
      </c>
      <c r="G237" t="s">
        <v>1087</v>
      </c>
    </row>
    <row r="238" spans="1:7">
      <c r="A238" t="s">
        <v>1841</v>
      </c>
      <c r="B238" s="2">
        <v>45668</v>
      </c>
      <c r="C238" t="s">
        <v>99</v>
      </c>
      <c r="D238" t="s">
        <v>1629</v>
      </c>
      <c r="E238">
        <v>211.15</v>
      </c>
      <c r="F238" t="s">
        <v>1578</v>
      </c>
      <c r="G238" t="s">
        <v>1087</v>
      </c>
    </row>
    <row r="239" spans="1:7">
      <c r="A239" t="s">
        <v>1842</v>
      </c>
      <c r="B239" s="2">
        <v>45668</v>
      </c>
      <c r="C239" t="s">
        <v>102</v>
      </c>
      <c r="D239" t="s">
        <v>1629</v>
      </c>
      <c r="E239">
        <v>418.2</v>
      </c>
      <c r="F239" t="s">
        <v>1578</v>
      </c>
      <c r="G239" t="s">
        <v>1087</v>
      </c>
    </row>
    <row r="240" spans="1:7">
      <c r="A240" t="s">
        <v>1843</v>
      </c>
      <c r="B240" s="2">
        <v>45668</v>
      </c>
      <c r="C240" t="s">
        <v>108</v>
      </c>
      <c r="D240" t="s">
        <v>1629</v>
      </c>
      <c r="E240">
        <v>832.3</v>
      </c>
      <c r="F240" t="s">
        <v>1578</v>
      </c>
      <c r="G240" t="s">
        <v>1087</v>
      </c>
    </row>
    <row r="241" spans="1:7">
      <c r="A241" t="s">
        <v>1844</v>
      </c>
      <c r="B241" s="2">
        <v>45668</v>
      </c>
      <c r="C241" t="s">
        <v>110</v>
      </c>
      <c r="D241" t="s">
        <v>1629</v>
      </c>
      <c r="E241">
        <v>418.2</v>
      </c>
      <c r="F241" t="s">
        <v>1578</v>
      </c>
      <c r="G241" t="s">
        <v>1087</v>
      </c>
    </row>
    <row r="242" spans="1:7">
      <c r="A242" t="s">
        <v>1845</v>
      </c>
      <c r="B242" s="2">
        <v>45668</v>
      </c>
      <c r="C242" t="s">
        <v>114</v>
      </c>
      <c r="D242" t="s">
        <v>1629</v>
      </c>
      <c r="E242">
        <v>414.1</v>
      </c>
      <c r="F242" t="s">
        <v>1578</v>
      </c>
      <c r="G242" t="s">
        <v>1087</v>
      </c>
    </row>
    <row r="243" spans="1:7">
      <c r="A243" t="s">
        <v>1846</v>
      </c>
      <c r="B243" s="2">
        <v>45668</v>
      </c>
      <c r="C243" t="s">
        <v>117</v>
      </c>
      <c r="D243" t="s">
        <v>1629</v>
      </c>
      <c r="E243">
        <v>412.05</v>
      </c>
      <c r="F243" t="s">
        <v>1578</v>
      </c>
      <c r="G243" t="s">
        <v>1087</v>
      </c>
    </row>
    <row r="244" spans="1:7">
      <c r="A244" t="s">
        <v>1847</v>
      </c>
      <c r="B244" s="2">
        <v>45668</v>
      </c>
      <c r="C244" t="s">
        <v>119</v>
      </c>
      <c r="D244" t="s">
        <v>1629</v>
      </c>
      <c r="E244">
        <v>414.1</v>
      </c>
      <c r="F244" t="s">
        <v>1578</v>
      </c>
      <c r="G244" t="s">
        <v>1087</v>
      </c>
    </row>
    <row r="245" spans="1:7">
      <c r="A245" t="s">
        <v>1848</v>
      </c>
      <c r="B245" s="2">
        <v>45668</v>
      </c>
      <c r="C245" t="s">
        <v>119</v>
      </c>
      <c r="D245" t="s">
        <v>1683</v>
      </c>
      <c r="E245">
        <v>222</v>
      </c>
      <c r="F245" t="s">
        <v>1578</v>
      </c>
      <c r="G245" t="s">
        <v>370</v>
      </c>
    </row>
    <row r="246" spans="1:7">
      <c r="A246" t="s">
        <v>1849</v>
      </c>
      <c r="B246" s="2">
        <v>45669</v>
      </c>
      <c r="C246" t="s">
        <v>61</v>
      </c>
      <c r="D246" t="s">
        <v>1629</v>
      </c>
      <c r="E246">
        <v>286.62</v>
      </c>
      <c r="F246" t="s">
        <v>1578</v>
      </c>
      <c r="G246" t="s">
        <v>1088</v>
      </c>
    </row>
    <row r="247" spans="1:7">
      <c r="A247" t="s">
        <v>1850</v>
      </c>
      <c r="B247" s="2">
        <v>45669</v>
      </c>
      <c r="C247" t="s">
        <v>65</v>
      </c>
      <c r="D247" t="s">
        <v>1629</v>
      </c>
      <c r="E247">
        <v>285.20999999999998</v>
      </c>
      <c r="F247" t="s">
        <v>1578</v>
      </c>
      <c r="G247" t="s">
        <v>1088</v>
      </c>
    </row>
    <row r="248" spans="1:7">
      <c r="A248" t="s">
        <v>1851</v>
      </c>
      <c r="B248" s="2">
        <v>45669</v>
      </c>
      <c r="C248" t="s">
        <v>68</v>
      </c>
      <c r="D248" t="s">
        <v>1629</v>
      </c>
      <c r="E248">
        <v>286.62</v>
      </c>
      <c r="F248" t="s">
        <v>1578</v>
      </c>
      <c r="G248" t="s">
        <v>1088</v>
      </c>
    </row>
    <row r="249" spans="1:7">
      <c r="A249" t="s">
        <v>1852</v>
      </c>
      <c r="B249" s="2">
        <v>45669</v>
      </c>
      <c r="C249" t="s">
        <v>70</v>
      </c>
      <c r="D249" t="s">
        <v>1629</v>
      </c>
      <c r="E249">
        <v>283.81</v>
      </c>
      <c r="F249" t="s">
        <v>1578</v>
      </c>
      <c r="G249" t="s">
        <v>1088</v>
      </c>
    </row>
    <row r="250" spans="1:7">
      <c r="A250" t="s">
        <v>1853</v>
      </c>
      <c r="B250" s="2">
        <v>45669</v>
      </c>
      <c r="C250" t="s">
        <v>75</v>
      </c>
      <c r="D250" t="s">
        <v>1629</v>
      </c>
      <c r="E250">
        <v>283.81</v>
      </c>
      <c r="F250" t="s">
        <v>1578</v>
      </c>
      <c r="G250" t="s">
        <v>1088</v>
      </c>
    </row>
    <row r="251" spans="1:7">
      <c r="A251" t="s">
        <v>1854</v>
      </c>
      <c r="B251" s="2">
        <v>45669</v>
      </c>
      <c r="C251" t="s">
        <v>77</v>
      </c>
      <c r="D251" t="s">
        <v>1629</v>
      </c>
      <c r="E251">
        <v>283.81</v>
      </c>
      <c r="F251" t="s">
        <v>1578</v>
      </c>
      <c r="G251" t="s">
        <v>1088</v>
      </c>
    </row>
    <row r="252" spans="1:7">
      <c r="A252" t="s">
        <v>1855</v>
      </c>
      <c r="B252" s="2">
        <v>45669</v>
      </c>
      <c r="C252" t="s">
        <v>79</v>
      </c>
      <c r="D252" t="s">
        <v>1629</v>
      </c>
      <c r="E252">
        <v>286.62</v>
      </c>
      <c r="F252" t="s">
        <v>1578</v>
      </c>
      <c r="G252" t="s">
        <v>1088</v>
      </c>
    </row>
    <row r="253" spans="1:7">
      <c r="A253" t="s">
        <v>1856</v>
      </c>
      <c r="B253" s="2">
        <v>45669</v>
      </c>
      <c r="C253" t="s">
        <v>81</v>
      </c>
      <c r="D253" t="s">
        <v>1629</v>
      </c>
      <c r="E253">
        <v>567.62</v>
      </c>
      <c r="F253" t="s">
        <v>1578</v>
      </c>
      <c r="G253" t="s">
        <v>1088</v>
      </c>
    </row>
    <row r="254" spans="1:7">
      <c r="A254" t="s">
        <v>1857</v>
      </c>
      <c r="B254" s="2">
        <v>45669</v>
      </c>
      <c r="C254" t="s">
        <v>110</v>
      </c>
      <c r="D254" t="s">
        <v>1629</v>
      </c>
      <c r="E254">
        <v>286.62</v>
      </c>
      <c r="F254" t="s">
        <v>1578</v>
      </c>
      <c r="G254" t="s">
        <v>1088</v>
      </c>
    </row>
    <row r="255" spans="1:7">
      <c r="A255" t="s">
        <v>1858</v>
      </c>
      <c r="B255" s="2">
        <v>45669</v>
      </c>
      <c r="C255" t="s">
        <v>114</v>
      </c>
      <c r="D255" t="s">
        <v>1629</v>
      </c>
      <c r="E255">
        <v>283.81</v>
      </c>
      <c r="F255" t="s">
        <v>1578</v>
      </c>
      <c r="G255" t="s">
        <v>1088</v>
      </c>
    </row>
    <row r="256" spans="1:7">
      <c r="A256" t="s">
        <v>1859</v>
      </c>
      <c r="B256" s="2">
        <v>45669</v>
      </c>
      <c r="C256" t="s">
        <v>117</v>
      </c>
      <c r="D256" t="s">
        <v>1629</v>
      </c>
      <c r="E256">
        <v>282.39999999999998</v>
      </c>
      <c r="F256" t="s">
        <v>1578</v>
      </c>
      <c r="G256" t="s">
        <v>1088</v>
      </c>
    </row>
    <row r="257" spans="1:7">
      <c r="A257" t="s">
        <v>1860</v>
      </c>
      <c r="B257" s="2">
        <v>45669</v>
      </c>
      <c r="C257" t="s">
        <v>119</v>
      </c>
      <c r="D257" t="s">
        <v>1629</v>
      </c>
      <c r="E257">
        <v>283.81</v>
      </c>
      <c r="F257" t="s">
        <v>1578</v>
      </c>
      <c r="G257" t="s">
        <v>1088</v>
      </c>
    </row>
    <row r="258" spans="1:7">
      <c r="A258" t="s">
        <v>1861</v>
      </c>
      <c r="B258" s="2">
        <v>45669</v>
      </c>
      <c r="C258" t="s">
        <v>75</v>
      </c>
      <c r="D258" t="s">
        <v>1629</v>
      </c>
      <c r="E258">
        <v>442.38</v>
      </c>
      <c r="F258" t="s">
        <v>1578</v>
      </c>
      <c r="G258" t="s">
        <v>1089</v>
      </c>
    </row>
    <row r="259" spans="1:7">
      <c r="A259" t="s">
        <v>1862</v>
      </c>
      <c r="B259" s="2">
        <v>45669</v>
      </c>
      <c r="C259" t="s">
        <v>104</v>
      </c>
      <c r="D259" t="s">
        <v>1629</v>
      </c>
      <c r="E259">
        <v>902.28</v>
      </c>
      <c r="F259" t="s">
        <v>1578</v>
      </c>
      <c r="G259" t="s">
        <v>1089</v>
      </c>
    </row>
    <row r="260" spans="1:7">
      <c r="A260" t="s">
        <v>1863</v>
      </c>
      <c r="B260" s="2">
        <v>45669</v>
      </c>
      <c r="C260" t="s">
        <v>108</v>
      </c>
      <c r="D260" t="s">
        <v>1629</v>
      </c>
      <c r="E260">
        <v>889.14</v>
      </c>
      <c r="F260" t="s">
        <v>1578</v>
      </c>
      <c r="G260" t="s">
        <v>1089</v>
      </c>
    </row>
    <row r="261" spans="1:7">
      <c r="A261" t="s">
        <v>1864</v>
      </c>
      <c r="B261" s="2">
        <v>45669</v>
      </c>
      <c r="C261" t="s">
        <v>110</v>
      </c>
      <c r="D261" t="s">
        <v>1629</v>
      </c>
      <c r="E261">
        <v>446.76</v>
      </c>
      <c r="F261" t="s">
        <v>1578</v>
      </c>
      <c r="G261" t="s">
        <v>1089</v>
      </c>
    </row>
    <row r="262" spans="1:7">
      <c r="A262" t="s">
        <v>1865</v>
      </c>
      <c r="B262" s="2">
        <v>45669</v>
      </c>
      <c r="C262" t="s">
        <v>114</v>
      </c>
      <c r="D262" t="s">
        <v>1629</v>
      </c>
      <c r="E262">
        <v>442.38</v>
      </c>
      <c r="F262" t="s">
        <v>1578</v>
      </c>
      <c r="G262" t="s">
        <v>1089</v>
      </c>
    </row>
    <row r="263" spans="1:7">
      <c r="A263" t="s">
        <v>1866</v>
      </c>
      <c r="B263" s="2">
        <v>45669</v>
      </c>
      <c r="C263" t="s">
        <v>117</v>
      </c>
      <c r="D263" t="s">
        <v>1629</v>
      </c>
      <c r="E263">
        <v>440.19</v>
      </c>
      <c r="F263" t="s">
        <v>1578</v>
      </c>
      <c r="G263" t="s">
        <v>1089</v>
      </c>
    </row>
    <row r="264" spans="1:7">
      <c r="A264" t="s">
        <v>1867</v>
      </c>
      <c r="B264" s="2">
        <v>45669</v>
      </c>
      <c r="C264" t="s">
        <v>119</v>
      </c>
      <c r="D264" t="s">
        <v>1629</v>
      </c>
      <c r="E264">
        <v>442.38</v>
      </c>
      <c r="F264" t="s">
        <v>1578</v>
      </c>
      <c r="G264" t="s">
        <v>1089</v>
      </c>
    </row>
    <row r="265" spans="1:7">
      <c r="A265" t="s">
        <v>1868</v>
      </c>
      <c r="B265" s="2">
        <v>45669</v>
      </c>
      <c r="C265" t="s">
        <v>89</v>
      </c>
      <c r="D265" t="s">
        <v>1683</v>
      </c>
      <c r="E265">
        <v>162</v>
      </c>
      <c r="F265" t="s">
        <v>1578</v>
      </c>
      <c r="G265" t="s">
        <v>371</v>
      </c>
    </row>
    <row r="266" spans="1:7">
      <c r="A266" t="s">
        <v>1869</v>
      </c>
      <c r="B266" s="2">
        <v>45669</v>
      </c>
      <c r="C266" t="s">
        <v>87</v>
      </c>
      <c r="D266" t="s">
        <v>1683</v>
      </c>
      <c r="E266">
        <v>105</v>
      </c>
      <c r="F266" t="s">
        <v>1578</v>
      </c>
      <c r="G266" t="s">
        <v>372</v>
      </c>
    </row>
    <row r="267" spans="1:7">
      <c r="A267" t="s">
        <v>1870</v>
      </c>
      <c r="B267" s="2">
        <v>45670</v>
      </c>
      <c r="C267" t="s">
        <v>61</v>
      </c>
      <c r="D267" t="s">
        <v>1629</v>
      </c>
      <c r="E267">
        <v>473.28</v>
      </c>
      <c r="F267" t="s">
        <v>1578</v>
      </c>
      <c r="G267" t="s">
        <v>1090</v>
      </c>
    </row>
    <row r="268" spans="1:7">
      <c r="A268" t="s">
        <v>1871</v>
      </c>
      <c r="B268" s="2">
        <v>45670</v>
      </c>
      <c r="C268" t="s">
        <v>65</v>
      </c>
      <c r="D268" t="s">
        <v>1629</v>
      </c>
      <c r="E268">
        <v>470.96</v>
      </c>
      <c r="F268" t="s">
        <v>1578</v>
      </c>
      <c r="G268" t="s">
        <v>1090</v>
      </c>
    </row>
    <row r="269" spans="1:7">
      <c r="A269" t="s">
        <v>1872</v>
      </c>
      <c r="B269" s="2">
        <v>45670</v>
      </c>
      <c r="C269" t="s">
        <v>68</v>
      </c>
      <c r="D269" t="s">
        <v>1629</v>
      </c>
      <c r="E269">
        <v>473.28</v>
      </c>
      <c r="F269" t="s">
        <v>1578</v>
      </c>
      <c r="G269" t="s">
        <v>1090</v>
      </c>
    </row>
    <row r="270" spans="1:7">
      <c r="A270" t="s">
        <v>1873</v>
      </c>
      <c r="B270" s="2">
        <v>45670</v>
      </c>
      <c r="C270" t="s">
        <v>70</v>
      </c>
      <c r="D270" t="s">
        <v>1629</v>
      </c>
      <c r="E270">
        <v>468.64</v>
      </c>
      <c r="F270" t="s">
        <v>1578</v>
      </c>
      <c r="G270" t="s">
        <v>1090</v>
      </c>
    </row>
    <row r="271" spans="1:7">
      <c r="A271" t="s">
        <v>1874</v>
      </c>
      <c r="B271" s="2">
        <v>45670</v>
      </c>
      <c r="C271" t="s">
        <v>73</v>
      </c>
      <c r="D271" t="s">
        <v>1629</v>
      </c>
      <c r="E271">
        <v>473.28</v>
      </c>
      <c r="F271" t="s">
        <v>1578</v>
      </c>
      <c r="G271" t="s">
        <v>1090</v>
      </c>
    </row>
    <row r="272" spans="1:7">
      <c r="A272" t="s">
        <v>1875</v>
      </c>
      <c r="B272" s="2">
        <v>45670</v>
      </c>
      <c r="C272" t="s">
        <v>75</v>
      </c>
      <c r="D272" t="s">
        <v>1629</v>
      </c>
      <c r="E272">
        <v>468.64</v>
      </c>
      <c r="F272" t="s">
        <v>1578</v>
      </c>
      <c r="G272" t="s">
        <v>1090</v>
      </c>
    </row>
    <row r="273" spans="1:7">
      <c r="A273" t="s">
        <v>1876</v>
      </c>
      <c r="B273" s="2">
        <v>45670</v>
      </c>
      <c r="C273" t="s">
        <v>77</v>
      </c>
      <c r="D273" t="s">
        <v>1629</v>
      </c>
      <c r="E273">
        <v>468.64</v>
      </c>
      <c r="F273" t="s">
        <v>1578</v>
      </c>
      <c r="G273" t="s">
        <v>1090</v>
      </c>
    </row>
    <row r="274" spans="1:7">
      <c r="A274" t="s">
        <v>1877</v>
      </c>
      <c r="B274" s="2">
        <v>45670</v>
      </c>
      <c r="C274" t="s">
        <v>79</v>
      </c>
      <c r="D274" t="s">
        <v>1629</v>
      </c>
      <c r="E274">
        <v>473.28</v>
      </c>
      <c r="F274" t="s">
        <v>1578</v>
      </c>
      <c r="G274" t="s">
        <v>1090</v>
      </c>
    </row>
    <row r="275" spans="1:7">
      <c r="A275" t="s">
        <v>1878</v>
      </c>
      <c r="B275" s="2">
        <v>45670</v>
      </c>
      <c r="C275" t="s">
        <v>81</v>
      </c>
      <c r="D275" t="s">
        <v>1629</v>
      </c>
      <c r="E275">
        <v>937.28</v>
      </c>
      <c r="F275" t="s">
        <v>1578</v>
      </c>
      <c r="G275" t="s">
        <v>1090</v>
      </c>
    </row>
    <row r="276" spans="1:7">
      <c r="A276" t="s">
        <v>1879</v>
      </c>
      <c r="B276" s="2">
        <v>45670</v>
      </c>
      <c r="C276" t="s">
        <v>108</v>
      </c>
      <c r="D276" t="s">
        <v>1629</v>
      </c>
      <c r="E276">
        <v>941.92</v>
      </c>
      <c r="F276" t="s">
        <v>1578</v>
      </c>
      <c r="G276" t="s">
        <v>1090</v>
      </c>
    </row>
    <row r="277" spans="1:7">
      <c r="A277" t="s">
        <v>1880</v>
      </c>
      <c r="B277" s="2">
        <v>45670</v>
      </c>
      <c r="C277" t="s">
        <v>110</v>
      </c>
      <c r="D277" t="s">
        <v>1629</v>
      </c>
      <c r="E277">
        <v>473.28</v>
      </c>
      <c r="F277" t="s">
        <v>1578</v>
      </c>
      <c r="G277" t="s">
        <v>1090</v>
      </c>
    </row>
    <row r="278" spans="1:7">
      <c r="A278" t="s">
        <v>1881</v>
      </c>
      <c r="B278" s="2">
        <v>45670</v>
      </c>
      <c r="C278" t="s">
        <v>114</v>
      </c>
      <c r="D278" t="s">
        <v>1629</v>
      </c>
      <c r="E278">
        <v>468.64</v>
      </c>
      <c r="F278" t="s">
        <v>1578</v>
      </c>
      <c r="G278" t="s">
        <v>1090</v>
      </c>
    </row>
    <row r="279" spans="1:7">
      <c r="A279" t="s">
        <v>1882</v>
      </c>
      <c r="B279" s="2">
        <v>45670</v>
      </c>
      <c r="C279" t="s">
        <v>117</v>
      </c>
      <c r="D279" t="s">
        <v>1629</v>
      </c>
      <c r="E279">
        <v>466.32</v>
      </c>
      <c r="F279" t="s">
        <v>1578</v>
      </c>
      <c r="G279" t="s">
        <v>1090</v>
      </c>
    </row>
    <row r="280" spans="1:7">
      <c r="A280" t="s">
        <v>1883</v>
      </c>
      <c r="B280" s="2">
        <v>45670</v>
      </c>
      <c r="C280" t="s">
        <v>119</v>
      </c>
      <c r="D280" t="s">
        <v>1629</v>
      </c>
      <c r="E280">
        <v>468.64</v>
      </c>
      <c r="F280" t="s">
        <v>1578</v>
      </c>
      <c r="G280" t="s">
        <v>1090</v>
      </c>
    </row>
    <row r="281" spans="1:7">
      <c r="A281" t="s">
        <v>1884</v>
      </c>
      <c r="B281" s="2">
        <v>45670</v>
      </c>
      <c r="C281" t="s">
        <v>61</v>
      </c>
      <c r="D281" t="s">
        <v>1629</v>
      </c>
      <c r="E281">
        <v>453.9</v>
      </c>
      <c r="F281" t="s">
        <v>1578</v>
      </c>
      <c r="G281" t="s">
        <v>1091</v>
      </c>
    </row>
    <row r="282" spans="1:7">
      <c r="A282" t="s">
        <v>1885</v>
      </c>
      <c r="B282" s="2">
        <v>45670</v>
      </c>
      <c r="C282" t="s">
        <v>65</v>
      </c>
      <c r="D282" t="s">
        <v>1629</v>
      </c>
      <c r="E282">
        <v>451.67</v>
      </c>
      <c r="F282" t="s">
        <v>1578</v>
      </c>
      <c r="G282" t="s">
        <v>1091</v>
      </c>
    </row>
    <row r="283" spans="1:7">
      <c r="A283" t="s">
        <v>1886</v>
      </c>
      <c r="B283" s="2">
        <v>45670</v>
      </c>
      <c r="C283" t="s">
        <v>68</v>
      </c>
      <c r="D283" t="s">
        <v>1629</v>
      </c>
      <c r="E283">
        <v>453.9</v>
      </c>
      <c r="F283" t="s">
        <v>1578</v>
      </c>
      <c r="G283" t="s">
        <v>1091</v>
      </c>
    </row>
    <row r="284" spans="1:7">
      <c r="A284" t="s">
        <v>1887</v>
      </c>
      <c r="B284" s="2">
        <v>45670</v>
      </c>
      <c r="C284" t="s">
        <v>70</v>
      </c>
      <c r="D284" t="s">
        <v>1629</v>
      </c>
      <c r="E284">
        <v>449.45</v>
      </c>
      <c r="F284" t="s">
        <v>1578</v>
      </c>
      <c r="G284" t="s">
        <v>1091</v>
      </c>
    </row>
    <row r="285" spans="1:7">
      <c r="A285" t="s">
        <v>1888</v>
      </c>
      <c r="B285" s="2">
        <v>45670</v>
      </c>
      <c r="C285" t="s">
        <v>75</v>
      </c>
      <c r="D285" t="s">
        <v>1629</v>
      </c>
      <c r="E285">
        <v>449.45</v>
      </c>
      <c r="F285" t="s">
        <v>1578</v>
      </c>
      <c r="G285" t="s">
        <v>1091</v>
      </c>
    </row>
    <row r="286" spans="1:7">
      <c r="A286" t="s">
        <v>1889</v>
      </c>
      <c r="B286" s="2">
        <v>45670</v>
      </c>
      <c r="C286" t="s">
        <v>77</v>
      </c>
      <c r="D286" t="s">
        <v>1629</v>
      </c>
      <c r="E286">
        <v>449.45</v>
      </c>
      <c r="F286" t="s">
        <v>1578</v>
      </c>
      <c r="G286" t="s">
        <v>1091</v>
      </c>
    </row>
    <row r="287" spans="1:7">
      <c r="A287" t="s">
        <v>1890</v>
      </c>
      <c r="B287" s="2">
        <v>45670</v>
      </c>
      <c r="C287" t="s">
        <v>79</v>
      </c>
      <c r="D287" t="s">
        <v>1629</v>
      </c>
      <c r="E287">
        <v>453.9</v>
      </c>
      <c r="F287" t="s">
        <v>1578</v>
      </c>
      <c r="G287" t="s">
        <v>1091</v>
      </c>
    </row>
    <row r="288" spans="1:7">
      <c r="A288" t="s">
        <v>1891</v>
      </c>
      <c r="B288" s="2">
        <v>45670</v>
      </c>
      <c r="C288" t="s">
        <v>81</v>
      </c>
      <c r="D288" t="s">
        <v>1629</v>
      </c>
      <c r="E288">
        <v>898.9</v>
      </c>
      <c r="F288" t="s">
        <v>1578</v>
      </c>
      <c r="G288" t="s">
        <v>1091</v>
      </c>
    </row>
    <row r="289" spans="1:7">
      <c r="A289" t="s">
        <v>1892</v>
      </c>
      <c r="B289" s="2">
        <v>45670</v>
      </c>
      <c r="C289" t="s">
        <v>110</v>
      </c>
      <c r="D289" t="s">
        <v>1629</v>
      </c>
      <c r="E289">
        <v>453.9</v>
      </c>
      <c r="F289" t="s">
        <v>1578</v>
      </c>
      <c r="G289" t="s">
        <v>1091</v>
      </c>
    </row>
    <row r="290" spans="1:7">
      <c r="A290" t="s">
        <v>1893</v>
      </c>
      <c r="B290" s="2">
        <v>45670</v>
      </c>
      <c r="C290" t="s">
        <v>114</v>
      </c>
      <c r="D290" t="s">
        <v>1629</v>
      </c>
      <c r="E290">
        <v>449.45</v>
      </c>
      <c r="F290" t="s">
        <v>1578</v>
      </c>
      <c r="G290" t="s">
        <v>1091</v>
      </c>
    </row>
    <row r="291" spans="1:7">
      <c r="A291" t="s">
        <v>1894</v>
      </c>
      <c r="B291" s="2">
        <v>45670</v>
      </c>
      <c r="C291" t="s">
        <v>117</v>
      </c>
      <c r="D291" t="s">
        <v>1629</v>
      </c>
      <c r="E291">
        <v>447.22</v>
      </c>
      <c r="F291" t="s">
        <v>1578</v>
      </c>
      <c r="G291" t="s">
        <v>1091</v>
      </c>
    </row>
    <row r="292" spans="1:7">
      <c r="A292" t="s">
        <v>1895</v>
      </c>
      <c r="B292" s="2">
        <v>45670</v>
      </c>
      <c r="C292" t="s">
        <v>119</v>
      </c>
      <c r="D292" t="s">
        <v>1629</v>
      </c>
      <c r="E292">
        <v>449.45</v>
      </c>
      <c r="F292" t="s">
        <v>1578</v>
      </c>
      <c r="G292" t="s">
        <v>1091</v>
      </c>
    </row>
    <row r="293" spans="1:7">
      <c r="A293" t="s">
        <v>1896</v>
      </c>
      <c r="B293" s="2">
        <v>45670</v>
      </c>
      <c r="C293" t="s">
        <v>75</v>
      </c>
      <c r="D293" t="s">
        <v>1629</v>
      </c>
      <c r="E293">
        <v>187.86</v>
      </c>
      <c r="F293" t="s">
        <v>1578</v>
      </c>
      <c r="G293" t="s">
        <v>1092</v>
      </c>
    </row>
    <row r="294" spans="1:7">
      <c r="A294" t="s">
        <v>1897</v>
      </c>
      <c r="B294" s="2">
        <v>45670</v>
      </c>
      <c r="C294" t="s">
        <v>91</v>
      </c>
      <c r="D294" t="s">
        <v>1629</v>
      </c>
      <c r="E294">
        <v>190.65</v>
      </c>
      <c r="F294" t="s">
        <v>1578</v>
      </c>
      <c r="G294" t="s">
        <v>1092</v>
      </c>
    </row>
    <row r="295" spans="1:7">
      <c r="A295" t="s">
        <v>1898</v>
      </c>
      <c r="B295" s="2">
        <v>45670</v>
      </c>
      <c r="C295" t="s">
        <v>93</v>
      </c>
      <c r="D295" t="s">
        <v>1629</v>
      </c>
      <c r="E295">
        <v>189.72</v>
      </c>
      <c r="F295" t="s">
        <v>1578</v>
      </c>
      <c r="G295" t="s">
        <v>1092</v>
      </c>
    </row>
    <row r="296" spans="1:7">
      <c r="A296" t="s">
        <v>1899</v>
      </c>
      <c r="B296" s="2">
        <v>45670</v>
      </c>
      <c r="C296" t="s">
        <v>95</v>
      </c>
      <c r="D296" t="s">
        <v>1629</v>
      </c>
      <c r="E296">
        <v>188.79</v>
      </c>
      <c r="F296" t="s">
        <v>1578</v>
      </c>
      <c r="G296" t="s">
        <v>1092</v>
      </c>
    </row>
    <row r="297" spans="1:7">
      <c r="A297" t="s">
        <v>1900</v>
      </c>
      <c r="B297" s="2">
        <v>45670</v>
      </c>
      <c r="C297" t="s">
        <v>97</v>
      </c>
      <c r="D297" t="s">
        <v>1629</v>
      </c>
      <c r="E297">
        <v>187.86</v>
      </c>
      <c r="F297" t="s">
        <v>1578</v>
      </c>
      <c r="G297" t="s">
        <v>1092</v>
      </c>
    </row>
    <row r="298" spans="1:7">
      <c r="A298" t="s">
        <v>1901</v>
      </c>
      <c r="B298" s="2">
        <v>45670</v>
      </c>
      <c r="C298" t="s">
        <v>99</v>
      </c>
      <c r="D298" t="s">
        <v>1629</v>
      </c>
      <c r="E298">
        <v>95.79</v>
      </c>
      <c r="F298" t="s">
        <v>1578</v>
      </c>
      <c r="G298" t="s">
        <v>1092</v>
      </c>
    </row>
    <row r="299" spans="1:7">
      <c r="A299" t="s">
        <v>1902</v>
      </c>
      <c r="B299" s="2">
        <v>45670</v>
      </c>
      <c r="C299" t="s">
        <v>102</v>
      </c>
      <c r="D299" t="s">
        <v>1629</v>
      </c>
      <c r="E299">
        <v>189.72</v>
      </c>
      <c r="F299" t="s">
        <v>1578</v>
      </c>
      <c r="G299" t="s">
        <v>1092</v>
      </c>
    </row>
    <row r="300" spans="1:7">
      <c r="A300" t="s">
        <v>1903</v>
      </c>
      <c r="B300" s="2">
        <v>45670</v>
      </c>
      <c r="C300" t="s">
        <v>108</v>
      </c>
      <c r="D300" t="s">
        <v>1629</v>
      </c>
      <c r="E300">
        <v>377.58</v>
      </c>
      <c r="F300" t="s">
        <v>1578</v>
      </c>
      <c r="G300" t="s">
        <v>1092</v>
      </c>
    </row>
    <row r="301" spans="1:7">
      <c r="A301" t="s">
        <v>1904</v>
      </c>
      <c r="B301" s="2">
        <v>45670</v>
      </c>
      <c r="C301" t="s">
        <v>110</v>
      </c>
      <c r="D301" t="s">
        <v>1629</v>
      </c>
      <c r="E301">
        <v>189.72</v>
      </c>
      <c r="F301" t="s">
        <v>1578</v>
      </c>
      <c r="G301" t="s">
        <v>1092</v>
      </c>
    </row>
    <row r="302" spans="1:7">
      <c r="A302" t="s">
        <v>1905</v>
      </c>
      <c r="B302" s="2">
        <v>45670</v>
      </c>
      <c r="C302" t="s">
        <v>114</v>
      </c>
      <c r="D302" t="s">
        <v>1629</v>
      </c>
      <c r="E302">
        <v>187.86</v>
      </c>
      <c r="F302" t="s">
        <v>1578</v>
      </c>
      <c r="G302" t="s">
        <v>1092</v>
      </c>
    </row>
    <row r="303" spans="1:7">
      <c r="A303" t="s">
        <v>1906</v>
      </c>
      <c r="B303" s="2">
        <v>45670</v>
      </c>
      <c r="C303" t="s">
        <v>117</v>
      </c>
      <c r="D303" t="s">
        <v>1629</v>
      </c>
      <c r="E303">
        <v>186.93</v>
      </c>
      <c r="F303" t="s">
        <v>1578</v>
      </c>
      <c r="G303" t="s">
        <v>1092</v>
      </c>
    </row>
    <row r="304" spans="1:7">
      <c r="A304" t="s">
        <v>1907</v>
      </c>
      <c r="B304" s="2">
        <v>45670</v>
      </c>
      <c r="C304" t="s">
        <v>119</v>
      </c>
      <c r="D304" t="s">
        <v>1629</v>
      </c>
      <c r="E304">
        <v>187.86</v>
      </c>
      <c r="F304" t="s">
        <v>1578</v>
      </c>
      <c r="G304" t="s">
        <v>1092</v>
      </c>
    </row>
    <row r="305" spans="1:7">
      <c r="A305" t="s">
        <v>1908</v>
      </c>
      <c r="B305" s="2">
        <v>45670</v>
      </c>
      <c r="C305" t="s">
        <v>61</v>
      </c>
      <c r="D305" t="s">
        <v>1629</v>
      </c>
      <c r="E305">
        <v>284.58</v>
      </c>
      <c r="F305" t="s">
        <v>1578</v>
      </c>
      <c r="G305" t="s">
        <v>1093</v>
      </c>
    </row>
    <row r="306" spans="1:7">
      <c r="A306" t="s">
        <v>1909</v>
      </c>
      <c r="B306" s="2">
        <v>45670</v>
      </c>
      <c r="C306" t="s">
        <v>65</v>
      </c>
      <c r="D306" t="s">
        <v>1629</v>
      </c>
      <c r="E306">
        <v>283.18</v>
      </c>
      <c r="F306" t="s">
        <v>1578</v>
      </c>
      <c r="G306" t="s">
        <v>1093</v>
      </c>
    </row>
    <row r="307" spans="1:7">
      <c r="A307" t="s">
        <v>1910</v>
      </c>
      <c r="B307" s="2">
        <v>45670</v>
      </c>
      <c r="C307" t="s">
        <v>68</v>
      </c>
      <c r="D307" t="s">
        <v>1629</v>
      </c>
      <c r="E307">
        <v>284.58</v>
      </c>
      <c r="F307" t="s">
        <v>1578</v>
      </c>
      <c r="G307" t="s">
        <v>1093</v>
      </c>
    </row>
    <row r="308" spans="1:7">
      <c r="A308" t="s">
        <v>1911</v>
      </c>
      <c r="B308" s="2">
        <v>45670</v>
      </c>
      <c r="C308" t="s">
        <v>75</v>
      </c>
      <c r="D308" t="s">
        <v>1629</v>
      </c>
      <c r="E308">
        <v>281.79000000000002</v>
      </c>
      <c r="F308" t="s">
        <v>1578</v>
      </c>
      <c r="G308" t="s">
        <v>1093</v>
      </c>
    </row>
    <row r="309" spans="1:7">
      <c r="A309" t="s">
        <v>1912</v>
      </c>
      <c r="B309" s="2">
        <v>45670</v>
      </c>
      <c r="C309" t="s">
        <v>79</v>
      </c>
      <c r="D309" t="s">
        <v>1629</v>
      </c>
      <c r="E309">
        <v>284.58</v>
      </c>
      <c r="F309" t="s">
        <v>1578</v>
      </c>
      <c r="G309" t="s">
        <v>1093</v>
      </c>
    </row>
    <row r="310" spans="1:7">
      <c r="A310" t="s">
        <v>1913</v>
      </c>
      <c r="B310" s="2">
        <v>45670</v>
      </c>
      <c r="C310" t="s">
        <v>81</v>
      </c>
      <c r="D310" t="s">
        <v>1629</v>
      </c>
      <c r="E310">
        <v>563.58000000000004</v>
      </c>
      <c r="F310" t="s">
        <v>1578</v>
      </c>
      <c r="G310" t="s">
        <v>1093</v>
      </c>
    </row>
    <row r="311" spans="1:7">
      <c r="A311" t="s">
        <v>1914</v>
      </c>
      <c r="B311" s="2">
        <v>45670</v>
      </c>
      <c r="C311" t="s">
        <v>110</v>
      </c>
      <c r="D311" t="s">
        <v>1629</v>
      </c>
      <c r="E311">
        <v>284.58</v>
      </c>
      <c r="F311" t="s">
        <v>1578</v>
      </c>
      <c r="G311" t="s">
        <v>1093</v>
      </c>
    </row>
    <row r="312" spans="1:7">
      <c r="A312" t="s">
        <v>1915</v>
      </c>
      <c r="B312" s="2">
        <v>45670</v>
      </c>
      <c r="C312" t="s">
        <v>114</v>
      </c>
      <c r="D312" t="s">
        <v>1629</v>
      </c>
      <c r="E312">
        <v>281.79000000000002</v>
      </c>
      <c r="F312" t="s">
        <v>1578</v>
      </c>
      <c r="G312" t="s">
        <v>1093</v>
      </c>
    </row>
    <row r="313" spans="1:7">
      <c r="A313" t="s">
        <v>1916</v>
      </c>
      <c r="B313" s="2">
        <v>45670</v>
      </c>
      <c r="C313" t="s">
        <v>117</v>
      </c>
      <c r="D313" t="s">
        <v>1629</v>
      </c>
      <c r="E313">
        <v>280.39999999999998</v>
      </c>
      <c r="F313" t="s">
        <v>1578</v>
      </c>
      <c r="G313" t="s">
        <v>1093</v>
      </c>
    </row>
    <row r="314" spans="1:7">
      <c r="A314" t="s">
        <v>1917</v>
      </c>
      <c r="B314" s="2">
        <v>45670</v>
      </c>
      <c r="C314" t="s">
        <v>119</v>
      </c>
      <c r="D314" t="s">
        <v>1629</v>
      </c>
      <c r="E314">
        <v>281.79000000000002</v>
      </c>
      <c r="F314" t="s">
        <v>1578</v>
      </c>
      <c r="G314" t="s">
        <v>1093</v>
      </c>
    </row>
    <row r="315" spans="1:7">
      <c r="A315" t="s">
        <v>1918</v>
      </c>
      <c r="B315" s="2">
        <v>45670</v>
      </c>
      <c r="C315" t="s">
        <v>102</v>
      </c>
      <c r="D315" t="s">
        <v>1683</v>
      </c>
      <c r="E315">
        <v>254</v>
      </c>
      <c r="F315" t="s">
        <v>1578</v>
      </c>
      <c r="G315" t="s">
        <v>374</v>
      </c>
    </row>
    <row r="316" spans="1:7">
      <c r="A316" t="s">
        <v>1919</v>
      </c>
      <c r="B316" s="2">
        <v>45670</v>
      </c>
      <c r="C316" t="s">
        <v>93</v>
      </c>
      <c r="D316" t="s">
        <v>1683</v>
      </c>
      <c r="E316">
        <v>205</v>
      </c>
      <c r="F316" t="s">
        <v>1578</v>
      </c>
      <c r="G316" t="s">
        <v>375</v>
      </c>
    </row>
    <row r="317" spans="1:7">
      <c r="A317" t="s">
        <v>1920</v>
      </c>
      <c r="B317" s="2">
        <v>45671</v>
      </c>
      <c r="C317" t="s">
        <v>61</v>
      </c>
      <c r="D317" t="s">
        <v>1629</v>
      </c>
      <c r="E317">
        <v>220.32</v>
      </c>
      <c r="F317" t="s">
        <v>1578</v>
      </c>
      <c r="G317" t="s">
        <v>1094</v>
      </c>
    </row>
    <row r="318" spans="1:7">
      <c r="A318" t="s">
        <v>1921</v>
      </c>
      <c r="B318" s="2">
        <v>45671</v>
      </c>
      <c r="C318" t="s">
        <v>65</v>
      </c>
      <c r="D318" t="s">
        <v>1629</v>
      </c>
      <c r="E318">
        <v>219.24</v>
      </c>
      <c r="F318" t="s">
        <v>1578</v>
      </c>
      <c r="G318" t="s">
        <v>1094</v>
      </c>
    </row>
    <row r="319" spans="1:7">
      <c r="A319" t="s">
        <v>1922</v>
      </c>
      <c r="B319" s="2">
        <v>45671</v>
      </c>
      <c r="C319" t="s">
        <v>68</v>
      </c>
      <c r="D319" t="s">
        <v>1629</v>
      </c>
      <c r="E319">
        <v>220.32</v>
      </c>
      <c r="F319" t="s">
        <v>1578</v>
      </c>
      <c r="G319" t="s">
        <v>1094</v>
      </c>
    </row>
    <row r="320" spans="1:7">
      <c r="A320" t="s">
        <v>1923</v>
      </c>
      <c r="B320" s="2">
        <v>45671</v>
      </c>
      <c r="C320" t="s">
        <v>75</v>
      </c>
      <c r="D320" t="s">
        <v>1629</v>
      </c>
      <c r="E320">
        <v>218.16</v>
      </c>
      <c r="F320" t="s">
        <v>1578</v>
      </c>
      <c r="G320" t="s">
        <v>1094</v>
      </c>
    </row>
    <row r="321" spans="1:7">
      <c r="A321" t="s">
        <v>1924</v>
      </c>
      <c r="B321" s="2">
        <v>45671</v>
      </c>
      <c r="C321" t="s">
        <v>79</v>
      </c>
      <c r="D321" t="s">
        <v>1629</v>
      </c>
      <c r="E321">
        <v>220.32</v>
      </c>
      <c r="F321" t="s">
        <v>1578</v>
      </c>
      <c r="G321" t="s">
        <v>1094</v>
      </c>
    </row>
    <row r="322" spans="1:7">
      <c r="A322" t="s">
        <v>1925</v>
      </c>
      <c r="B322" s="2">
        <v>45671</v>
      </c>
      <c r="C322" t="s">
        <v>81</v>
      </c>
      <c r="D322" t="s">
        <v>1629</v>
      </c>
      <c r="E322">
        <v>436.32</v>
      </c>
      <c r="F322" t="s">
        <v>1578</v>
      </c>
      <c r="G322" t="s">
        <v>1094</v>
      </c>
    </row>
    <row r="323" spans="1:7">
      <c r="A323" t="s">
        <v>1926</v>
      </c>
      <c r="B323" s="2">
        <v>45671</v>
      </c>
      <c r="C323" t="s">
        <v>110</v>
      </c>
      <c r="D323" t="s">
        <v>1629</v>
      </c>
      <c r="E323">
        <v>220.32</v>
      </c>
      <c r="F323" t="s">
        <v>1578</v>
      </c>
      <c r="G323" t="s">
        <v>1094</v>
      </c>
    </row>
    <row r="324" spans="1:7">
      <c r="A324" t="s">
        <v>1927</v>
      </c>
      <c r="B324" s="2">
        <v>45671</v>
      </c>
      <c r="C324" t="s">
        <v>114</v>
      </c>
      <c r="D324" t="s">
        <v>1629</v>
      </c>
      <c r="E324">
        <v>218.16</v>
      </c>
      <c r="F324" t="s">
        <v>1578</v>
      </c>
      <c r="G324" t="s">
        <v>1094</v>
      </c>
    </row>
    <row r="325" spans="1:7">
      <c r="A325" t="s">
        <v>1928</v>
      </c>
      <c r="B325" s="2">
        <v>45671</v>
      </c>
      <c r="C325" t="s">
        <v>117</v>
      </c>
      <c r="D325" t="s">
        <v>1629</v>
      </c>
      <c r="E325">
        <v>217.08</v>
      </c>
      <c r="F325" t="s">
        <v>1578</v>
      </c>
      <c r="G325" t="s">
        <v>1094</v>
      </c>
    </row>
    <row r="326" spans="1:7">
      <c r="A326" t="s">
        <v>1929</v>
      </c>
      <c r="B326" s="2">
        <v>45671</v>
      </c>
      <c r="C326" t="s">
        <v>119</v>
      </c>
      <c r="D326" t="s">
        <v>1629</v>
      </c>
      <c r="E326">
        <v>218.16</v>
      </c>
      <c r="F326" t="s">
        <v>1578</v>
      </c>
      <c r="G326" t="s">
        <v>1094</v>
      </c>
    </row>
    <row r="327" spans="1:7">
      <c r="A327" t="s">
        <v>1930</v>
      </c>
      <c r="B327" s="2">
        <v>45671</v>
      </c>
      <c r="C327" t="s">
        <v>75</v>
      </c>
      <c r="D327" t="s">
        <v>1683</v>
      </c>
      <c r="E327">
        <v>155</v>
      </c>
      <c r="F327" t="s">
        <v>1578</v>
      </c>
      <c r="G327" t="s">
        <v>376</v>
      </c>
    </row>
    <row r="328" spans="1:7">
      <c r="A328" t="s">
        <v>1931</v>
      </c>
      <c r="B328" s="2">
        <v>45672</v>
      </c>
      <c r="C328" t="s">
        <v>61</v>
      </c>
      <c r="D328" t="s">
        <v>1629</v>
      </c>
      <c r="E328">
        <v>92.82</v>
      </c>
      <c r="F328" t="s">
        <v>1578</v>
      </c>
      <c r="G328" t="s">
        <v>1095</v>
      </c>
    </row>
    <row r="329" spans="1:7">
      <c r="A329" t="s">
        <v>1932</v>
      </c>
      <c r="B329" s="2">
        <v>45672</v>
      </c>
      <c r="C329" t="s">
        <v>65</v>
      </c>
      <c r="D329" t="s">
        <v>1629</v>
      </c>
      <c r="E329">
        <v>92.36</v>
      </c>
      <c r="F329" t="s">
        <v>1578</v>
      </c>
      <c r="G329" t="s">
        <v>1095</v>
      </c>
    </row>
    <row r="330" spans="1:7">
      <c r="A330" t="s">
        <v>1933</v>
      </c>
      <c r="B330" s="2">
        <v>45672</v>
      </c>
      <c r="C330" t="s">
        <v>68</v>
      </c>
      <c r="D330" t="s">
        <v>1629</v>
      </c>
      <c r="E330">
        <v>92.82</v>
      </c>
      <c r="F330" t="s">
        <v>1578</v>
      </c>
      <c r="G330" t="s">
        <v>1095</v>
      </c>
    </row>
    <row r="331" spans="1:7">
      <c r="A331" t="s">
        <v>1934</v>
      </c>
      <c r="B331" s="2">
        <v>45672</v>
      </c>
      <c r="C331" t="s">
        <v>75</v>
      </c>
      <c r="D331" t="s">
        <v>1629</v>
      </c>
      <c r="E331">
        <v>91.91</v>
      </c>
      <c r="F331" t="s">
        <v>1578</v>
      </c>
      <c r="G331" t="s">
        <v>1095</v>
      </c>
    </row>
    <row r="332" spans="1:7">
      <c r="A332" t="s">
        <v>1935</v>
      </c>
      <c r="B332" s="2">
        <v>45672</v>
      </c>
      <c r="C332" t="s">
        <v>79</v>
      </c>
      <c r="D332" t="s">
        <v>1629</v>
      </c>
      <c r="E332">
        <v>92.82</v>
      </c>
      <c r="F332" t="s">
        <v>1578</v>
      </c>
      <c r="G332" t="s">
        <v>1095</v>
      </c>
    </row>
    <row r="333" spans="1:7">
      <c r="A333" t="s">
        <v>1936</v>
      </c>
      <c r="B333" s="2">
        <v>45672</v>
      </c>
      <c r="C333" t="s">
        <v>81</v>
      </c>
      <c r="D333" t="s">
        <v>1629</v>
      </c>
      <c r="E333">
        <v>183.82</v>
      </c>
      <c r="F333" t="s">
        <v>1578</v>
      </c>
      <c r="G333" t="s">
        <v>1095</v>
      </c>
    </row>
    <row r="334" spans="1:7">
      <c r="A334" t="s">
        <v>1937</v>
      </c>
      <c r="B334" s="2">
        <v>45672</v>
      </c>
      <c r="C334" t="s">
        <v>97</v>
      </c>
      <c r="D334" t="s">
        <v>1629</v>
      </c>
      <c r="E334">
        <v>92.82</v>
      </c>
      <c r="F334" t="s">
        <v>1578</v>
      </c>
      <c r="G334" t="s">
        <v>1095</v>
      </c>
    </row>
    <row r="335" spans="1:7">
      <c r="A335" t="s">
        <v>1938</v>
      </c>
      <c r="B335" s="2">
        <v>45672</v>
      </c>
      <c r="C335" t="s">
        <v>110</v>
      </c>
      <c r="D335" t="s">
        <v>1629</v>
      </c>
      <c r="E335">
        <v>92.82</v>
      </c>
      <c r="F335" t="s">
        <v>1578</v>
      </c>
      <c r="G335" t="s">
        <v>1095</v>
      </c>
    </row>
    <row r="336" spans="1:7">
      <c r="A336" t="s">
        <v>1939</v>
      </c>
      <c r="B336" s="2">
        <v>45672</v>
      </c>
      <c r="C336" t="s">
        <v>114</v>
      </c>
      <c r="D336" t="s">
        <v>1629</v>
      </c>
      <c r="E336">
        <v>91.91</v>
      </c>
      <c r="F336" t="s">
        <v>1578</v>
      </c>
      <c r="G336" t="s">
        <v>1095</v>
      </c>
    </row>
    <row r="337" spans="1:7">
      <c r="A337" t="s">
        <v>1940</v>
      </c>
      <c r="B337" s="2">
        <v>45672</v>
      </c>
      <c r="C337" t="s">
        <v>117</v>
      </c>
      <c r="D337" t="s">
        <v>1629</v>
      </c>
      <c r="E337">
        <v>91.45</v>
      </c>
      <c r="F337" t="s">
        <v>1578</v>
      </c>
      <c r="G337" t="s">
        <v>1095</v>
      </c>
    </row>
    <row r="338" spans="1:7">
      <c r="A338" t="s">
        <v>1941</v>
      </c>
      <c r="B338" s="2">
        <v>45672</v>
      </c>
      <c r="C338" t="s">
        <v>119</v>
      </c>
      <c r="D338" t="s">
        <v>1629</v>
      </c>
      <c r="E338">
        <v>91.91</v>
      </c>
      <c r="F338" t="s">
        <v>1578</v>
      </c>
      <c r="G338" t="s">
        <v>1095</v>
      </c>
    </row>
    <row r="339" spans="1:7">
      <c r="A339" t="s">
        <v>1942</v>
      </c>
      <c r="B339" s="2">
        <v>45672</v>
      </c>
      <c r="C339" t="s">
        <v>68</v>
      </c>
      <c r="D339" t="s">
        <v>1683</v>
      </c>
      <c r="E339">
        <v>184</v>
      </c>
      <c r="F339" t="s">
        <v>1578</v>
      </c>
      <c r="G339" t="s">
        <v>377</v>
      </c>
    </row>
    <row r="340" spans="1:7">
      <c r="A340" t="s">
        <v>1943</v>
      </c>
      <c r="B340" s="2">
        <v>45672</v>
      </c>
      <c r="C340" t="s">
        <v>106</v>
      </c>
      <c r="D340" t="s">
        <v>1683</v>
      </c>
      <c r="E340">
        <v>222</v>
      </c>
      <c r="F340" t="s">
        <v>1578</v>
      </c>
      <c r="G340" t="s">
        <v>378</v>
      </c>
    </row>
    <row r="341" spans="1:7">
      <c r="A341" t="s">
        <v>1944</v>
      </c>
      <c r="B341" s="2">
        <v>45672</v>
      </c>
      <c r="C341" t="s">
        <v>106</v>
      </c>
      <c r="D341" t="s">
        <v>1683</v>
      </c>
      <c r="E341">
        <v>225</v>
      </c>
      <c r="F341" t="s">
        <v>1578</v>
      </c>
      <c r="G341" t="s">
        <v>379</v>
      </c>
    </row>
    <row r="342" spans="1:7">
      <c r="A342" t="s">
        <v>1945</v>
      </c>
      <c r="B342" s="2">
        <v>45672</v>
      </c>
      <c r="C342" t="s">
        <v>95</v>
      </c>
      <c r="D342" t="s">
        <v>1683</v>
      </c>
      <c r="E342">
        <v>162</v>
      </c>
      <c r="F342" t="s">
        <v>1578</v>
      </c>
      <c r="G342" t="s">
        <v>380</v>
      </c>
    </row>
    <row r="343" spans="1:7">
      <c r="A343" t="s">
        <v>1946</v>
      </c>
      <c r="B343" s="2">
        <v>45673</v>
      </c>
      <c r="C343" t="s">
        <v>61</v>
      </c>
      <c r="D343" t="s">
        <v>1629</v>
      </c>
      <c r="E343">
        <v>110.16</v>
      </c>
      <c r="F343" t="s">
        <v>1578</v>
      </c>
      <c r="G343" t="s">
        <v>1096</v>
      </c>
    </row>
    <row r="344" spans="1:7">
      <c r="A344" t="s">
        <v>1947</v>
      </c>
      <c r="B344" s="2">
        <v>45673</v>
      </c>
      <c r="C344" t="s">
        <v>65</v>
      </c>
      <c r="D344" t="s">
        <v>1629</v>
      </c>
      <c r="E344">
        <v>109.62</v>
      </c>
      <c r="F344" t="s">
        <v>1578</v>
      </c>
      <c r="G344" t="s">
        <v>1096</v>
      </c>
    </row>
    <row r="345" spans="1:7">
      <c r="A345" t="s">
        <v>1948</v>
      </c>
      <c r="B345" s="2">
        <v>45673</v>
      </c>
      <c r="C345" t="s">
        <v>68</v>
      </c>
      <c r="D345" t="s">
        <v>1629</v>
      </c>
      <c r="E345">
        <v>110.16</v>
      </c>
      <c r="F345" t="s">
        <v>1578</v>
      </c>
      <c r="G345" t="s">
        <v>1096</v>
      </c>
    </row>
    <row r="346" spans="1:7">
      <c r="A346" t="s">
        <v>1949</v>
      </c>
      <c r="B346" s="2">
        <v>45673</v>
      </c>
      <c r="C346" t="s">
        <v>75</v>
      </c>
      <c r="D346" t="s">
        <v>1629</v>
      </c>
      <c r="E346">
        <v>109.08</v>
      </c>
      <c r="F346" t="s">
        <v>1578</v>
      </c>
      <c r="G346" t="s">
        <v>1096</v>
      </c>
    </row>
    <row r="347" spans="1:7">
      <c r="A347" t="s">
        <v>1950</v>
      </c>
      <c r="B347" s="2">
        <v>45673</v>
      </c>
      <c r="C347" t="s">
        <v>79</v>
      </c>
      <c r="D347" t="s">
        <v>1629</v>
      </c>
      <c r="E347">
        <v>110.16</v>
      </c>
      <c r="F347" t="s">
        <v>1578</v>
      </c>
      <c r="G347" t="s">
        <v>1096</v>
      </c>
    </row>
    <row r="348" spans="1:7">
      <c r="A348" t="s">
        <v>1951</v>
      </c>
      <c r="B348" s="2">
        <v>45673</v>
      </c>
      <c r="C348" t="s">
        <v>81</v>
      </c>
      <c r="D348" t="s">
        <v>1629</v>
      </c>
      <c r="E348">
        <v>218.16</v>
      </c>
      <c r="F348" t="s">
        <v>1578</v>
      </c>
      <c r="G348" t="s">
        <v>1096</v>
      </c>
    </row>
    <row r="349" spans="1:7">
      <c r="A349" t="s">
        <v>1952</v>
      </c>
      <c r="B349" s="2">
        <v>45673</v>
      </c>
      <c r="C349" t="s">
        <v>110</v>
      </c>
      <c r="D349" t="s">
        <v>1629</v>
      </c>
      <c r="E349">
        <v>110.16</v>
      </c>
      <c r="F349" t="s">
        <v>1578</v>
      </c>
      <c r="G349" t="s">
        <v>1096</v>
      </c>
    </row>
    <row r="350" spans="1:7">
      <c r="A350" t="s">
        <v>1953</v>
      </c>
      <c r="B350" s="2">
        <v>45673</v>
      </c>
      <c r="C350" t="s">
        <v>114</v>
      </c>
      <c r="D350" t="s">
        <v>1629</v>
      </c>
      <c r="E350">
        <v>109.08</v>
      </c>
      <c r="F350" t="s">
        <v>1578</v>
      </c>
      <c r="G350" t="s">
        <v>1096</v>
      </c>
    </row>
    <row r="351" spans="1:7">
      <c r="A351" t="s">
        <v>1954</v>
      </c>
      <c r="B351" s="2">
        <v>45673</v>
      </c>
      <c r="C351" t="s">
        <v>117</v>
      </c>
      <c r="D351" t="s">
        <v>1629</v>
      </c>
      <c r="E351">
        <v>108.54</v>
      </c>
      <c r="F351" t="s">
        <v>1578</v>
      </c>
      <c r="G351" t="s">
        <v>1096</v>
      </c>
    </row>
    <row r="352" spans="1:7">
      <c r="A352" t="s">
        <v>1955</v>
      </c>
      <c r="B352" s="2">
        <v>45673</v>
      </c>
      <c r="C352" t="s">
        <v>119</v>
      </c>
      <c r="D352" t="s">
        <v>1629</v>
      </c>
      <c r="E352">
        <v>109.08</v>
      </c>
      <c r="F352" t="s">
        <v>1578</v>
      </c>
      <c r="G352" t="s">
        <v>1096</v>
      </c>
    </row>
    <row r="353" spans="1:7">
      <c r="A353" t="s">
        <v>1956</v>
      </c>
      <c r="B353" s="2">
        <v>45673</v>
      </c>
      <c r="C353" t="s">
        <v>61</v>
      </c>
      <c r="D353" t="s">
        <v>1629</v>
      </c>
      <c r="E353">
        <v>363.12</v>
      </c>
      <c r="F353" t="s">
        <v>1578</v>
      </c>
      <c r="G353" t="s">
        <v>1097</v>
      </c>
    </row>
    <row r="354" spans="1:7">
      <c r="A354" t="s">
        <v>1957</v>
      </c>
      <c r="B354" s="2">
        <v>45673</v>
      </c>
      <c r="C354" t="s">
        <v>65</v>
      </c>
      <c r="D354" t="s">
        <v>1629</v>
      </c>
      <c r="E354">
        <v>361.34</v>
      </c>
      <c r="F354" t="s">
        <v>1578</v>
      </c>
      <c r="G354" t="s">
        <v>1097</v>
      </c>
    </row>
    <row r="355" spans="1:7">
      <c r="A355" t="s">
        <v>1958</v>
      </c>
      <c r="B355" s="2">
        <v>45673</v>
      </c>
      <c r="C355" t="s">
        <v>68</v>
      </c>
      <c r="D355" t="s">
        <v>1629</v>
      </c>
      <c r="E355">
        <v>363.12</v>
      </c>
      <c r="F355" t="s">
        <v>1578</v>
      </c>
      <c r="G355" t="s">
        <v>1097</v>
      </c>
    </row>
    <row r="356" spans="1:7">
      <c r="A356" t="s">
        <v>1959</v>
      </c>
      <c r="B356" s="2">
        <v>45673</v>
      </c>
      <c r="C356" t="s">
        <v>70</v>
      </c>
      <c r="D356" t="s">
        <v>1629</v>
      </c>
      <c r="E356">
        <v>359.56</v>
      </c>
      <c r="F356" t="s">
        <v>1578</v>
      </c>
      <c r="G356" t="s">
        <v>1097</v>
      </c>
    </row>
    <row r="357" spans="1:7">
      <c r="A357" t="s">
        <v>1960</v>
      </c>
      <c r="B357" s="2">
        <v>45673</v>
      </c>
      <c r="C357" t="s">
        <v>73</v>
      </c>
      <c r="D357" t="s">
        <v>1629</v>
      </c>
      <c r="E357">
        <v>363.12</v>
      </c>
      <c r="F357" t="s">
        <v>1578</v>
      </c>
      <c r="G357" t="s">
        <v>1097</v>
      </c>
    </row>
    <row r="358" spans="1:7">
      <c r="A358" t="s">
        <v>1961</v>
      </c>
      <c r="B358" s="2">
        <v>45673</v>
      </c>
      <c r="C358" t="s">
        <v>75</v>
      </c>
      <c r="D358" t="s">
        <v>1629</v>
      </c>
      <c r="E358">
        <v>359.56</v>
      </c>
      <c r="F358" t="s">
        <v>1578</v>
      </c>
      <c r="G358" t="s">
        <v>1097</v>
      </c>
    </row>
    <row r="359" spans="1:7">
      <c r="A359" t="s">
        <v>1962</v>
      </c>
      <c r="B359" s="2">
        <v>45673</v>
      </c>
      <c r="C359" t="s">
        <v>77</v>
      </c>
      <c r="D359" t="s">
        <v>1629</v>
      </c>
      <c r="E359">
        <v>359.56</v>
      </c>
      <c r="F359" t="s">
        <v>1578</v>
      </c>
      <c r="G359" t="s">
        <v>1097</v>
      </c>
    </row>
    <row r="360" spans="1:7">
      <c r="A360" t="s">
        <v>1963</v>
      </c>
      <c r="B360" s="2">
        <v>45673</v>
      </c>
      <c r="C360" t="s">
        <v>79</v>
      </c>
      <c r="D360" t="s">
        <v>1629</v>
      </c>
      <c r="E360">
        <v>363.12</v>
      </c>
      <c r="F360" t="s">
        <v>1578</v>
      </c>
      <c r="G360" t="s">
        <v>1097</v>
      </c>
    </row>
    <row r="361" spans="1:7">
      <c r="A361" t="s">
        <v>1964</v>
      </c>
      <c r="B361" s="2">
        <v>45673</v>
      </c>
      <c r="C361" t="s">
        <v>81</v>
      </c>
      <c r="D361" t="s">
        <v>1629</v>
      </c>
      <c r="E361">
        <v>719.12</v>
      </c>
      <c r="F361" t="s">
        <v>1578</v>
      </c>
      <c r="G361" t="s">
        <v>1097</v>
      </c>
    </row>
    <row r="362" spans="1:7">
      <c r="A362" t="s">
        <v>1965</v>
      </c>
      <c r="B362" s="2">
        <v>45673</v>
      </c>
      <c r="C362" t="s">
        <v>108</v>
      </c>
      <c r="D362" t="s">
        <v>1629</v>
      </c>
      <c r="E362">
        <v>722.68</v>
      </c>
      <c r="F362" t="s">
        <v>1578</v>
      </c>
      <c r="G362" t="s">
        <v>1097</v>
      </c>
    </row>
    <row r="363" spans="1:7">
      <c r="A363" t="s">
        <v>1966</v>
      </c>
      <c r="B363" s="2">
        <v>45673</v>
      </c>
      <c r="C363" t="s">
        <v>110</v>
      </c>
      <c r="D363" t="s">
        <v>1629</v>
      </c>
      <c r="E363">
        <v>363.12</v>
      </c>
      <c r="F363" t="s">
        <v>1578</v>
      </c>
      <c r="G363" t="s">
        <v>1097</v>
      </c>
    </row>
    <row r="364" spans="1:7">
      <c r="A364" t="s">
        <v>1967</v>
      </c>
      <c r="B364" s="2">
        <v>45673</v>
      </c>
      <c r="C364" t="s">
        <v>114</v>
      </c>
      <c r="D364" t="s">
        <v>1629</v>
      </c>
      <c r="E364">
        <v>359.56</v>
      </c>
      <c r="F364" t="s">
        <v>1578</v>
      </c>
      <c r="G364" t="s">
        <v>1097</v>
      </c>
    </row>
    <row r="365" spans="1:7">
      <c r="A365" t="s">
        <v>1968</v>
      </c>
      <c r="B365" s="2">
        <v>45673</v>
      </c>
      <c r="C365" t="s">
        <v>117</v>
      </c>
      <c r="D365" t="s">
        <v>1629</v>
      </c>
      <c r="E365">
        <v>357.78</v>
      </c>
      <c r="F365" t="s">
        <v>1578</v>
      </c>
      <c r="G365" t="s">
        <v>1097</v>
      </c>
    </row>
    <row r="366" spans="1:7">
      <c r="A366" t="s">
        <v>1969</v>
      </c>
      <c r="B366" s="2">
        <v>45673</v>
      </c>
      <c r="C366" t="s">
        <v>119</v>
      </c>
      <c r="D366" t="s">
        <v>1629</v>
      </c>
      <c r="E366">
        <v>359.56</v>
      </c>
      <c r="F366" t="s">
        <v>1578</v>
      </c>
      <c r="G366" t="s">
        <v>1097</v>
      </c>
    </row>
    <row r="367" spans="1:7">
      <c r="A367" t="s">
        <v>1970</v>
      </c>
      <c r="B367" s="2">
        <v>45673</v>
      </c>
      <c r="C367" t="s">
        <v>75</v>
      </c>
      <c r="D367" t="s">
        <v>1683</v>
      </c>
      <c r="E367">
        <v>150</v>
      </c>
      <c r="F367" t="s">
        <v>1578</v>
      </c>
      <c r="G367" t="s">
        <v>381</v>
      </c>
    </row>
    <row r="368" spans="1:7">
      <c r="A368" t="s">
        <v>1971</v>
      </c>
      <c r="B368" s="2">
        <v>45674</v>
      </c>
      <c r="C368" t="s">
        <v>75</v>
      </c>
      <c r="D368" t="s">
        <v>1629</v>
      </c>
      <c r="E368">
        <v>429.25</v>
      </c>
      <c r="F368" t="s">
        <v>1578</v>
      </c>
      <c r="G368" t="s">
        <v>1098</v>
      </c>
    </row>
    <row r="369" spans="1:7">
      <c r="A369" t="s">
        <v>1972</v>
      </c>
      <c r="B369" s="2">
        <v>45674</v>
      </c>
      <c r="C369" t="s">
        <v>104</v>
      </c>
      <c r="D369" t="s">
        <v>1629</v>
      </c>
      <c r="E369">
        <v>875.5</v>
      </c>
      <c r="F369" t="s">
        <v>1578</v>
      </c>
      <c r="G369" t="s">
        <v>1098</v>
      </c>
    </row>
    <row r="370" spans="1:7">
      <c r="A370" t="s">
        <v>1973</v>
      </c>
      <c r="B370" s="2">
        <v>45674</v>
      </c>
      <c r="C370" t="s">
        <v>108</v>
      </c>
      <c r="D370" t="s">
        <v>1629</v>
      </c>
      <c r="E370">
        <v>862.75</v>
      </c>
      <c r="F370" t="s">
        <v>1578</v>
      </c>
      <c r="G370" t="s">
        <v>1098</v>
      </c>
    </row>
    <row r="371" spans="1:7">
      <c r="A371" t="s">
        <v>1974</v>
      </c>
      <c r="B371" s="2">
        <v>45674</v>
      </c>
      <c r="C371" t="s">
        <v>110</v>
      </c>
      <c r="D371" t="s">
        <v>1629</v>
      </c>
      <c r="E371">
        <v>433.5</v>
      </c>
      <c r="F371" t="s">
        <v>1578</v>
      </c>
      <c r="G371" t="s">
        <v>1098</v>
      </c>
    </row>
    <row r="372" spans="1:7">
      <c r="A372" t="s">
        <v>1975</v>
      </c>
      <c r="B372" s="2">
        <v>45674</v>
      </c>
      <c r="C372" t="s">
        <v>114</v>
      </c>
      <c r="D372" t="s">
        <v>1629</v>
      </c>
      <c r="E372">
        <v>429.25</v>
      </c>
      <c r="F372" t="s">
        <v>1578</v>
      </c>
      <c r="G372" t="s">
        <v>1098</v>
      </c>
    </row>
    <row r="373" spans="1:7">
      <c r="A373" t="s">
        <v>1976</v>
      </c>
      <c r="B373" s="2">
        <v>45674</v>
      </c>
      <c r="C373" t="s">
        <v>117</v>
      </c>
      <c r="D373" t="s">
        <v>1629</v>
      </c>
      <c r="E373">
        <v>427.12</v>
      </c>
      <c r="F373" t="s">
        <v>1578</v>
      </c>
      <c r="G373" t="s">
        <v>1098</v>
      </c>
    </row>
    <row r="374" spans="1:7">
      <c r="A374" t="s">
        <v>1977</v>
      </c>
      <c r="B374" s="2">
        <v>45674</v>
      </c>
      <c r="C374" t="s">
        <v>119</v>
      </c>
      <c r="D374" t="s">
        <v>1629</v>
      </c>
      <c r="E374">
        <v>429.25</v>
      </c>
      <c r="F374" t="s">
        <v>1578</v>
      </c>
      <c r="G374" t="s">
        <v>1098</v>
      </c>
    </row>
    <row r="375" spans="1:7">
      <c r="A375" t="s">
        <v>1978</v>
      </c>
      <c r="B375" s="2">
        <v>45674</v>
      </c>
      <c r="C375" t="s">
        <v>70</v>
      </c>
      <c r="D375" t="s">
        <v>1683</v>
      </c>
      <c r="E375">
        <v>364</v>
      </c>
      <c r="F375" t="s">
        <v>1578</v>
      </c>
      <c r="G375" t="s">
        <v>382</v>
      </c>
    </row>
    <row r="376" spans="1:7">
      <c r="A376" t="s">
        <v>1979</v>
      </c>
      <c r="B376" s="2">
        <v>45674</v>
      </c>
      <c r="C376" t="s">
        <v>99</v>
      </c>
      <c r="D376" t="s">
        <v>1683</v>
      </c>
      <c r="E376">
        <v>190</v>
      </c>
      <c r="F376" t="s">
        <v>1578</v>
      </c>
      <c r="G376" t="s">
        <v>383</v>
      </c>
    </row>
    <row r="377" spans="1:7">
      <c r="A377" t="s">
        <v>1980</v>
      </c>
      <c r="B377" s="2">
        <v>45674</v>
      </c>
      <c r="C377" t="s">
        <v>93</v>
      </c>
      <c r="D377" t="s">
        <v>1683</v>
      </c>
      <c r="E377">
        <v>273</v>
      </c>
      <c r="F377" t="s">
        <v>1578</v>
      </c>
      <c r="G377" t="s">
        <v>384</v>
      </c>
    </row>
    <row r="378" spans="1:7">
      <c r="A378" t="s">
        <v>1981</v>
      </c>
      <c r="B378" s="2">
        <v>45674</v>
      </c>
      <c r="C378" t="s">
        <v>87</v>
      </c>
      <c r="D378" t="s">
        <v>1683</v>
      </c>
      <c r="E378">
        <v>316</v>
      </c>
      <c r="F378" t="s">
        <v>1578</v>
      </c>
      <c r="G378" t="s">
        <v>386</v>
      </c>
    </row>
    <row r="379" spans="1:7">
      <c r="A379" t="s">
        <v>1982</v>
      </c>
      <c r="B379" s="2">
        <v>45674</v>
      </c>
      <c r="C379" t="s">
        <v>117</v>
      </c>
      <c r="D379" t="s">
        <v>1683</v>
      </c>
      <c r="E379">
        <v>120</v>
      </c>
      <c r="F379" t="s">
        <v>1578</v>
      </c>
      <c r="G379" t="s">
        <v>387</v>
      </c>
    </row>
    <row r="380" spans="1:7">
      <c r="A380" t="s">
        <v>1983</v>
      </c>
      <c r="B380" s="2">
        <v>45675</v>
      </c>
      <c r="C380" t="s">
        <v>79</v>
      </c>
      <c r="D380" t="s">
        <v>1683</v>
      </c>
      <c r="E380">
        <v>247</v>
      </c>
      <c r="F380" t="s">
        <v>1578</v>
      </c>
      <c r="G380" t="s">
        <v>388</v>
      </c>
    </row>
    <row r="381" spans="1:7">
      <c r="A381" t="s">
        <v>1984</v>
      </c>
      <c r="B381" s="2">
        <v>45676</v>
      </c>
      <c r="C381" t="s">
        <v>75</v>
      </c>
      <c r="D381" t="s">
        <v>1629</v>
      </c>
      <c r="E381">
        <v>281.79000000000002</v>
      </c>
      <c r="F381" t="s">
        <v>1578</v>
      </c>
      <c r="G381" t="s">
        <v>1099</v>
      </c>
    </row>
    <row r="382" spans="1:7">
      <c r="A382" t="s">
        <v>1985</v>
      </c>
      <c r="B382" s="2">
        <v>45676</v>
      </c>
      <c r="C382" t="s">
        <v>91</v>
      </c>
      <c r="D382" t="s">
        <v>1629</v>
      </c>
      <c r="E382">
        <v>285.97000000000003</v>
      </c>
      <c r="F382" t="s">
        <v>1578</v>
      </c>
      <c r="G382" t="s">
        <v>1099</v>
      </c>
    </row>
    <row r="383" spans="1:7">
      <c r="A383" t="s">
        <v>1986</v>
      </c>
      <c r="B383" s="2">
        <v>45676</v>
      </c>
      <c r="C383" t="s">
        <v>93</v>
      </c>
      <c r="D383" t="s">
        <v>1629</v>
      </c>
      <c r="E383">
        <v>284.58</v>
      </c>
      <c r="F383" t="s">
        <v>1578</v>
      </c>
      <c r="G383" t="s">
        <v>1099</v>
      </c>
    </row>
    <row r="384" spans="1:7">
      <c r="A384" t="s">
        <v>1987</v>
      </c>
      <c r="B384" s="2">
        <v>45676</v>
      </c>
      <c r="C384" t="s">
        <v>95</v>
      </c>
      <c r="D384" t="s">
        <v>1629</v>
      </c>
      <c r="E384">
        <v>283.18</v>
      </c>
      <c r="F384" t="s">
        <v>1578</v>
      </c>
      <c r="G384" t="s">
        <v>1099</v>
      </c>
    </row>
    <row r="385" spans="1:7">
      <c r="A385" t="s">
        <v>1988</v>
      </c>
      <c r="B385" s="2">
        <v>45676</v>
      </c>
      <c r="C385" t="s">
        <v>97</v>
      </c>
      <c r="D385" t="s">
        <v>1629</v>
      </c>
      <c r="E385">
        <v>281.79000000000002</v>
      </c>
      <c r="F385" t="s">
        <v>1578</v>
      </c>
      <c r="G385" t="s">
        <v>1099</v>
      </c>
    </row>
    <row r="386" spans="1:7">
      <c r="A386" t="s">
        <v>1989</v>
      </c>
      <c r="B386" s="2">
        <v>45676</v>
      </c>
      <c r="C386" t="s">
        <v>99</v>
      </c>
      <c r="D386" t="s">
        <v>1629</v>
      </c>
      <c r="E386">
        <v>344.84</v>
      </c>
      <c r="F386" t="s">
        <v>1578</v>
      </c>
      <c r="G386" t="s">
        <v>1099</v>
      </c>
    </row>
    <row r="387" spans="1:7">
      <c r="A387" t="s">
        <v>1990</v>
      </c>
      <c r="B387" s="2">
        <v>45676</v>
      </c>
      <c r="C387" t="s">
        <v>102</v>
      </c>
      <c r="D387" t="s">
        <v>1629</v>
      </c>
      <c r="E387">
        <v>284.58</v>
      </c>
      <c r="F387" t="s">
        <v>1578</v>
      </c>
      <c r="G387" t="s">
        <v>1099</v>
      </c>
    </row>
    <row r="388" spans="1:7">
      <c r="A388" t="s">
        <v>1991</v>
      </c>
      <c r="B388" s="2">
        <v>45676</v>
      </c>
      <c r="C388" t="s">
        <v>108</v>
      </c>
      <c r="D388" t="s">
        <v>1629</v>
      </c>
      <c r="E388">
        <v>566.37</v>
      </c>
      <c r="F388" t="s">
        <v>1578</v>
      </c>
      <c r="G388" t="s">
        <v>1099</v>
      </c>
    </row>
    <row r="389" spans="1:7">
      <c r="A389" t="s">
        <v>1992</v>
      </c>
      <c r="B389" s="2">
        <v>45676</v>
      </c>
      <c r="C389" t="s">
        <v>110</v>
      </c>
      <c r="D389" t="s">
        <v>1629</v>
      </c>
      <c r="E389">
        <v>284.58</v>
      </c>
      <c r="F389" t="s">
        <v>1578</v>
      </c>
      <c r="G389" t="s">
        <v>1099</v>
      </c>
    </row>
    <row r="390" spans="1:7">
      <c r="A390" t="s">
        <v>1993</v>
      </c>
      <c r="B390" s="2">
        <v>45676</v>
      </c>
      <c r="C390" t="s">
        <v>114</v>
      </c>
      <c r="D390" t="s">
        <v>1629</v>
      </c>
      <c r="E390">
        <v>281.79000000000002</v>
      </c>
      <c r="F390" t="s">
        <v>1578</v>
      </c>
      <c r="G390" t="s">
        <v>1099</v>
      </c>
    </row>
    <row r="391" spans="1:7">
      <c r="A391" t="s">
        <v>1994</v>
      </c>
      <c r="B391" s="2">
        <v>45676</v>
      </c>
      <c r="C391" t="s">
        <v>117</v>
      </c>
      <c r="D391" t="s">
        <v>1629</v>
      </c>
      <c r="E391">
        <v>280.39999999999998</v>
      </c>
      <c r="F391" t="s">
        <v>1578</v>
      </c>
      <c r="G391" t="s">
        <v>1099</v>
      </c>
    </row>
    <row r="392" spans="1:7">
      <c r="A392" t="s">
        <v>1995</v>
      </c>
      <c r="B392" s="2">
        <v>45676</v>
      </c>
      <c r="C392" t="s">
        <v>119</v>
      </c>
      <c r="D392" t="s">
        <v>1629</v>
      </c>
      <c r="E392">
        <v>281.79000000000002</v>
      </c>
      <c r="F392" t="s">
        <v>1578</v>
      </c>
      <c r="G392" t="s">
        <v>1099</v>
      </c>
    </row>
    <row r="393" spans="1:7">
      <c r="A393" t="s">
        <v>1996</v>
      </c>
      <c r="B393" s="2">
        <v>45676</v>
      </c>
      <c r="C393" t="s">
        <v>61</v>
      </c>
      <c r="D393" t="s">
        <v>1629</v>
      </c>
      <c r="E393">
        <v>388.62</v>
      </c>
      <c r="F393" t="s">
        <v>1578</v>
      </c>
      <c r="G393" t="s">
        <v>1100</v>
      </c>
    </row>
    <row r="394" spans="1:7">
      <c r="A394" t="s">
        <v>1997</v>
      </c>
      <c r="B394" s="2">
        <v>45676</v>
      </c>
      <c r="C394" t="s">
        <v>65</v>
      </c>
      <c r="D394" t="s">
        <v>1629</v>
      </c>
      <c r="E394">
        <v>386.72</v>
      </c>
      <c r="F394" t="s">
        <v>1578</v>
      </c>
      <c r="G394" t="s">
        <v>1100</v>
      </c>
    </row>
    <row r="395" spans="1:7">
      <c r="A395" t="s">
        <v>1998</v>
      </c>
      <c r="B395" s="2">
        <v>45676</v>
      </c>
      <c r="C395" t="s">
        <v>68</v>
      </c>
      <c r="D395" t="s">
        <v>1629</v>
      </c>
      <c r="E395">
        <v>388.62</v>
      </c>
      <c r="F395" t="s">
        <v>1578</v>
      </c>
      <c r="G395" t="s">
        <v>1100</v>
      </c>
    </row>
    <row r="396" spans="1:7">
      <c r="A396" t="s">
        <v>1999</v>
      </c>
      <c r="B396" s="2">
        <v>45676</v>
      </c>
      <c r="C396" t="s">
        <v>75</v>
      </c>
      <c r="D396" t="s">
        <v>1629</v>
      </c>
      <c r="E396">
        <v>384.81</v>
      </c>
      <c r="F396" t="s">
        <v>1578</v>
      </c>
      <c r="G396" t="s">
        <v>1100</v>
      </c>
    </row>
    <row r="397" spans="1:7">
      <c r="A397" t="s">
        <v>2000</v>
      </c>
      <c r="B397" s="2">
        <v>45676</v>
      </c>
      <c r="C397" t="s">
        <v>79</v>
      </c>
      <c r="D397" t="s">
        <v>1629</v>
      </c>
      <c r="E397">
        <v>388.62</v>
      </c>
      <c r="F397" t="s">
        <v>1578</v>
      </c>
      <c r="G397" t="s">
        <v>1100</v>
      </c>
    </row>
    <row r="398" spans="1:7">
      <c r="A398" t="s">
        <v>2001</v>
      </c>
      <c r="B398" s="2">
        <v>45676</v>
      </c>
      <c r="C398" t="s">
        <v>81</v>
      </c>
      <c r="D398" t="s">
        <v>1629</v>
      </c>
      <c r="E398">
        <v>769.62</v>
      </c>
      <c r="F398" t="s">
        <v>1578</v>
      </c>
      <c r="G398" t="s">
        <v>1100</v>
      </c>
    </row>
    <row r="399" spans="1:7">
      <c r="A399" t="s">
        <v>2002</v>
      </c>
      <c r="B399" s="2">
        <v>45676</v>
      </c>
      <c r="C399" t="s">
        <v>97</v>
      </c>
      <c r="D399" t="s">
        <v>1629</v>
      </c>
      <c r="E399">
        <v>388.62</v>
      </c>
      <c r="F399" t="s">
        <v>1578</v>
      </c>
      <c r="G399" t="s">
        <v>1100</v>
      </c>
    </row>
    <row r="400" spans="1:7">
      <c r="A400" t="s">
        <v>2003</v>
      </c>
      <c r="B400" s="2">
        <v>45676</v>
      </c>
      <c r="C400" t="s">
        <v>110</v>
      </c>
      <c r="D400" t="s">
        <v>1629</v>
      </c>
      <c r="E400">
        <v>388.62</v>
      </c>
      <c r="F400" t="s">
        <v>1578</v>
      </c>
      <c r="G400" t="s">
        <v>1100</v>
      </c>
    </row>
    <row r="401" spans="1:7">
      <c r="A401" t="s">
        <v>2004</v>
      </c>
      <c r="B401" s="2">
        <v>45676</v>
      </c>
      <c r="C401" t="s">
        <v>114</v>
      </c>
      <c r="D401" t="s">
        <v>1629</v>
      </c>
      <c r="E401">
        <v>384.81</v>
      </c>
      <c r="F401" t="s">
        <v>1578</v>
      </c>
      <c r="G401" t="s">
        <v>1100</v>
      </c>
    </row>
    <row r="402" spans="1:7">
      <c r="A402" t="s">
        <v>2005</v>
      </c>
      <c r="B402" s="2">
        <v>45676</v>
      </c>
      <c r="C402" t="s">
        <v>117</v>
      </c>
      <c r="D402" t="s">
        <v>1629</v>
      </c>
      <c r="E402">
        <v>382.9</v>
      </c>
      <c r="F402" t="s">
        <v>1578</v>
      </c>
      <c r="G402" t="s">
        <v>1100</v>
      </c>
    </row>
    <row r="403" spans="1:7">
      <c r="A403" t="s">
        <v>2006</v>
      </c>
      <c r="B403" s="2">
        <v>45676</v>
      </c>
      <c r="C403" t="s">
        <v>119</v>
      </c>
      <c r="D403" t="s">
        <v>1629</v>
      </c>
      <c r="E403">
        <v>384.81</v>
      </c>
      <c r="F403" t="s">
        <v>1578</v>
      </c>
      <c r="G403" t="s">
        <v>1100</v>
      </c>
    </row>
    <row r="404" spans="1:7">
      <c r="A404" t="s">
        <v>2007</v>
      </c>
      <c r="B404" s="2">
        <v>45676</v>
      </c>
      <c r="C404" t="s">
        <v>99</v>
      </c>
      <c r="D404" t="s">
        <v>1683</v>
      </c>
      <c r="E404">
        <v>324</v>
      </c>
      <c r="F404" t="s">
        <v>1578</v>
      </c>
      <c r="G404" t="s">
        <v>389</v>
      </c>
    </row>
    <row r="405" spans="1:7">
      <c r="A405" t="s">
        <v>2008</v>
      </c>
      <c r="B405" s="2">
        <v>45677</v>
      </c>
      <c r="C405" t="s">
        <v>75</v>
      </c>
      <c r="D405" t="s">
        <v>1629</v>
      </c>
      <c r="E405">
        <v>264.62</v>
      </c>
      <c r="F405" t="s">
        <v>1578</v>
      </c>
      <c r="G405" t="s">
        <v>1101</v>
      </c>
    </row>
    <row r="406" spans="1:7">
      <c r="A406" t="s">
        <v>2009</v>
      </c>
      <c r="B406" s="2">
        <v>45677</v>
      </c>
      <c r="C406" t="s">
        <v>106</v>
      </c>
      <c r="D406" t="s">
        <v>1629</v>
      </c>
      <c r="E406">
        <v>269.86</v>
      </c>
      <c r="F406" t="s">
        <v>1578</v>
      </c>
      <c r="G406" t="s">
        <v>1101</v>
      </c>
    </row>
    <row r="407" spans="1:7">
      <c r="A407" t="s">
        <v>2010</v>
      </c>
      <c r="B407" s="2">
        <v>45677</v>
      </c>
      <c r="C407" t="s">
        <v>108</v>
      </c>
      <c r="D407" t="s">
        <v>1629</v>
      </c>
      <c r="E407">
        <v>531.86</v>
      </c>
      <c r="F407" t="s">
        <v>1578</v>
      </c>
      <c r="G407" t="s">
        <v>1101</v>
      </c>
    </row>
    <row r="408" spans="1:7">
      <c r="A408" t="s">
        <v>2011</v>
      </c>
      <c r="B408" s="2">
        <v>45677</v>
      </c>
      <c r="C408" t="s">
        <v>110</v>
      </c>
      <c r="D408" t="s">
        <v>1629</v>
      </c>
      <c r="E408">
        <v>267.24</v>
      </c>
      <c r="F408" t="s">
        <v>1578</v>
      </c>
      <c r="G408" t="s">
        <v>1101</v>
      </c>
    </row>
    <row r="409" spans="1:7">
      <c r="A409" t="s">
        <v>2012</v>
      </c>
      <c r="B409" s="2">
        <v>45677</v>
      </c>
      <c r="C409" t="s">
        <v>114</v>
      </c>
      <c r="D409" t="s">
        <v>1629</v>
      </c>
      <c r="E409">
        <v>264.62</v>
      </c>
      <c r="F409" t="s">
        <v>1578</v>
      </c>
      <c r="G409" t="s">
        <v>1101</v>
      </c>
    </row>
    <row r="410" spans="1:7">
      <c r="A410" t="s">
        <v>2013</v>
      </c>
      <c r="B410" s="2">
        <v>45677</v>
      </c>
      <c r="C410" t="s">
        <v>117</v>
      </c>
      <c r="D410" t="s">
        <v>1629</v>
      </c>
      <c r="E410">
        <v>263.31</v>
      </c>
      <c r="F410" t="s">
        <v>1578</v>
      </c>
      <c r="G410" t="s">
        <v>1101</v>
      </c>
    </row>
    <row r="411" spans="1:7">
      <c r="A411" t="s">
        <v>2014</v>
      </c>
      <c r="B411" s="2">
        <v>45677</v>
      </c>
      <c r="C411" t="s">
        <v>119</v>
      </c>
      <c r="D411" t="s">
        <v>1629</v>
      </c>
      <c r="E411">
        <v>264.62</v>
      </c>
      <c r="F411" t="s">
        <v>1578</v>
      </c>
      <c r="G411" t="s">
        <v>1101</v>
      </c>
    </row>
    <row r="412" spans="1:7">
      <c r="A412" t="s">
        <v>2015</v>
      </c>
      <c r="B412" s="2">
        <v>45677</v>
      </c>
      <c r="C412" t="s">
        <v>61</v>
      </c>
      <c r="D412" t="s">
        <v>1629</v>
      </c>
      <c r="E412">
        <v>95.88</v>
      </c>
      <c r="F412" t="s">
        <v>1578</v>
      </c>
      <c r="G412" t="s">
        <v>1102</v>
      </c>
    </row>
    <row r="413" spans="1:7">
      <c r="A413" t="s">
        <v>2016</v>
      </c>
      <c r="B413" s="2">
        <v>45677</v>
      </c>
      <c r="C413" t="s">
        <v>65</v>
      </c>
      <c r="D413" t="s">
        <v>1629</v>
      </c>
      <c r="E413">
        <v>95.41</v>
      </c>
      <c r="F413" t="s">
        <v>1578</v>
      </c>
      <c r="G413" t="s">
        <v>1102</v>
      </c>
    </row>
    <row r="414" spans="1:7">
      <c r="A414" t="s">
        <v>2017</v>
      </c>
      <c r="B414" s="2">
        <v>45677</v>
      </c>
      <c r="C414" t="s">
        <v>68</v>
      </c>
      <c r="D414" t="s">
        <v>1629</v>
      </c>
      <c r="E414">
        <v>95.88</v>
      </c>
      <c r="F414" t="s">
        <v>1578</v>
      </c>
      <c r="G414" t="s">
        <v>1102</v>
      </c>
    </row>
    <row r="415" spans="1:7">
      <c r="A415" t="s">
        <v>2018</v>
      </c>
      <c r="B415" s="2">
        <v>45677</v>
      </c>
      <c r="C415" t="s">
        <v>70</v>
      </c>
      <c r="D415" t="s">
        <v>1629</v>
      </c>
      <c r="E415">
        <v>94.94</v>
      </c>
      <c r="F415" t="s">
        <v>1578</v>
      </c>
      <c r="G415" t="s">
        <v>1102</v>
      </c>
    </row>
    <row r="416" spans="1:7">
      <c r="A416" t="s">
        <v>2019</v>
      </c>
      <c r="B416" s="2">
        <v>45677</v>
      </c>
      <c r="C416" t="s">
        <v>75</v>
      </c>
      <c r="D416" t="s">
        <v>1629</v>
      </c>
      <c r="E416">
        <v>94.94</v>
      </c>
      <c r="F416" t="s">
        <v>1578</v>
      </c>
      <c r="G416" t="s">
        <v>1102</v>
      </c>
    </row>
    <row r="417" spans="1:7">
      <c r="A417" t="s">
        <v>2020</v>
      </c>
      <c r="B417" s="2">
        <v>45677</v>
      </c>
      <c r="C417" t="s">
        <v>77</v>
      </c>
      <c r="D417" t="s">
        <v>1629</v>
      </c>
      <c r="E417">
        <v>94.94</v>
      </c>
      <c r="F417" t="s">
        <v>1578</v>
      </c>
      <c r="G417" t="s">
        <v>1102</v>
      </c>
    </row>
    <row r="418" spans="1:7">
      <c r="A418" t="s">
        <v>2021</v>
      </c>
      <c r="B418" s="2">
        <v>45677</v>
      </c>
      <c r="C418" t="s">
        <v>79</v>
      </c>
      <c r="D418" t="s">
        <v>1629</v>
      </c>
      <c r="E418">
        <v>95.88</v>
      </c>
      <c r="F418" t="s">
        <v>1578</v>
      </c>
      <c r="G418" t="s">
        <v>1102</v>
      </c>
    </row>
    <row r="419" spans="1:7">
      <c r="A419" t="s">
        <v>2022</v>
      </c>
      <c r="B419" s="2">
        <v>45677</v>
      </c>
      <c r="C419" t="s">
        <v>81</v>
      </c>
      <c r="D419" t="s">
        <v>1629</v>
      </c>
      <c r="E419">
        <v>189.88</v>
      </c>
      <c r="F419" t="s">
        <v>1578</v>
      </c>
      <c r="G419" t="s">
        <v>1102</v>
      </c>
    </row>
    <row r="420" spans="1:7">
      <c r="A420" t="s">
        <v>2023</v>
      </c>
      <c r="B420" s="2">
        <v>45677</v>
      </c>
      <c r="C420" t="s">
        <v>110</v>
      </c>
      <c r="D420" t="s">
        <v>1629</v>
      </c>
      <c r="E420">
        <v>95.88</v>
      </c>
      <c r="F420" t="s">
        <v>1578</v>
      </c>
      <c r="G420" t="s">
        <v>1102</v>
      </c>
    </row>
    <row r="421" spans="1:7">
      <c r="A421" t="s">
        <v>2024</v>
      </c>
      <c r="B421" s="2">
        <v>45677</v>
      </c>
      <c r="C421" t="s">
        <v>114</v>
      </c>
      <c r="D421" t="s">
        <v>1629</v>
      </c>
      <c r="E421">
        <v>94.94</v>
      </c>
      <c r="F421" t="s">
        <v>1578</v>
      </c>
      <c r="G421" t="s">
        <v>1102</v>
      </c>
    </row>
    <row r="422" spans="1:7">
      <c r="A422" t="s">
        <v>2025</v>
      </c>
      <c r="B422" s="2">
        <v>45677</v>
      </c>
      <c r="C422" t="s">
        <v>117</v>
      </c>
      <c r="D422" t="s">
        <v>1629</v>
      </c>
      <c r="E422">
        <v>94.47</v>
      </c>
      <c r="F422" t="s">
        <v>1578</v>
      </c>
      <c r="G422" t="s">
        <v>1102</v>
      </c>
    </row>
    <row r="423" spans="1:7">
      <c r="A423" t="s">
        <v>2026</v>
      </c>
      <c r="B423" s="2">
        <v>45677</v>
      </c>
      <c r="C423" t="s">
        <v>119</v>
      </c>
      <c r="D423" t="s">
        <v>1629</v>
      </c>
      <c r="E423">
        <v>94.94</v>
      </c>
      <c r="F423" t="s">
        <v>1578</v>
      </c>
      <c r="G423" t="s">
        <v>1102</v>
      </c>
    </row>
    <row r="424" spans="1:7">
      <c r="A424" t="s">
        <v>2027</v>
      </c>
      <c r="B424" s="2">
        <v>45677</v>
      </c>
      <c r="C424" t="s">
        <v>102</v>
      </c>
      <c r="D424" t="s">
        <v>1683</v>
      </c>
      <c r="E424">
        <v>427</v>
      </c>
      <c r="F424" t="s">
        <v>1578</v>
      </c>
      <c r="G424" t="s">
        <v>390</v>
      </c>
    </row>
    <row r="425" spans="1:7">
      <c r="A425" t="s">
        <v>2028</v>
      </c>
      <c r="B425" s="2">
        <v>45679</v>
      </c>
      <c r="C425" t="s">
        <v>61</v>
      </c>
      <c r="D425" t="s">
        <v>1629</v>
      </c>
      <c r="E425">
        <v>280.5</v>
      </c>
      <c r="F425" t="s">
        <v>1578</v>
      </c>
      <c r="G425" t="s">
        <v>1103</v>
      </c>
    </row>
    <row r="426" spans="1:7">
      <c r="A426" t="s">
        <v>2029</v>
      </c>
      <c r="B426" s="2">
        <v>45679</v>
      </c>
      <c r="C426" t="s">
        <v>65</v>
      </c>
      <c r="D426" t="s">
        <v>1629</v>
      </c>
      <c r="E426">
        <v>279.12</v>
      </c>
      <c r="F426" t="s">
        <v>1578</v>
      </c>
      <c r="G426" t="s">
        <v>1103</v>
      </c>
    </row>
    <row r="427" spans="1:7">
      <c r="A427" t="s">
        <v>2030</v>
      </c>
      <c r="B427" s="2">
        <v>45679</v>
      </c>
      <c r="C427" t="s">
        <v>68</v>
      </c>
      <c r="D427" t="s">
        <v>1629</v>
      </c>
      <c r="E427">
        <v>280.5</v>
      </c>
      <c r="F427" t="s">
        <v>1578</v>
      </c>
      <c r="G427" t="s">
        <v>1103</v>
      </c>
    </row>
    <row r="428" spans="1:7">
      <c r="A428" t="s">
        <v>2031</v>
      </c>
      <c r="B428" s="2">
        <v>45679</v>
      </c>
      <c r="C428" t="s">
        <v>70</v>
      </c>
      <c r="D428" t="s">
        <v>1629</v>
      </c>
      <c r="E428">
        <v>277.75</v>
      </c>
      <c r="F428" t="s">
        <v>1578</v>
      </c>
      <c r="G428" t="s">
        <v>1103</v>
      </c>
    </row>
    <row r="429" spans="1:7">
      <c r="A429" t="s">
        <v>2032</v>
      </c>
      <c r="B429" s="2">
        <v>45679</v>
      </c>
      <c r="C429" t="s">
        <v>75</v>
      </c>
      <c r="D429" t="s">
        <v>1629</v>
      </c>
      <c r="E429">
        <v>277.75</v>
      </c>
      <c r="F429" t="s">
        <v>1578</v>
      </c>
      <c r="G429" t="s">
        <v>1103</v>
      </c>
    </row>
    <row r="430" spans="1:7">
      <c r="A430" t="s">
        <v>2033</v>
      </c>
      <c r="B430" s="2">
        <v>45679</v>
      </c>
      <c r="C430" t="s">
        <v>77</v>
      </c>
      <c r="D430" t="s">
        <v>1629</v>
      </c>
      <c r="E430">
        <v>277.75</v>
      </c>
      <c r="F430" t="s">
        <v>1578</v>
      </c>
      <c r="G430" t="s">
        <v>1103</v>
      </c>
    </row>
    <row r="431" spans="1:7">
      <c r="A431" t="s">
        <v>2034</v>
      </c>
      <c r="B431" s="2">
        <v>45679</v>
      </c>
      <c r="C431" t="s">
        <v>79</v>
      </c>
      <c r="D431" t="s">
        <v>1629</v>
      </c>
      <c r="E431">
        <v>280.5</v>
      </c>
      <c r="F431" t="s">
        <v>1578</v>
      </c>
      <c r="G431" t="s">
        <v>1103</v>
      </c>
    </row>
    <row r="432" spans="1:7">
      <c r="A432" t="s">
        <v>2035</v>
      </c>
      <c r="B432" s="2">
        <v>45679</v>
      </c>
      <c r="C432" t="s">
        <v>81</v>
      </c>
      <c r="D432" t="s">
        <v>1629</v>
      </c>
      <c r="E432">
        <v>555.5</v>
      </c>
      <c r="F432" t="s">
        <v>1578</v>
      </c>
      <c r="G432" t="s">
        <v>1103</v>
      </c>
    </row>
    <row r="433" spans="1:7">
      <c r="A433" t="s">
        <v>2036</v>
      </c>
      <c r="B433" s="2">
        <v>45679</v>
      </c>
      <c r="C433" t="s">
        <v>108</v>
      </c>
      <c r="D433" t="s">
        <v>1629</v>
      </c>
      <c r="E433">
        <v>558.25</v>
      </c>
      <c r="F433" t="s">
        <v>1578</v>
      </c>
      <c r="G433" t="s">
        <v>1103</v>
      </c>
    </row>
    <row r="434" spans="1:7">
      <c r="A434" t="s">
        <v>2037</v>
      </c>
      <c r="B434" s="2">
        <v>45679</v>
      </c>
      <c r="C434" t="s">
        <v>110</v>
      </c>
      <c r="D434" t="s">
        <v>1629</v>
      </c>
      <c r="E434">
        <v>280.5</v>
      </c>
      <c r="F434" t="s">
        <v>1578</v>
      </c>
      <c r="G434" t="s">
        <v>1103</v>
      </c>
    </row>
    <row r="435" spans="1:7">
      <c r="A435" t="s">
        <v>2038</v>
      </c>
      <c r="B435" s="2">
        <v>45679</v>
      </c>
      <c r="C435" t="s">
        <v>114</v>
      </c>
      <c r="D435" t="s">
        <v>1629</v>
      </c>
      <c r="E435">
        <v>277.75</v>
      </c>
      <c r="F435" t="s">
        <v>1578</v>
      </c>
      <c r="G435" t="s">
        <v>1103</v>
      </c>
    </row>
    <row r="436" spans="1:7">
      <c r="A436" t="s">
        <v>2039</v>
      </c>
      <c r="B436" s="2">
        <v>45679</v>
      </c>
      <c r="C436" t="s">
        <v>117</v>
      </c>
      <c r="D436" t="s">
        <v>1629</v>
      </c>
      <c r="E436">
        <v>276.37</v>
      </c>
      <c r="F436" t="s">
        <v>1578</v>
      </c>
      <c r="G436" t="s">
        <v>1103</v>
      </c>
    </row>
    <row r="437" spans="1:7">
      <c r="A437" t="s">
        <v>2040</v>
      </c>
      <c r="B437" s="2">
        <v>45679</v>
      </c>
      <c r="C437" t="s">
        <v>119</v>
      </c>
      <c r="D437" t="s">
        <v>1629</v>
      </c>
      <c r="E437">
        <v>277.75</v>
      </c>
      <c r="F437" t="s">
        <v>1578</v>
      </c>
      <c r="G437" t="s">
        <v>1103</v>
      </c>
    </row>
    <row r="438" spans="1:7">
      <c r="A438" t="s">
        <v>2041</v>
      </c>
      <c r="B438" s="2">
        <v>45679</v>
      </c>
      <c r="C438" t="s">
        <v>75</v>
      </c>
      <c r="D438" t="s">
        <v>1683</v>
      </c>
      <c r="E438">
        <v>290</v>
      </c>
      <c r="F438" t="s">
        <v>1578</v>
      </c>
      <c r="G438" t="s">
        <v>392</v>
      </c>
    </row>
    <row r="439" spans="1:7">
      <c r="A439" t="s">
        <v>2042</v>
      </c>
      <c r="B439" s="2">
        <v>45679</v>
      </c>
      <c r="C439" t="s">
        <v>93</v>
      </c>
      <c r="D439" t="s">
        <v>1683</v>
      </c>
      <c r="E439">
        <v>242</v>
      </c>
      <c r="F439" t="s">
        <v>1578</v>
      </c>
      <c r="G439" t="s">
        <v>393</v>
      </c>
    </row>
    <row r="440" spans="1:7">
      <c r="A440" t="s">
        <v>2043</v>
      </c>
      <c r="B440" s="2">
        <v>45679</v>
      </c>
      <c r="C440" t="s">
        <v>99</v>
      </c>
      <c r="D440" t="s">
        <v>1683</v>
      </c>
      <c r="E440">
        <v>167</v>
      </c>
      <c r="F440" t="s">
        <v>1578</v>
      </c>
      <c r="G440" t="s">
        <v>394</v>
      </c>
    </row>
    <row r="441" spans="1:7">
      <c r="A441" t="s">
        <v>2044</v>
      </c>
      <c r="B441" s="2">
        <v>45680</v>
      </c>
      <c r="C441" t="s">
        <v>61</v>
      </c>
      <c r="D441" t="s">
        <v>1629</v>
      </c>
      <c r="E441">
        <v>135.66</v>
      </c>
      <c r="F441" t="s">
        <v>1578</v>
      </c>
      <c r="G441" t="s">
        <v>1104</v>
      </c>
    </row>
    <row r="442" spans="1:7">
      <c r="A442" t="s">
        <v>2045</v>
      </c>
      <c r="B442" s="2">
        <v>45680</v>
      </c>
      <c r="C442" t="s">
        <v>65</v>
      </c>
      <c r="D442" t="s">
        <v>1629</v>
      </c>
      <c r="E442">
        <v>134.99</v>
      </c>
      <c r="F442" t="s">
        <v>1578</v>
      </c>
      <c r="G442" t="s">
        <v>1104</v>
      </c>
    </row>
    <row r="443" spans="1:7">
      <c r="A443" t="s">
        <v>2046</v>
      </c>
      <c r="B443" s="2">
        <v>45680</v>
      </c>
      <c r="C443" t="s">
        <v>68</v>
      </c>
      <c r="D443" t="s">
        <v>1629</v>
      </c>
      <c r="E443">
        <v>135.66</v>
      </c>
      <c r="F443" t="s">
        <v>1578</v>
      </c>
      <c r="G443" t="s">
        <v>1104</v>
      </c>
    </row>
    <row r="444" spans="1:7">
      <c r="A444" t="s">
        <v>2047</v>
      </c>
      <c r="B444" s="2">
        <v>45680</v>
      </c>
      <c r="C444" t="s">
        <v>70</v>
      </c>
      <c r="D444" t="s">
        <v>1629</v>
      </c>
      <c r="E444">
        <v>134.33000000000001</v>
      </c>
      <c r="F444" t="s">
        <v>1578</v>
      </c>
      <c r="G444" t="s">
        <v>1104</v>
      </c>
    </row>
    <row r="445" spans="1:7">
      <c r="A445" t="s">
        <v>2048</v>
      </c>
      <c r="B445" s="2">
        <v>45680</v>
      </c>
      <c r="C445" t="s">
        <v>75</v>
      </c>
      <c r="D445" t="s">
        <v>1629</v>
      </c>
      <c r="E445">
        <v>134.33000000000001</v>
      </c>
      <c r="F445" t="s">
        <v>1578</v>
      </c>
      <c r="G445" t="s">
        <v>1104</v>
      </c>
    </row>
    <row r="446" spans="1:7">
      <c r="A446" t="s">
        <v>2049</v>
      </c>
      <c r="B446" s="2">
        <v>45680</v>
      </c>
      <c r="C446" t="s">
        <v>77</v>
      </c>
      <c r="D446" t="s">
        <v>1629</v>
      </c>
      <c r="E446">
        <v>134.33000000000001</v>
      </c>
      <c r="F446" t="s">
        <v>1578</v>
      </c>
      <c r="G446" t="s">
        <v>1104</v>
      </c>
    </row>
    <row r="447" spans="1:7">
      <c r="A447" t="s">
        <v>2050</v>
      </c>
      <c r="B447" s="2">
        <v>45680</v>
      </c>
      <c r="C447" t="s">
        <v>79</v>
      </c>
      <c r="D447" t="s">
        <v>1629</v>
      </c>
      <c r="E447">
        <v>135.66</v>
      </c>
      <c r="F447" t="s">
        <v>1578</v>
      </c>
      <c r="G447" t="s">
        <v>1104</v>
      </c>
    </row>
    <row r="448" spans="1:7">
      <c r="A448" t="s">
        <v>2051</v>
      </c>
      <c r="B448" s="2">
        <v>45680</v>
      </c>
      <c r="C448" t="s">
        <v>81</v>
      </c>
      <c r="D448" t="s">
        <v>1629</v>
      </c>
      <c r="E448">
        <v>268.66000000000003</v>
      </c>
      <c r="F448" t="s">
        <v>1578</v>
      </c>
      <c r="G448" t="s">
        <v>1104</v>
      </c>
    </row>
    <row r="449" spans="1:7">
      <c r="A449" t="s">
        <v>2052</v>
      </c>
      <c r="B449" s="2">
        <v>45680</v>
      </c>
      <c r="C449" t="s">
        <v>110</v>
      </c>
      <c r="D449" t="s">
        <v>1629</v>
      </c>
      <c r="E449">
        <v>135.66</v>
      </c>
      <c r="F449" t="s">
        <v>1578</v>
      </c>
      <c r="G449" t="s">
        <v>1104</v>
      </c>
    </row>
    <row r="450" spans="1:7">
      <c r="A450" t="s">
        <v>2053</v>
      </c>
      <c r="B450" s="2">
        <v>45680</v>
      </c>
      <c r="C450" t="s">
        <v>114</v>
      </c>
      <c r="D450" t="s">
        <v>1629</v>
      </c>
      <c r="E450">
        <v>134.33000000000001</v>
      </c>
      <c r="F450" t="s">
        <v>1578</v>
      </c>
      <c r="G450" t="s">
        <v>1104</v>
      </c>
    </row>
    <row r="451" spans="1:7">
      <c r="A451" t="s">
        <v>2054</v>
      </c>
      <c r="B451" s="2">
        <v>45680</v>
      </c>
      <c r="C451" t="s">
        <v>117</v>
      </c>
      <c r="D451" t="s">
        <v>1629</v>
      </c>
      <c r="E451">
        <v>133.66</v>
      </c>
      <c r="F451" t="s">
        <v>1578</v>
      </c>
      <c r="G451" t="s">
        <v>1104</v>
      </c>
    </row>
    <row r="452" spans="1:7">
      <c r="A452" t="s">
        <v>2055</v>
      </c>
      <c r="B452" s="2">
        <v>45680</v>
      </c>
      <c r="C452" t="s">
        <v>119</v>
      </c>
      <c r="D452" t="s">
        <v>1629</v>
      </c>
      <c r="E452">
        <v>134.33000000000001</v>
      </c>
      <c r="F452" t="s">
        <v>1578</v>
      </c>
      <c r="G452" t="s">
        <v>1104</v>
      </c>
    </row>
    <row r="453" spans="1:7">
      <c r="A453" t="s">
        <v>2056</v>
      </c>
      <c r="B453" s="2">
        <v>45680</v>
      </c>
      <c r="C453" t="s">
        <v>61</v>
      </c>
      <c r="D453" t="s">
        <v>1629</v>
      </c>
      <c r="E453">
        <v>336.6</v>
      </c>
      <c r="F453" t="s">
        <v>1578</v>
      </c>
      <c r="G453" t="s">
        <v>1105</v>
      </c>
    </row>
    <row r="454" spans="1:7">
      <c r="A454" t="s">
        <v>2057</v>
      </c>
      <c r="B454" s="2">
        <v>45680</v>
      </c>
      <c r="C454" t="s">
        <v>65</v>
      </c>
      <c r="D454" t="s">
        <v>1629</v>
      </c>
      <c r="E454">
        <v>334.95</v>
      </c>
      <c r="F454" t="s">
        <v>1578</v>
      </c>
      <c r="G454" t="s">
        <v>1105</v>
      </c>
    </row>
    <row r="455" spans="1:7">
      <c r="A455" t="s">
        <v>2058</v>
      </c>
      <c r="B455" s="2">
        <v>45680</v>
      </c>
      <c r="C455" t="s">
        <v>68</v>
      </c>
      <c r="D455" t="s">
        <v>1629</v>
      </c>
      <c r="E455">
        <v>336.6</v>
      </c>
      <c r="F455" t="s">
        <v>1578</v>
      </c>
      <c r="G455" t="s">
        <v>1105</v>
      </c>
    </row>
    <row r="456" spans="1:7">
      <c r="A456" t="s">
        <v>2059</v>
      </c>
      <c r="B456" s="2">
        <v>45680</v>
      </c>
      <c r="C456" t="s">
        <v>70</v>
      </c>
      <c r="D456" t="s">
        <v>1629</v>
      </c>
      <c r="E456">
        <v>333.3</v>
      </c>
      <c r="F456" t="s">
        <v>1578</v>
      </c>
      <c r="G456" t="s">
        <v>1105</v>
      </c>
    </row>
    <row r="457" spans="1:7">
      <c r="A457" t="s">
        <v>2060</v>
      </c>
      <c r="B457" s="2">
        <v>45680</v>
      </c>
      <c r="C457" t="s">
        <v>75</v>
      </c>
      <c r="D457" t="s">
        <v>1629</v>
      </c>
      <c r="E457">
        <v>333.3</v>
      </c>
      <c r="F457" t="s">
        <v>1578</v>
      </c>
      <c r="G457" t="s">
        <v>1105</v>
      </c>
    </row>
    <row r="458" spans="1:7">
      <c r="A458" t="s">
        <v>2061</v>
      </c>
      <c r="B458" s="2">
        <v>45680</v>
      </c>
      <c r="C458" t="s">
        <v>77</v>
      </c>
      <c r="D458" t="s">
        <v>1629</v>
      </c>
      <c r="E458">
        <v>333.3</v>
      </c>
      <c r="F458" t="s">
        <v>1578</v>
      </c>
      <c r="G458" t="s">
        <v>1105</v>
      </c>
    </row>
    <row r="459" spans="1:7">
      <c r="A459" t="s">
        <v>2062</v>
      </c>
      <c r="B459" s="2">
        <v>45680</v>
      </c>
      <c r="C459" t="s">
        <v>79</v>
      </c>
      <c r="D459" t="s">
        <v>1629</v>
      </c>
      <c r="E459">
        <v>336.6</v>
      </c>
      <c r="F459" t="s">
        <v>1578</v>
      </c>
      <c r="G459" t="s">
        <v>1105</v>
      </c>
    </row>
    <row r="460" spans="1:7">
      <c r="A460" t="s">
        <v>2063</v>
      </c>
      <c r="B460" s="2">
        <v>45680</v>
      </c>
      <c r="C460" t="s">
        <v>81</v>
      </c>
      <c r="D460" t="s">
        <v>1629</v>
      </c>
      <c r="E460">
        <v>666.6</v>
      </c>
      <c r="F460" t="s">
        <v>1578</v>
      </c>
      <c r="G460" t="s">
        <v>1105</v>
      </c>
    </row>
    <row r="461" spans="1:7">
      <c r="A461" t="s">
        <v>2064</v>
      </c>
      <c r="B461" s="2">
        <v>45680</v>
      </c>
      <c r="C461" t="s">
        <v>110</v>
      </c>
      <c r="D461" t="s">
        <v>1629</v>
      </c>
      <c r="E461">
        <v>336.6</v>
      </c>
      <c r="F461" t="s">
        <v>1578</v>
      </c>
      <c r="G461" t="s">
        <v>1105</v>
      </c>
    </row>
    <row r="462" spans="1:7">
      <c r="A462" t="s">
        <v>2065</v>
      </c>
      <c r="B462" s="2">
        <v>45680</v>
      </c>
      <c r="C462" t="s">
        <v>114</v>
      </c>
      <c r="D462" t="s">
        <v>1629</v>
      </c>
      <c r="E462">
        <v>333.3</v>
      </c>
      <c r="F462" t="s">
        <v>1578</v>
      </c>
      <c r="G462" t="s">
        <v>1105</v>
      </c>
    </row>
    <row r="463" spans="1:7">
      <c r="A463" t="s">
        <v>2066</v>
      </c>
      <c r="B463" s="2">
        <v>45680</v>
      </c>
      <c r="C463" t="s">
        <v>117</v>
      </c>
      <c r="D463" t="s">
        <v>1629</v>
      </c>
      <c r="E463">
        <v>331.65</v>
      </c>
      <c r="F463" t="s">
        <v>1578</v>
      </c>
      <c r="G463" t="s">
        <v>1105</v>
      </c>
    </row>
    <row r="464" spans="1:7">
      <c r="A464" t="s">
        <v>2067</v>
      </c>
      <c r="B464" s="2">
        <v>45680</v>
      </c>
      <c r="C464" t="s">
        <v>119</v>
      </c>
      <c r="D464" t="s">
        <v>1629</v>
      </c>
      <c r="E464">
        <v>333.3</v>
      </c>
      <c r="F464" t="s">
        <v>1578</v>
      </c>
      <c r="G464" t="s">
        <v>1105</v>
      </c>
    </row>
    <row r="465" spans="1:7">
      <c r="A465" t="s">
        <v>2068</v>
      </c>
      <c r="B465" s="2">
        <v>45680</v>
      </c>
      <c r="C465" t="s">
        <v>61</v>
      </c>
      <c r="D465" t="s">
        <v>1629</v>
      </c>
      <c r="E465">
        <v>491.64</v>
      </c>
      <c r="F465" t="s">
        <v>1578</v>
      </c>
      <c r="G465" t="s">
        <v>1106</v>
      </c>
    </row>
    <row r="466" spans="1:7">
      <c r="A466" t="s">
        <v>2069</v>
      </c>
      <c r="B466" s="2">
        <v>45680</v>
      </c>
      <c r="C466" t="s">
        <v>65</v>
      </c>
      <c r="D466" t="s">
        <v>1629</v>
      </c>
      <c r="E466">
        <v>489.23</v>
      </c>
      <c r="F466" t="s">
        <v>1578</v>
      </c>
      <c r="G466" t="s">
        <v>1106</v>
      </c>
    </row>
    <row r="467" spans="1:7">
      <c r="A467" t="s">
        <v>2070</v>
      </c>
      <c r="B467" s="2">
        <v>45680</v>
      </c>
      <c r="C467" t="s">
        <v>75</v>
      </c>
      <c r="D467" t="s">
        <v>1629</v>
      </c>
      <c r="E467">
        <v>486.82</v>
      </c>
      <c r="F467" t="s">
        <v>1578</v>
      </c>
      <c r="G467" t="s">
        <v>1106</v>
      </c>
    </row>
    <row r="468" spans="1:7">
      <c r="A468" t="s">
        <v>2071</v>
      </c>
      <c r="B468" s="2">
        <v>45680</v>
      </c>
      <c r="C468" t="s">
        <v>79</v>
      </c>
      <c r="D468" t="s">
        <v>1629</v>
      </c>
      <c r="E468">
        <v>491.64</v>
      </c>
      <c r="F468" t="s">
        <v>1578</v>
      </c>
      <c r="G468" t="s">
        <v>1106</v>
      </c>
    </row>
    <row r="469" spans="1:7">
      <c r="A469" t="s">
        <v>2072</v>
      </c>
      <c r="B469" s="2">
        <v>45680</v>
      </c>
      <c r="C469" t="s">
        <v>81</v>
      </c>
      <c r="D469" t="s">
        <v>1629</v>
      </c>
      <c r="E469">
        <v>973.64</v>
      </c>
      <c r="F469" t="s">
        <v>1578</v>
      </c>
      <c r="G469" t="s">
        <v>1106</v>
      </c>
    </row>
    <row r="470" spans="1:7">
      <c r="A470" t="s">
        <v>2073</v>
      </c>
      <c r="B470" s="2">
        <v>45680</v>
      </c>
      <c r="C470" t="s">
        <v>84</v>
      </c>
      <c r="D470" t="s">
        <v>1629</v>
      </c>
      <c r="E470">
        <v>173.76</v>
      </c>
      <c r="F470" t="s">
        <v>1578</v>
      </c>
      <c r="G470" t="s">
        <v>1106</v>
      </c>
    </row>
    <row r="471" spans="1:7">
      <c r="A471" t="s">
        <v>2074</v>
      </c>
      <c r="B471" s="2">
        <v>45680</v>
      </c>
      <c r="C471" t="s">
        <v>89</v>
      </c>
      <c r="D471" t="s">
        <v>1629</v>
      </c>
      <c r="E471">
        <v>741.08</v>
      </c>
      <c r="F471" t="s">
        <v>1578</v>
      </c>
      <c r="G471" t="s">
        <v>1106</v>
      </c>
    </row>
    <row r="472" spans="1:7">
      <c r="A472" t="s">
        <v>2075</v>
      </c>
      <c r="B472" s="2">
        <v>45680</v>
      </c>
      <c r="C472" t="s">
        <v>110</v>
      </c>
      <c r="D472" t="s">
        <v>1629</v>
      </c>
      <c r="E472">
        <v>491.64</v>
      </c>
      <c r="F472" t="s">
        <v>1578</v>
      </c>
      <c r="G472" t="s">
        <v>1106</v>
      </c>
    </row>
    <row r="473" spans="1:7">
      <c r="A473" t="s">
        <v>2076</v>
      </c>
      <c r="B473" s="2">
        <v>45680</v>
      </c>
      <c r="C473" t="s">
        <v>114</v>
      </c>
      <c r="D473" t="s">
        <v>1629</v>
      </c>
      <c r="E473">
        <v>486.82</v>
      </c>
      <c r="F473" t="s">
        <v>1578</v>
      </c>
      <c r="G473" t="s">
        <v>1106</v>
      </c>
    </row>
    <row r="474" spans="1:7">
      <c r="A474" t="s">
        <v>2077</v>
      </c>
      <c r="B474" s="2">
        <v>45680</v>
      </c>
      <c r="C474" t="s">
        <v>117</v>
      </c>
      <c r="D474" t="s">
        <v>1629</v>
      </c>
      <c r="E474">
        <v>484.41</v>
      </c>
      <c r="F474" t="s">
        <v>1578</v>
      </c>
      <c r="G474" t="s">
        <v>1106</v>
      </c>
    </row>
    <row r="475" spans="1:7">
      <c r="A475" t="s">
        <v>2078</v>
      </c>
      <c r="B475" s="2">
        <v>45680</v>
      </c>
      <c r="C475" t="s">
        <v>119</v>
      </c>
      <c r="D475" t="s">
        <v>1629</v>
      </c>
      <c r="E475">
        <v>486.82</v>
      </c>
      <c r="F475" t="s">
        <v>1578</v>
      </c>
      <c r="G475" t="s">
        <v>1106</v>
      </c>
    </row>
    <row r="476" spans="1:7">
      <c r="A476" t="s">
        <v>2079</v>
      </c>
      <c r="B476" s="2">
        <v>45680</v>
      </c>
      <c r="C476" t="s">
        <v>108</v>
      </c>
      <c r="D476" t="s">
        <v>1683</v>
      </c>
      <c r="E476">
        <v>376</v>
      </c>
      <c r="F476" t="s">
        <v>1578</v>
      </c>
      <c r="G476" t="s">
        <v>395</v>
      </c>
    </row>
    <row r="477" spans="1:7">
      <c r="A477" t="s">
        <v>2080</v>
      </c>
      <c r="B477" s="2">
        <v>45681</v>
      </c>
      <c r="C477" t="s">
        <v>61</v>
      </c>
      <c r="D477" t="s">
        <v>1629</v>
      </c>
      <c r="E477">
        <v>112.2</v>
      </c>
      <c r="F477" t="s">
        <v>1578</v>
      </c>
      <c r="G477" t="s">
        <v>1107</v>
      </c>
    </row>
    <row r="478" spans="1:7">
      <c r="A478" t="s">
        <v>2081</v>
      </c>
      <c r="B478" s="2">
        <v>45681</v>
      </c>
      <c r="C478" t="s">
        <v>65</v>
      </c>
      <c r="D478" t="s">
        <v>1629</v>
      </c>
      <c r="E478">
        <v>111.65</v>
      </c>
      <c r="F478" t="s">
        <v>1578</v>
      </c>
      <c r="G478" t="s">
        <v>1107</v>
      </c>
    </row>
    <row r="479" spans="1:7">
      <c r="A479" t="s">
        <v>2082</v>
      </c>
      <c r="B479" s="2">
        <v>45681</v>
      </c>
      <c r="C479" t="s">
        <v>68</v>
      </c>
      <c r="D479" t="s">
        <v>1629</v>
      </c>
      <c r="E479">
        <v>112.2</v>
      </c>
      <c r="F479" t="s">
        <v>1578</v>
      </c>
      <c r="G479" t="s">
        <v>1107</v>
      </c>
    </row>
    <row r="480" spans="1:7">
      <c r="A480" t="s">
        <v>2083</v>
      </c>
      <c r="B480" s="2">
        <v>45681</v>
      </c>
      <c r="C480" t="s">
        <v>70</v>
      </c>
      <c r="D480" t="s">
        <v>1629</v>
      </c>
      <c r="E480">
        <v>111.1</v>
      </c>
      <c r="F480" t="s">
        <v>1578</v>
      </c>
      <c r="G480" t="s">
        <v>1107</v>
      </c>
    </row>
    <row r="481" spans="1:7">
      <c r="A481" t="s">
        <v>2084</v>
      </c>
      <c r="B481" s="2">
        <v>45681</v>
      </c>
      <c r="C481" t="s">
        <v>75</v>
      </c>
      <c r="D481" t="s">
        <v>1629</v>
      </c>
      <c r="E481">
        <v>111.1</v>
      </c>
      <c r="F481" t="s">
        <v>1578</v>
      </c>
      <c r="G481" t="s">
        <v>1107</v>
      </c>
    </row>
    <row r="482" spans="1:7">
      <c r="A482" t="s">
        <v>2085</v>
      </c>
      <c r="B482" s="2">
        <v>45681</v>
      </c>
      <c r="C482" t="s">
        <v>77</v>
      </c>
      <c r="D482" t="s">
        <v>1629</v>
      </c>
      <c r="E482">
        <v>111.1</v>
      </c>
      <c r="F482" t="s">
        <v>1578</v>
      </c>
      <c r="G482" t="s">
        <v>1107</v>
      </c>
    </row>
    <row r="483" spans="1:7">
      <c r="A483" t="s">
        <v>2086</v>
      </c>
      <c r="B483" s="2">
        <v>45681</v>
      </c>
      <c r="C483" t="s">
        <v>79</v>
      </c>
      <c r="D483" t="s">
        <v>1629</v>
      </c>
      <c r="E483">
        <v>112.2</v>
      </c>
      <c r="F483" t="s">
        <v>1578</v>
      </c>
      <c r="G483" t="s">
        <v>1107</v>
      </c>
    </row>
    <row r="484" spans="1:7">
      <c r="A484" t="s">
        <v>2087</v>
      </c>
      <c r="B484" s="2">
        <v>45681</v>
      </c>
      <c r="C484" t="s">
        <v>81</v>
      </c>
      <c r="D484" t="s">
        <v>1629</v>
      </c>
      <c r="E484">
        <v>222.2</v>
      </c>
      <c r="F484" t="s">
        <v>1578</v>
      </c>
      <c r="G484" t="s">
        <v>1107</v>
      </c>
    </row>
    <row r="485" spans="1:7">
      <c r="A485" t="s">
        <v>2088</v>
      </c>
      <c r="B485" s="2">
        <v>45681</v>
      </c>
      <c r="C485" t="s">
        <v>110</v>
      </c>
      <c r="D485" t="s">
        <v>1629</v>
      </c>
      <c r="E485">
        <v>112.2</v>
      </c>
      <c r="F485" t="s">
        <v>1578</v>
      </c>
      <c r="G485" t="s">
        <v>1107</v>
      </c>
    </row>
    <row r="486" spans="1:7">
      <c r="A486" t="s">
        <v>2089</v>
      </c>
      <c r="B486" s="2">
        <v>45681</v>
      </c>
      <c r="C486" t="s">
        <v>114</v>
      </c>
      <c r="D486" t="s">
        <v>1629</v>
      </c>
      <c r="E486">
        <v>111.1</v>
      </c>
      <c r="F486" t="s">
        <v>1578</v>
      </c>
      <c r="G486" t="s">
        <v>1107</v>
      </c>
    </row>
    <row r="487" spans="1:7">
      <c r="A487" t="s">
        <v>2090</v>
      </c>
      <c r="B487" s="2">
        <v>45681</v>
      </c>
      <c r="C487" t="s">
        <v>117</v>
      </c>
      <c r="D487" t="s">
        <v>1629</v>
      </c>
      <c r="E487">
        <v>110.55</v>
      </c>
      <c r="F487" t="s">
        <v>1578</v>
      </c>
      <c r="G487" t="s">
        <v>1107</v>
      </c>
    </row>
    <row r="488" spans="1:7">
      <c r="A488" t="s">
        <v>2091</v>
      </c>
      <c r="B488" s="2">
        <v>45681</v>
      </c>
      <c r="C488" t="s">
        <v>119</v>
      </c>
      <c r="D488" t="s">
        <v>1629</v>
      </c>
      <c r="E488">
        <v>111.1</v>
      </c>
      <c r="F488" t="s">
        <v>1578</v>
      </c>
      <c r="G488" t="s">
        <v>1107</v>
      </c>
    </row>
    <row r="489" spans="1:7">
      <c r="A489" t="s">
        <v>2092</v>
      </c>
      <c r="B489" s="2">
        <v>45681</v>
      </c>
      <c r="C489" t="s">
        <v>91</v>
      </c>
      <c r="D489" t="s">
        <v>1683</v>
      </c>
      <c r="E489">
        <v>101</v>
      </c>
      <c r="F489" t="s">
        <v>1578</v>
      </c>
      <c r="G489" t="s">
        <v>396</v>
      </c>
    </row>
    <row r="490" spans="1:7">
      <c r="A490" t="s">
        <v>2093</v>
      </c>
      <c r="B490" s="2">
        <v>45681</v>
      </c>
      <c r="C490" t="s">
        <v>102</v>
      </c>
      <c r="D490" t="s">
        <v>1683</v>
      </c>
      <c r="E490">
        <v>238</v>
      </c>
      <c r="F490" t="s">
        <v>1578</v>
      </c>
      <c r="G490" t="s">
        <v>398</v>
      </c>
    </row>
    <row r="491" spans="1:7">
      <c r="A491" t="s">
        <v>2094</v>
      </c>
      <c r="B491" s="2">
        <v>45682</v>
      </c>
      <c r="C491" t="s">
        <v>106</v>
      </c>
      <c r="D491" t="s">
        <v>1683</v>
      </c>
      <c r="E491">
        <v>115</v>
      </c>
      <c r="F491" t="s">
        <v>1578</v>
      </c>
      <c r="G491" t="s">
        <v>400</v>
      </c>
    </row>
    <row r="492" spans="1:7">
      <c r="A492" t="s">
        <v>2095</v>
      </c>
      <c r="B492" s="2">
        <v>45683</v>
      </c>
      <c r="C492" t="s">
        <v>84</v>
      </c>
      <c r="D492" t="s">
        <v>1683</v>
      </c>
      <c r="E492">
        <v>164</v>
      </c>
      <c r="F492" t="s">
        <v>1578</v>
      </c>
      <c r="G492" t="s">
        <v>401</v>
      </c>
    </row>
    <row r="493" spans="1:7">
      <c r="A493" t="s">
        <v>2096</v>
      </c>
      <c r="B493" s="2">
        <v>45683</v>
      </c>
      <c r="C493" t="s">
        <v>104</v>
      </c>
      <c r="D493" t="s">
        <v>1683</v>
      </c>
      <c r="E493">
        <v>309</v>
      </c>
      <c r="F493" t="s">
        <v>1578</v>
      </c>
      <c r="G493" t="s">
        <v>402</v>
      </c>
    </row>
    <row r="494" spans="1:7">
      <c r="A494" t="s">
        <v>2097</v>
      </c>
      <c r="B494" s="2">
        <v>45684</v>
      </c>
      <c r="C494" t="s">
        <v>75</v>
      </c>
      <c r="D494" t="s">
        <v>1629</v>
      </c>
      <c r="E494">
        <v>174.73</v>
      </c>
      <c r="F494" t="s">
        <v>1578</v>
      </c>
      <c r="G494" t="s">
        <v>1108</v>
      </c>
    </row>
    <row r="495" spans="1:7">
      <c r="A495" t="s">
        <v>2098</v>
      </c>
      <c r="B495" s="2">
        <v>45684</v>
      </c>
      <c r="C495" t="s">
        <v>106</v>
      </c>
      <c r="D495" t="s">
        <v>1629</v>
      </c>
      <c r="E495">
        <v>178.19</v>
      </c>
      <c r="F495" t="s">
        <v>1578</v>
      </c>
      <c r="G495" t="s">
        <v>1108</v>
      </c>
    </row>
    <row r="496" spans="1:7">
      <c r="A496" t="s">
        <v>2099</v>
      </c>
      <c r="B496" s="2">
        <v>45684</v>
      </c>
      <c r="C496" t="s">
        <v>108</v>
      </c>
      <c r="D496" t="s">
        <v>1629</v>
      </c>
      <c r="E496">
        <v>351.19</v>
      </c>
      <c r="F496" t="s">
        <v>1578</v>
      </c>
      <c r="G496" t="s">
        <v>1108</v>
      </c>
    </row>
    <row r="497" spans="1:7">
      <c r="A497" t="s">
        <v>2100</v>
      </c>
      <c r="B497" s="2">
        <v>45684</v>
      </c>
      <c r="C497" t="s">
        <v>110</v>
      </c>
      <c r="D497" t="s">
        <v>1629</v>
      </c>
      <c r="E497">
        <v>176.46</v>
      </c>
      <c r="F497" t="s">
        <v>1578</v>
      </c>
      <c r="G497" t="s">
        <v>1108</v>
      </c>
    </row>
    <row r="498" spans="1:7">
      <c r="A498" t="s">
        <v>2101</v>
      </c>
      <c r="B498" s="2">
        <v>45684</v>
      </c>
      <c r="C498" t="s">
        <v>114</v>
      </c>
      <c r="D498" t="s">
        <v>1629</v>
      </c>
      <c r="E498">
        <v>174.73</v>
      </c>
      <c r="F498" t="s">
        <v>1578</v>
      </c>
      <c r="G498" t="s">
        <v>1108</v>
      </c>
    </row>
    <row r="499" spans="1:7">
      <c r="A499" t="s">
        <v>2102</v>
      </c>
      <c r="B499" s="2">
        <v>45684</v>
      </c>
      <c r="C499" t="s">
        <v>117</v>
      </c>
      <c r="D499" t="s">
        <v>1629</v>
      </c>
      <c r="E499">
        <v>173.86</v>
      </c>
      <c r="F499" t="s">
        <v>1578</v>
      </c>
      <c r="G499" t="s">
        <v>1108</v>
      </c>
    </row>
    <row r="500" spans="1:7">
      <c r="A500" t="s">
        <v>2103</v>
      </c>
      <c r="B500" s="2">
        <v>45684</v>
      </c>
      <c r="C500" t="s">
        <v>119</v>
      </c>
      <c r="D500" t="s">
        <v>1629</v>
      </c>
      <c r="E500">
        <v>174.73</v>
      </c>
      <c r="F500" t="s">
        <v>1578</v>
      </c>
      <c r="G500" t="s">
        <v>1108</v>
      </c>
    </row>
    <row r="501" spans="1:7">
      <c r="A501" t="s">
        <v>2104</v>
      </c>
      <c r="B501" s="2">
        <v>45684</v>
      </c>
      <c r="C501" t="s">
        <v>61</v>
      </c>
      <c r="D501" t="s">
        <v>1629</v>
      </c>
      <c r="E501">
        <v>404.94</v>
      </c>
      <c r="F501" t="s">
        <v>1578</v>
      </c>
      <c r="G501" t="s">
        <v>1109</v>
      </c>
    </row>
    <row r="502" spans="1:7">
      <c r="A502" t="s">
        <v>2105</v>
      </c>
      <c r="B502" s="2">
        <v>45684</v>
      </c>
      <c r="C502" t="s">
        <v>65</v>
      </c>
      <c r="D502" t="s">
        <v>1629</v>
      </c>
      <c r="E502">
        <v>402.96</v>
      </c>
      <c r="F502" t="s">
        <v>1578</v>
      </c>
      <c r="G502" t="s">
        <v>1109</v>
      </c>
    </row>
    <row r="503" spans="1:7">
      <c r="A503" t="s">
        <v>2106</v>
      </c>
      <c r="B503" s="2">
        <v>45684</v>
      </c>
      <c r="C503" t="s">
        <v>68</v>
      </c>
      <c r="D503" t="s">
        <v>1629</v>
      </c>
      <c r="E503">
        <v>404.94</v>
      </c>
      <c r="F503" t="s">
        <v>1578</v>
      </c>
      <c r="G503" t="s">
        <v>1109</v>
      </c>
    </row>
    <row r="504" spans="1:7">
      <c r="A504" t="s">
        <v>2107</v>
      </c>
      <c r="B504" s="2">
        <v>45684</v>
      </c>
      <c r="C504" t="s">
        <v>75</v>
      </c>
      <c r="D504" t="s">
        <v>1629</v>
      </c>
      <c r="E504">
        <v>400.97</v>
      </c>
      <c r="F504" t="s">
        <v>1578</v>
      </c>
      <c r="G504" t="s">
        <v>1109</v>
      </c>
    </row>
    <row r="505" spans="1:7">
      <c r="A505" t="s">
        <v>2108</v>
      </c>
      <c r="B505" s="2">
        <v>45684</v>
      </c>
      <c r="C505" t="s">
        <v>79</v>
      </c>
      <c r="D505" t="s">
        <v>1629</v>
      </c>
      <c r="E505">
        <v>404.94</v>
      </c>
      <c r="F505" t="s">
        <v>1578</v>
      </c>
      <c r="G505" t="s">
        <v>1109</v>
      </c>
    </row>
    <row r="506" spans="1:7">
      <c r="A506" t="s">
        <v>2109</v>
      </c>
      <c r="B506" s="2">
        <v>45684</v>
      </c>
      <c r="C506" t="s">
        <v>81</v>
      </c>
      <c r="D506" t="s">
        <v>1629</v>
      </c>
      <c r="E506">
        <v>801.94</v>
      </c>
      <c r="F506" t="s">
        <v>1578</v>
      </c>
      <c r="G506" t="s">
        <v>1109</v>
      </c>
    </row>
    <row r="507" spans="1:7">
      <c r="A507" t="s">
        <v>2110</v>
      </c>
      <c r="B507" s="2">
        <v>45684</v>
      </c>
      <c r="C507" t="s">
        <v>97</v>
      </c>
      <c r="D507" t="s">
        <v>1629</v>
      </c>
      <c r="E507">
        <v>404.94</v>
      </c>
      <c r="F507" t="s">
        <v>1578</v>
      </c>
      <c r="G507" t="s">
        <v>1109</v>
      </c>
    </row>
    <row r="508" spans="1:7">
      <c r="A508" t="s">
        <v>2111</v>
      </c>
      <c r="B508" s="2">
        <v>45684</v>
      </c>
      <c r="C508" t="s">
        <v>110</v>
      </c>
      <c r="D508" t="s">
        <v>1629</v>
      </c>
      <c r="E508">
        <v>404.94</v>
      </c>
      <c r="F508" t="s">
        <v>1578</v>
      </c>
      <c r="G508" t="s">
        <v>1109</v>
      </c>
    </row>
    <row r="509" spans="1:7">
      <c r="A509" t="s">
        <v>2112</v>
      </c>
      <c r="B509" s="2">
        <v>45684</v>
      </c>
      <c r="C509" t="s">
        <v>114</v>
      </c>
      <c r="D509" t="s">
        <v>1629</v>
      </c>
      <c r="E509">
        <v>400.97</v>
      </c>
      <c r="F509" t="s">
        <v>1578</v>
      </c>
      <c r="G509" t="s">
        <v>1109</v>
      </c>
    </row>
    <row r="510" spans="1:7">
      <c r="A510" t="s">
        <v>2113</v>
      </c>
      <c r="B510" s="2">
        <v>45684</v>
      </c>
      <c r="C510" t="s">
        <v>117</v>
      </c>
      <c r="D510" t="s">
        <v>1629</v>
      </c>
      <c r="E510">
        <v>398.98</v>
      </c>
      <c r="F510" t="s">
        <v>1578</v>
      </c>
      <c r="G510" t="s">
        <v>1109</v>
      </c>
    </row>
    <row r="511" spans="1:7">
      <c r="A511" t="s">
        <v>2114</v>
      </c>
      <c r="B511" s="2">
        <v>45684</v>
      </c>
      <c r="C511" t="s">
        <v>119</v>
      </c>
      <c r="D511" t="s">
        <v>1629</v>
      </c>
      <c r="E511">
        <v>400.97</v>
      </c>
      <c r="F511" t="s">
        <v>1578</v>
      </c>
      <c r="G511" t="s">
        <v>1109</v>
      </c>
    </row>
    <row r="512" spans="1:7">
      <c r="A512" t="s">
        <v>2115</v>
      </c>
      <c r="B512" s="2">
        <v>45685</v>
      </c>
      <c r="C512" t="s">
        <v>61</v>
      </c>
      <c r="D512" t="s">
        <v>1629</v>
      </c>
      <c r="E512">
        <v>389.64</v>
      </c>
      <c r="F512" t="s">
        <v>1578</v>
      </c>
      <c r="G512" t="s">
        <v>1110</v>
      </c>
    </row>
    <row r="513" spans="1:7">
      <c r="A513" t="s">
        <v>2116</v>
      </c>
      <c r="B513" s="2">
        <v>45685</v>
      </c>
      <c r="C513" t="s">
        <v>65</v>
      </c>
      <c r="D513" t="s">
        <v>1629</v>
      </c>
      <c r="E513">
        <v>387.73</v>
      </c>
      <c r="F513" t="s">
        <v>1578</v>
      </c>
      <c r="G513" t="s">
        <v>1110</v>
      </c>
    </row>
    <row r="514" spans="1:7">
      <c r="A514" t="s">
        <v>2117</v>
      </c>
      <c r="B514" s="2">
        <v>45685</v>
      </c>
      <c r="C514" t="s">
        <v>68</v>
      </c>
      <c r="D514" t="s">
        <v>1629</v>
      </c>
      <c r="E514">
        <v>389.64</v>
      </c>
      <c r="F514" t="s">
        <v>1578</v>
      </c>
      <c r="G514" t="s">
        <v>1110</v>
      </c>
    </row>
    <row r="515" spans="1:7">
      <c r="A515" t="s">
        <v>2118</v>
      </c>
      <c r="B515" s="2">
        <v>45685</v>
      </c>
      <c r="C515" t="s">
        <v>70</v>
      </c>
      <c r="D515" t="s">
        <v>1629</v>
      </c>
      <c r="E515">
        <v>385.82</v>
      </c>
      <c r="F515" t="s">
        <v>1578</v>
      </c>
      <c r="G515" t="s">
        <v>1110</v>
      </c>
    </row>
    <row r="516" spans="1:7">
      <c r="A516" t="s">
        <v>2119</v>
      </c>
      <c r="B516" s="2">
        <v>45685</v>
      </c>
      <c r="C516" t="s">
        <v>75</v>
      </c>
      <c r="D516" t="s">
        <v>1629</v>
      </c>
      <c r="E516">
        <v>385.82</v>
      </c>
      <c r="F516" t="s">
        <v>1578</v>
      </c>
      <c r="G516" t="s">
        <v>1110</v>
      </c>
    </row>
    <row r="517" spans="1:7">
      <c r="A517" t="s">
        <v>2120</v>
      </c>
      <c r="B517" s="2">
        <v>45685</v>
      </c>
      <c r="C517" t="s">
        <v>77</v>
      </c>
      <c r="D517" t="s">
        <v>1629</v>
      </c>
      <c r="E517">
        <v>385.82</v>
      </c>
      <c r="F517" t="s">
        <v>1578</v>
      </c>
      <c r="G517" t="s">
        <v>1110</v>
      </c>
    </row>
    <row r="518" spans="1:7">
      <c r="A518" t="s">
        <v>2121</v>
      </c>
      <c r="B518" s="2">
        <v>45685</v>
      </c>
      <c r="C518" t="s">
        <v>79</v>
      </c>
      <c r="D518" t="s">
        <v>1629</v>
      </c>
      <c r="E518">
        <v>389.64</v>
      </c>
      <c r="F518" t="s">
        <v>1578</v>
      </c>
      <c r="G518" t="s">
        <v>1110</v>
      </c>
    </row>
    <row r="519" spans="1:7">
      <c r="A519" t="s">
        <v>2122</v>
      </c>
      <c r="B519" s="2">
        <v>45685</v>
      </c>
      <c r="C519" t="s">
        <v>81</v>
      </c>
      <c r="D519" t="s">
        <v>1629</v>
      </c>
      <c r="E519">
        <v>771.64</v>
      </c>
      <c r="F519" t="s">
        <v>1578</v>
      </c>
      <c r="G519" t="s">
        <v>1110</v>
      </c>
    </row>
    <row r="520" spans="1:7">
      <c r="A520" t="s">
        <v>2123</v>
      </c>
      <c r="B520" s="2">
        <v>45685</v>
      </c>
      <c r="C520" t="s">
        <v>110</v>
      </c>
      <c r="D520" t="s">
        <v>1629</v>
      </c>
      <c r="E520">
        <v>389.64</v>
      </c>
      <c r="F520" t="s">
        <v>1578</v>
      </c>
      <c r="G520" t="s">
        <v>1110</v>
      </c>
    </row>
    <row r="521" spans="1:7">
      <c r="A521" t="s">
        <v>2124</v>
      </c>
      <c r="B521" s="2">
        <v>45685</v>
      </c>
      <c r="C521" t="s">
        <v>114</v>
      </c>
      <c r="D521" t="s">
        <v>1629</v>
      </c>
      <c r="E521">
        <v>385.82</v>
      </c>
      <c r="F521" t="s">
        <v>1578</v>
      </c>
      <c r="G521" t="s">
        <v>1110</v>
      </c>
    </row>
    <row r="522" spans="1:7">
      <c r="A522" t="s">
        <v>2125</v>
      </c>
      <c r="B522" s="2">
        <v>45685</v>
      </c>
      <c r="C522" t="s">
        <v>117</v>
      </c>
      <c r="D522" t="s">
        <v>1629</v>
      </c>
      <c r="E522">
        <v>383.91</v>
      </c>
      <c r="F522" t="s">
        <v>1578</v>
      </c>
      <c r="G522" t="s">
        <v>1110</v>
      </c>
    </row>
    <row r="523" spans="1:7">
      <c r="A523" t="s">
        <v>2126</v>
      </c>
      <c r="B523" s="2">
        <v>45685</v>
      </c>
      <c r="C523" t="s">
        <v>119</v>
      </c>
      <c r="D523" t="s">
        <v>1629</v>
      </c>
      <c r="E523">
        <v>385.82</v>
      </c>
      <c r="F523" t="s">
        <v>1578</v>
      </c>
      <c r="G523" t="s">
        <v>1110</v>
      </c>
    </row>
    <row r="524" spans="1:7">
      <c r="A524" t="s">
        <v>2127</v>
      </c>
      <c r="B524" s="2">
        <v>45685</v>
      </c>
      <c r="C524" t="s">
        <v>93</v>
      </c>
      <c r="D524" t="s">
        <v>1683</v>
      </c>
      <c r="E524">
        <v>140</v>
      </c>
      <c r="F524" t="s">
        <v>1578</v>
      </c>
      <c r="G524" t="s">
        <v>404</v>
      </c>
    </row>
    <row r="525" spans="1:7">
      <c r="A525" t="s">
        <v>2128</v>
      </c>
      <c r="B525" s="2">
        <v>45685</v>
      </c>
      <c r="C525" t="s">
        <v>114</v>
      </c>
      <c r="D525" t="s">
        <v>1683</v>
      </c>
      <c r="E525">
        <v>408</v>
      </c>
      <c r="F525" t="s">
        <v>1578</v>
      </c>
      <c r="G525" t="s">
        <v>405</v>
      </c>
    </row>
    <row r="526" spans="1:7">
      <c r="A526" t="s">
        <v>2129</v>
      </c>
      <c r="B526" s="2">
        <v>45686</v>
      </c>
      <c r="C526" t="s">
        <v>75</v>
      </c>
      <c r="D526" t="s">
        <v>1629</v>
      </c>
      <c r="E526">
        <v>229.27</v>
      </c>
      <c r="F526" t="s">
        <v>1578</v>
      </c>
      <c r="G526" t="s">
        <v>1111</v>
      </c>
    </row>
    <row r="527" spans="1:7">
      <c r="A527" t="s">
        <v>2130</v>
      </c>
      <c r="B527" s="2">
        <v>45686</v>
      </c>
      <c r="C527" t="s">
        <v>91</v>
      </c>
      <c r="D527" t="s">
        <v>1629</v>
      </c>
      <c r="E527">
        <v>232.68</v>
      </c>
      <c r="F527" t="s">
        <v>1578</v>
      </c>
      <c r="G527" t="s">
        <v>1111</v>
      </c>
    </row>
    <row r="528" spans="1:7">
      <c r="A528" t="s">
        <v>2131</v>
      </c>
      <c r="B528" s="2">
        <v>45686</v>
      </c>
      <c r="C528" t="s">
        <v>93</v>
      </c>
      <c r="D528" t="s">
        <v>1629</v>
      </c>
      <c r="E528">
        <v>231.54</v>
      </c>
      <c r="F528" t="s">
        <v>1578</v>
      </c>
      <c r="G528" t="s">
        <v>1111</v>
      </c>
    </row>
    <row r="529" spans="1:7">
      <c r="A529" t="s">
        <v>2132</v>
      </c>
      <c r="B529" s="2">
        <v>45686</v>
      </c>
      <c r="C529" t="s">
        <v>95</v>
      </c>
      <c r="D529" t="s">
        <v>1629</v>
      </c>
      <c r="E529">
        <v>230.4</v>
      </c>
      <c r="F529" t="s">
        <v>1578</v>
      </c>
      <c r="G529" t="s">
        <v>1111</v>
      </c>
    </row>
    <row r="530" spans="1:7">
      <c r="A530" t="s">
        <v>2133</v>
      </c>
      <c r="B530" s="2">
        <v>45686</v>
      </c>
      <c r="C530" t="s">
        <v>97</v>
      </c>
      <c r="D530" t="s">
        <v>1629</v>
      </c>
      <c r="E530">
        <v>229.27</v>
      </c>
      <c r="F530" t="s">
        <v>1578</v>
      </c>
      <c r="G530" t="s">
        <v>1111</v>
      </c>
    </row>
    <row r="531" spans="1:7">
      <c r="A531" t="s">
        <v>2134</v>
      </c>
      <c r="B531" s="2">
        <v>45686</v>
      </c>
      <c r="C531" t="s">
        <v>99</v>
      </c>
      <c r="D531" t="s">
        <v>1629</v>
      </c>
      <c r="E531">
        <v>116.9</v>
      </c>
      <c r="F531" t="s">
        <v>1578</v>
      </c>
      <c r="G531" t="s">
        <v>1111</v>
      </c>
    </row>
    <row r="532" spans="1:7">
      <c r="A532" t="s">
        <v>2135</v>
      </c>
      <c r="B532" s="2">
        <v>45686</v>
      </c>
      <c r="C532" t="s">
        <v>102</v>
      </c>
      <c r="D532" t="s">
        <v>1629</v>
      </c>
      <c r="E532">
        <v>231.54</v>
      </c>
      <c r="F532" t="s">
        <v>1578</v>
      </c>
      <c r="G532" t="s">
        <v>1111</v>
      </c>
    </row>
    <row r="533" spans="1:7">
      <c r="A533" t="s">
        <v>2136</v>
      </c>
      <c r="B533" s="2">
        <v>45686</v>
      </c>
      <c r="C533" t="s">
        <v>108</v>
      </c>
      <c r="D533" t="s">
        <v>1629</v>
      </c>
      <c r="E533">
        <v>460.81</v>
      </c>
      <c r="F533" t="s">
        <v>1578</v>
      </c>
      <c r="G533" t="s">
        <v>1111</v>
      </c>
    </row>
    <row r="534" spans="1:7">
      <c r="A534" t="s">
        <v>2137</v>
      </c>
      <c r="B534" s="2">
        <v>45686</v>
      </c>
      <c r="C534" t="s">
        <v>110</v>
      </c>
      <c r="D534" t="s">
        <v>1629</v>
      </c>
      <c r="E534">
        <v>231.54</v>
      </c>
      <c r="F534" t="s">
        <v>1578</v>
      </c>
      <c r="G534" t="s">
        <v>1111</v>
      </c>
    </row>
    <row r="535" spans="1:7">
      <c r="A535" t="s">
        <v>2138</v>
      </c>
      <c r="B535" s="2">
        <v>45686</v>
      </c>
      <c r="C535" t="s">
        <v>114</v>
      </c>
      <c r="D535" t="s">
        <v>1629</v>
      </c>
      <c r="E535">
        <v>229.27</v>
      </c>
      <c r="F535" t="s">
        <v>1578</v>
      </c>
      <c r="G535" t="s">
        <v>1111</v>
      </c>
    </row>
    <row r="536" spans="1:7">
      <c r="A536" t="s">
        <v>2139</v>
      </c>
      <c r="B536" s="2">
        <v>45686</v>
      </c>
      <c r="C536" t="s">
        <v>117</v>
      </c>
      <c r="D536" t="s">
        <v>1629</v>
      </c>
      <c r="E536">
        <v>228.13</v>
      </c>
      <c r="F536" t="s">
        <v>1578</v>
      </c>
      <c r="G536" t="s">
        <v>1111</v>
      </c>
    </row>
    <row r="537" spans="1:7">
      <c r="A537" t="s">
        <v>2140</v>
      </c>
      <c r="B537" s="2">
        <v>45686</v>
      </c>
      <c r="C537" t="s">
        <v>119</v>
      </c>
      <c r="D537" t="s">
        <v>1629</v>
      </c>
      <c r="E537">
        <v>229.27</v>
      </c>
      <c r="F537" t="s">
        <v>1578</v>
      </c>
      <c r="G537" t="s">
        <v>1111</v>
      </c>
    </row>
    <row r="538" spans="1:7">
      <c r="A538" t="s">
        <v>2141</v>
      </c>
      <c r="B538" s="2">
        <v>45686</v>
      </c>
      <c r="C538" t="s">
        <v>61</v>
      </c>
      <c r="D538" t="s">
        <v>1629</v>
      </c>
      <c r="E538">
        <v>184.62</v>
      </c>
      <c r="F538" t="s">
        <v>1578</v>
      </c>
      <c r="G538" t="s">
        <v>1112</v>
      </c>
    </row>
    <row r="539" spans="1:7">
      <c r="A539" t="s">
        <v>2142</v>
      </c>
      <c r="B539" s="2">
        <v>45686</v>
      </c>
      <c r="C539" t="s">
        <v>65</v>
      </c>
      <c r="D539" t="s">
        <v>1629</v>
      </c>
      <c r="E539">
        <v>183.71</v>
      </c>
      <c r="F539" t="s">
        <v>1578</v>
      </c>
      <c r="G539" t="s">
        <v>1112</v>
      </c>
    </row>
    <row r="540" spans="1:7">
      <c r="A540" t="s">
        <v>2143</v>
      </c>
      <c r="B540" s="2">
        <v>45686</v>
      </c>
      <c r="C540" t="s">
        <v>68</v>
      </c>
      <c r="D540" t="s">
        <v>1629</v>
      </c>
      <c r="E540">
        <v>184.62</v>
      </c>
      <c r="F540" t="s">
        <v>1578</v>
      </c>
      <c r="G540" t="s">
        <v>1112</v>
      </c>
    </row>
    <row r="541" spans="1:7">
      <c r="A541" t="s">
        <v>2144</v>
      </c>
      <c r="B541" s="2">
        <v>45686</v>
      </c>
      <c r="C541" t="s">
        <v>70</v>
      </c>
      <c r="D541" t="s">
        <v>1629</v>
      </c>
      <c r="E541">
        <v>182.81</v>
      </c>
      <c r="F541" t="s">
        <v>1578</v>
      </c>
      <c r="G541" t="s">
        <v>1112</v>
      </c>
    </row>
    <row r="542" spans="1:7">
      <c r="A542" t="s">
        <v>2145</v>
      </c>
      <c r="B542" s="2">
        <v>45686</v>
      </c>
      <c r="C542" t="s">
        <v>73</v>
      </c>
      <c r="D542" t="s">
        <v>1629</v>
      </c>
      <c r="E542">
        <v>184.62</v>
      </c>
      <c r="F542" t="s">
        <v>1578</v>
      </c>
      <c r="G542" t="s">
        <v>1112</v>
      </c>
    </row>
    <row r="543" spans="1:7">
      <c r="A543" t="s">
        <v>2146</v>
      </c>
      <c r="B543" s="2">
        <v>45686</v>
      </c>
      <c r="C543" t="s">
        <v>75</v>
      </c>
      <c r="D543" t="s">
        <v>1629</v>
      </c>
      <c r="E543">
        <v>182.81</v>
      </c>
      <c r="F543" t="s">
        <v>1578</v>
      </c>
      <c r="G543" t="s">
        <v>1112</v>
      </c>
    </row>
    <row r="544" spans="1:7">
      <c r="A544" t="s">
        <v>2147</v>
      </c>
      <c r="B544" s="2">
        <v>45686</v>
      </c>
      <c r="C544" t="s">
        <v>77</v>
      </c>
      <c r="D544" t="s">
        <v>1629</v>
      </c>
      <c r="E544">
        <v>182.81</v>
      </c>
      <c r="F544" t="s">
        <v>1578</v>
      </c>
      <c r="G544" t="s">
        <v>1112</v>
      </c>
    </row>
    <row r="545" spans="1:7">
      <c r="A545" t="s">
        <v>2148</v>
      </c>
      <c r="B545" s="2">
        <v>45686</v>
      </c>
      <c r="C545" t="s">
        <v>79</v>
      </c>
      <c r="D545" t="s">
        <v>1629</v>
      </c>
      <c r="E545">
        <v>184.62</v>
      </c>
      <c r="F545" t="s">
        <v>1578</v>
      </c>
      <c r="G545" t="s">
        <v>1112</v>
      </c>
    </row>
    <row r="546" spans="1:7">
      <c r="A546" t="s">
        <v>2149</v>
      </c>
      <c r="B546" s="2">
        <v>45686</v>
      </c>
      <c r="C546" t="s">
        <v>81</v>
      </c>
      <c r="D546" t="s">
        <v>1629</v>
      </c>
      <c r="E546">
        <v>365.62</v>
      </c>
      <c r="F546" t="s">
        <v>1578</v>
      </c>
      <c r="G546" t="s">
        <v>1112</v>
      </c>
    </row>
    <row r="547" spans="1:7">
      <c r="A547" t="s">
        <v>2150</v>
      </c>
      <c r="B547" s="2">
        <v>45686</v>
      </c>
      <c r="C547" t="s">
        <v>108</v>
      </c>
      <c r="D547" t="s">
        <v>1629</v>
      </c>
      <c r="E547">
        <v>367.43</v>
      </c>
      <c r="F547" t="s">
        <v>1578</v>
      </c>
      <c r="G547" t="s">
        <v>1112</v>
      </c>
    </row>
    <row r="548" spans="1:7">
      <c r="A548" t="s">
        <v>2151</v>
      </c>
      <c r="B548" s="2">
        <v>45686</v>
      </c>
      <c r="C548" t="s">
        <v>110</v>
      </c>
      <c r="D548" t="s">
        <v>1629</v>
      </c>
      <c r="E548">
        <v>184.62</v>
      </c>
      <c r="F548" t="s">
        <v>1578</v>
      </c>
      <c r="G548" t="s">
        <v>1112</v>
      </c>
    </row>
    <row r="549" spans="1:7">
      <c r="A549" t="s">
        <v>2152</v>
      </c>
      <c r="B549" s="2">
        <v>45686</v>
      </c>
      <c r="C549" t="s">
        <v>114</v>
      </c>
      <c r="D549" t="s">
        <v>1629</v>
      </c>
      <c r="E549">
        <v>182.81</v>
      </c>
      <c r="F549" t="s">
        <v>1578</v>
      </c>
      <c r="G549" t="s">
        <v>1112</v>
      </c>
    </row>
    <row r="550" spans="1:7">
      <c r="A550" t="s">
        <v>2153</v>
      </c>
      <c r="B550" s="2">
        <v>45686</v>
      </c>
      <c r="C550" t="s">
        <v>117</v>
      </c>
      <c r="D550" t="s">
        <v>1629</v>
      </c>
      <c r="E550">
        <v>181.9</v>
      </c>
      <c r="F550" t="s">
        <v>1578</v>
      </c>
      <c r="G550" t="s">
        <v>1112</v>
      </c>
    </row>
    <row r="551" spans="1:7">
      <c r="A551" t="s">
        <v>2154</v>
      </c>
      <c r="B551" s="2">
        <v>45686</v>
      </c>
      <c r="C551" t="s">
        <v>119</v>
      </c>
      <c r="D551" t="s">
        <v>1629</v>
      </c>
      <c r="E551">
        <v>182.81</v>
      </c>
      <c r="F551" t="s">
        <v>1578</v>
      </c>
      <c r="G551" t="s">
        <v>1112</v>
      </c>
    </row>
    <row r="552" spans="1:7">
      <c r="A552" t="s">
        <v>2155</v>
      </c>
      <c r="B552" s="2">
        <v>45686</v>
      </c>
      <c r="C552" t="s">
        <v>75</v>
      </c>
      <c r="D552" t="s">
        <v>1629</v>
      </c>
      <c r="E552">
        <v>340.37</v>
      </c>
      <c r="F552" t="s">
        <v>1578</v>
      </c>
      <c r="G552" t="s">
        <v>1113</v>
      </c>
    </row>
    <row r="553" spans="1:7">
      <c r="A553" t="s">
        <v>2156</v>
      </c>
      <c r="B553" s="2">
        <v>45686</v>
      </c>
      <c r="C553" t="s">
        <v>91</v>
      </c>
      <c r="D553" t="s">
        <v>1629</v>
      </c>
      <c r="E553">
        <v>345.42</v>
      </c>
      <c r="F553" t="s">
        <v>1578</v>
      </c>
      <c r="G553" t="s">
        <v>1113</v>
      </c>
    </row>
    <row r="554" spans="1:7">
      <c r="A554" t="s">
        <v>2157</v>
      </c>
      <c r="B554" s="2">
        <v>45686</v>
      </c>
      <c r="C554" t="s">
        <v>93</v>
      </c>
      <c r="D554" t="s">
        <v>1629</v>
      </c>
      <c r="E554">
        <v>343.74</v>
      </c>
      <c r="F554" t="s">
        <v>1578</v>
      </c>
      <c r="G554" t="s">
        <v>1113</v>
      </c>
    </row>
    <row r="555" spans="1:7">
      <c r="A555" t="s">
        <v>2158</v>
      </c>
      <c r="B555" s="2">
        <v>45686</v>
      </c>
      <c r="C555" t="s">
        <v>95</v>
      </c>
      <c r="D555" t="s">
        <v>1629</v>
      </c>
      <c r="E555">
        <v>342.05</v>
      </c>
      <c r="F555" t="s">
        <v>1578</v>
      </c>
      <c r="G555" t="s">
        <v>1113</v>
      </c>
    </row>
    <row r="556" spans="1:7">
      <c r="A556" t="s">
        <v>2159</v>
      </c>
      <c r="B556" s="2">
        <v>45686</v>
      </c>
      <c r="C556" t="s">
        <v>97</v>
      </c>
      <c r="D556" t="s">
        <v>1629</v>
      </c>
      <c r="E556">
        <v>340.37</v>
      </c>
      <c r="F556" t="s">
        <v>1578</v>
      </c>
      <c r="G556" t="s">
        <v>1113</v>
      </c>
    </row>
    <row r="557" spans="1:7">
      <c r="A557" t="s">
        <v>2160</v>
      </c>
      <c r="B557" s="2">
        <v>45686</v>
      </c>
      <c r="C557" t="s">
        <v>99</v>
      </c>
      <c r="D557" t="s">
        <v>1629</v>
      </c>
      <c r="E557">
        <v>416.53</v>
      </c>
      <c r="F557" t="s">
        <v>1578</v>
      </c>
      <c r="G557" t="s">
        <v>1113</v>
      </c>
    </row>
    <row r="558" spans="1:7">
      <c r="A558" t="s">
        <v>2161</v>
      </c>
      <c r="B558" s="2">
        <v>45686</v>
      </c>
      <c r="C558" t="s">
        <v>102</v>
      </c>
      <c r="D558" t="s">
        <v>1629</v>
      </c>
      <c r="E558">
        <v>343.74</v>
      </c>
      <c r="F558" t="s">
        <v>1578</v>
      </c>
      <c r="G558" t="s">
        <v>1113</v>
      </c>
    </row>
    <row r="559" spans="1:7">
      <c r="A559" t="s">
        <v>2162</v>
      </c>
      <c r="B559" s="2">
        <v>45686</v>
      </c>
      <c r="C559" t="s">
        <v>108</v>
      </c>
      <c r="D559" t="s">
        <v>1629</v>
      </c>
      <c r="E559">
        <v>684.11</v>
      </c>
      <c r="F559" t="s">
        <v>1578</v>
      </c>
      <c r="G559" t="s">
        <v>1113</v>
      </c>
    </row>
    <row r="560" spans="1:7">
      <c r="A560" t="s">
        <v>2163</v>
      </c>
      <c r="B560" s="2">
        <v>45686</v>
      </c>
      <c r="C560" t="s">
        <v>110</v>
      </c>
      <c r="D560" t="s">
        <v>1629</v>
      </c>
      <c r="E560">
        <v>343.74</v>
      </c>
      <c r="F560" t="s">
        <v>1578</v>
      </c>
      <c r="G560" t="s">
        <v>1113</v>
      </c>
    </row>
    <row r="561" spans="1:7">
      <c r="A561" t="s">
        <v>2164</v>
      </c>
      <c r="B561" s="2">
        <v>45686</v>
      </c>
      <c r="C561" t="s">
        <v>114</v>
      </c>
      <c r="D561" t="s">
        <v>1629</v>
      </c>
      <c r="E561">
        <v>340.37</v>
      </c>
      <c r="F561" t="s">
        <v>1578</v>
      </c>
      <c r="G561" t="s">
        <v>1113</v>
      </c>
    </row>
    <row r="562" spans="1:7">
      <c r="A562" t="s">
        <v>2165</v>
      </c>
      <c r="B562" s="2">
        <v>45686</v>
      </c>
      <c r="C562" t="s">
        <v>117</v>
      </c>
      <c r="D562" t="s">
        <v>1629</v>
      </c>
      <c r="E562">
        <v>338.68</v>
      </c>
      <c r="F562" t="s">
        <v>1578</v>
      </c>
      <c r="G562" t="s">
        <v>1113</v>
      </c>
    </row>
    <row r="563" spans="1:7">
      <c r="A563" t="s">
        <v>2166</v>
      </c>
      <c r="B563" s="2">
        <v>45686</v>
      </c>
      <c r="C563" t="s">
        <v>119</v>
      </c>
      <c r="D563" t="s">
        <v>1629</v>
      </c>
      <c r="E563">
        <v>340.37</v>
      </c>
      <c r="F563" t="s">
        <v>1578</v>
      </c>
      <c r="G563" t="s">
        <v>1113</v>
      </c>
    </row>
    <row r="564" spans="1:7">
      <c r="A564" t="s">
        <v>2167</v>
      </c>
      <c r="B564" s="2">
        <v>45686</v>
      </c>
      <c r="C564" t="s">
        <v>110</v>
      </c>
      <c r="D564" t="s">
        <v>1683</v>
      </c>
      <c r="E564">
        <v>92</v>
      </c>
      <c r="F564" t="s">
        <v>1578</v>
      </c>
      <c r="G564" t="s">
        <v>406</v>
      </c>
    </row>
    <row r="565" spans="1:7">
      <c r="A565" t="s">
        <v>2168</v>
      </c>
      <c r="B565" s="2">
        <v>45686</v>
      </c>
      <c r="C565" t="s">
        <v>110</v>
      </c>
      <c r="D565" t="s">
        <v>1683</v>
      </c>
      <c r="E565">
        <v>220</v>
      </c>
      <c r="F565" t="s">
        <v>1578</v>
      </c>
      <c r="G565" t="s">
        <v>407</v>
      </c>
    </row>
    <row r="566" spans="1:7">
      <c r="A566" t="s">
        <v>2169</v>
      </c>
      <c r="B566" s="2">
        <v>45686</v>
      </c>
      <c r="C566" t="s">
        <v>87</v>
      </c>
      <c r="D566" t="s">
        <v>1683</v>
      </c>
      <c r="E566">
        <v>148</v>
      </c>
      <c r="F566" t="s">
        <v>1578</v>
      </c>
      <c r="G566" t="s">
        <v>408</v>
      </c>
    </row>
    <row r="567" spans="1:7">
      <c r="A567" t="s">
        <v>2170</v>
      </c>
      <c r="B567" s="2">
        <v>45686</v>
      </c>
      <c r="C567" t="s">
        <v>104</v>
      </c>
      <c r="D567" t="s">
        <v>1683</v>
      </c>
      <c r="E567">
        <v>84</v>
      </c>
      <c r="F567" t="s">
        <v>1578</v>
      </c>
      <c r="G567" t="s">
        <v>409</v>
      </c>
    </row>
    <row r="568" spans="1:7">
      <c r="A568" t="s">
        <v>2171</v>
      </c>
      <c r="B568" s="2">
        <v>45687</v>
      </c>
      <c r="C568" t="s">
        <v>61</v>
      </c>
      <c r="D568" t="s">
        <v>1629</v>
      </c>
      <c r="E568">
        <v>461.04</v>
      </c>
      <c r="F568" t="s">
        <v>1578</v>
      </c>
      <c r="G568" t="s">
        <v>1114</v>
      </c>
    </row>
    <row r="569" spans="1:7">
      <c r="A569" t="s">
        <v>2172</v>
      </c>
      <c r="B569" s="2">
        <v>45687</v>
      </c>
      <c r="C569" t="s">
        <v>65</v>
      </c>
      <c r="D569" t="s">
        <v>1629</v>
      </c>
      <c r="E569">
        <v>458.78</v>
      </c>
      <c r="F569" t="s">
        <v>1578</v>
      </c>
      <c r="G569" t="s">
        <v>1114</v>
      </c>
    </row>
    <row r="570" spans="1:7">
      <c r="A570" t="s">
        <v>2173</v>
      </c>
      <c r="B570" s="2">
        <v>45687</v>
      </c>
      <c r="C570" t="s">
        <v>68</v>
      </c>
      <c r="D570" t="s">
        <v>1629</v>
      </c>
      <c r="E570">
        <v>461.04</v>
      </c>
      <c r="F570" t="s">
        <v>1578</v>
      </c>
      <c r="G570" t="s">
        <v>1114</v>
      </c>
    </row>
    <row r="571" spans="1:7">
      <c r="A571" t="s">
        <v>2174</v>
      </c>
      <c r="B571" s="2">
        <v>45687</v>
      </c>
      <c r="C571" t="s">
        <v>70</v>
      </c>
      <c r="D571" t="s">
        <v>1629</v>
      </c>
      <c r="E571">
        <v>456.52</v>
      </c>
      <c r="F571" t="s">
        <v>1578</v>
      </c>
      <c r="G571" t="s">
        <v>1114</v>
      </c>
    </row>
    <row r="572" spans="1:7">
      <c r="A572" t="s">
        <v>2175</v>
      </c>
      <c r="B572" s="2">
        <v>45687</v>
      </c>
      <c r="C572" t="s">
        <v>75</v>
      </c>
      <c r="D572" t="s">
        <v>1629</v>
      </c>
      <c r="E572">
        <v>456.52</v>
      </c>
      <c r="F572" t="s">
        <v>1578</v>
      </c>
      <c r="G572" t="s">
        <v>1114</v>
      </c>
    </row>
    <row r="573" spans="1:7">
      <c r="A573" t="s">
        <v>2176</v>
      </c>
      <c r="B573" s="2">
        <v>45687</v>
      </c>
      <c r="C573" t="s">
        <v>77</v>
      </c>
      <c r="D573" t="s">
        <v>1629</v>
      </c>
      <c r="E573">
        <v>456.52</v>
      </c>
      <c r="F573" t="s">
        <v>1578</v>
      </c>
      <c r="G573" t="s">
        <v>1114</v>
      </c>
    </row>
    <row r="574" spans="1:7">
      <c r="A574" t="s">
        <v>2177</v>
      </c>
      <c r="B574" s="2">
        <v>45687</v>
      </c>
      <c r="C574" t="s">
        <v>79</v>
      </c>
      <c r="D574" t="s">
        <v>1629</v>
      </c>
      <c r="E574">
        <v>461.04</v>
      </c>
      <c r="F574" t="s">
        <v>1578</v>
      </c>
      <c r="G574" t="s">
        <v>1114</v>
      </c>
    </row>
    <row r="575" spans="1:7">
      <c r="A575" t="s">
        <v>2178</v>
      </c>
      <c r="B575" s="2">
        <v>45687</v>
      </c>
      <c r="C575" t="s">
        <v>81</v>
      </c>
      <c r="D575" t="s">
        <v>1629</v>
      </c>
      <c r="E575">
        <v>913.04</v>
      </c>
      <c r="F575" t="s">
        <v>1578</v>
      </c>
      <c r="G575" t="s">
        <v>1114</v>
      </c>
    </row>
    <row r="576" spans="1:7">
      <c r="A576" t="s">
        <v>2179</v>
      </c>
      <c r="B576" s="2">
        <v>45687</v>
      </c>
      <c r="C576" t="s">
        <v>108</v>
      </c>
      <c r="D576" t="s">
        <v>1629</v>
      </c>
      <c r="E576">
        <v>917.56</v>
      </c>
      <c r="F576" t="s">
        <v>1578</v>
      </c>
      <c r="G576" t="s">
        <v>1114</v>
      </c>
    </row>
    <row r="577" spans="1:7">
      <c r="A577" t="s">
        <v>2180</v>
      </c>
      <c r="B577" s="2">
        <v>45687</v>
      </c>
      <c r="C577" t="s">
        <v>110</v>
      </c>
      <c r="D577" t="s">
        <v>1629</v>
      </c>
      <c r="E577">
        <v>461.04</v>
      </c>
      <c r="F577" t="s">
        <v>1578</v>
      </c>
      <c r="G577" t="s">
        <v>1114</v>
      </c>
    </row>
    <row r="578" spans="1:7">
      <c r="A578" t="s">
        <v>2181</v>
      </c>
      <c r="B578" s="2">
        <v>45687</v>
      </c>
      <c r="C578" t="s">
        <v>114</v>
      </c>
      <c r="D578" t="s">
        <v>1629</v>
      </c>
      <c r="E578">
        <v>456.52</v>
      </c>
      <c r="F578" t="s">
        <v>1578</v>
      </c>
      <c r="G578" t="s">
        <v>1114</v>
      </c>
    </row>
    <row r="579" spans="1:7">
      <c r="A579" t="s">
        <v>2182</v>
      </c>
      <c r="B579" s="2">
        <v>45687</v>
      </c>
      <c r="C579" t="s">
        <v>117</v>
      </c>
      <c r="D579" t="s">
        <v>1629</v>
      </c>
      <c r="E579">
        <v>454.26</v>
      </c>
      <c r="F579" t="s">
        <v>1578</v>
      </c>
      <c r="G579" t="s">
        <v>1114</v>
      </c>
    </row>
    <row r="580" spans="1:7">
      <c r="A580" t="s">
        <v>2183</v>
      </c>
      <c r="B580" s="2">
        <v>45687</v>
      </c>
      <c r="C580" t="s">
        <v>119</v>
      </c>
      <c r="D580" t="s">
        <v>1629</v>
      </c>
      <c r="E580">
        <v>456.52</v>
      </c>
      <c r="F580" t="s">
        <v>1578</v>
      </c>
      <c r="G580" t="s">
        <v>1114</v>
      </c>
    </row>
    <row r="581" spans="1:7">
      <c r="A581" t="s">
        <v>2184</v>
      </c>
      <c r="B581" s="2">
        <v>45688</v>
      </c>
      <c r="C581" t="s">
        <v>61</v>
      </c>
      <c r="D581" t="s">
        <v>1629</v>
      </c>
      <c r="E581">
        <v>291.72000000000003</v>
      </c>
      <c r="F581" t="s">
        <v>1578</v>
      </c>
      <c r="G581" t="s">
        <v>1115</v>
      </c>
    </row>
    <row r="582" spans="1:7">
      <c r="A582" t="s">
        <v>2185</v>
      </c>
      <c r="B582" s="2">
        <v>45688</v>
      </c>
      <c r="C582" t="s">
        <v>65</v>
      </c>
      <c r="D582" t="s">
        <v>1629</v>
      </c>
      <c r="E582">
        <v>290.29000000000002</v>
      </c>
      <c r="F582" t="s">
        <v>1578</v>
      </c>
      <c r="G582" t="s">
        <v>1115</v>
      </c>
    </row>
    <row r="583" spans="1:7">
      <c r="A583" t="s">
        <v>2186</v>
      </c>
      <c r="B583" s="2">
        <v>45688</v>
      </c>
      <c r="C583" t="s">
        <v>68</v>
      </c>
      <c r="D583" t="s">
        <v>1629</v>
      </c>
      <c r="E583">
        <v>291.72000000000003</v>
      </c>
      <c r="F583" t="s">
        <v>1578</v>
      </c>
      <c r="G583" t="s">
        <v>1115</v>
      </c>
    </row>
    <row r="584" spans="1:7">
      <c r="A584" t="s">
        <v>2187</v>
      </c>
      <c r="B584" s="2">
        <v>45688</v>
      </c>
      <c r="C584" t="s">
        <v>70</v>
      </c>
      <c r="D584" t="s">
        <v>1629</v>
      </c>
      <c r="E584">
        <v>288.86</v>
      </c>
      <c r="F584" t="s">
        <v>1578</v>
      </c>
      <c r="G584" t="s">
        <v>1115</v>
      </c>
    </row>
    <row r="585" spans="1:7">
      <c r="A585" t="s">
        <v>2188</v>
      </c>
      <c r="B585" s="2">
        <v>45688</v>
      </c>
      <c r="C585" t="s">
        <v>73</v>
      </c>
      <c r="D585" t="s">
        <v>1629</v>
      </c>
      <c r="E585">
        <v>291.72000000000003</v>
      </c>
      <c r="F585" t="s">
        <v>1578</v>
      </c>
      <c r="G585" t="s">
        <v>1115</v>
      </c>
    </row>
    <row r="586" spans="1:7">
      <c r="A586" t="s">
        <v>2189</v>
      </c>
      <c r="B586" s="2">
        <v>45688</v>
      </c>
      <c r="C586" t="s">
        <v>75</v>
      </c>
      <c r="D586" t="s">
        <v>1629</v>
      </c>
      <c r="E586">
        <v>288.86</v>
      </c>
      <c r="F586" t="s">
        <v>1578</v>
      </c>
      <c r="G586" t="s">
        <v>1115</v>
      </c>
    </row>
    <row r="587" spans="1:7">
      <c r="A587" t="s">
        <v>2190</v>
      </c>
      <c r="B587" s="2">
        <v>45688</v>
      </c>
      <c r="C587" t="s">
        <v>77</v>
      </c>
      <c r="D587" t="s">
        <v>1629</v>
      </c>
      <c r="E587">
        <v>288.86</v>
      </c>
      <c r="F587" t="s">
        <v>1578</v>
      </c>
      <c r="G587" t="s">
        <v>1115</v>
      </c>
    </row>
    <row r="588" spans="1:7">
      <c r="A588" t="s">
        <v>2191</v>
      </c>
      <c r="B588" s="2">
        <v>45688</v>
      </c>
      <c r="C588" t="s">
        <v>79</v>
      </c>
      <c r="D588" t="s">
        <v>1629</v>
      </c>
      <c r="E588">
        <v>291.72000000000003</v>
      </c>
      <c r="F588" t="s">
        <v>1578</v>
      </c>
      <c r="G588" t="s">
        <v>1115</v>
      </c>
    </row>
    <row r="589" spans="1:7">
      <c r="A589" t="s">
        <v>2192</v>
      </c>
      <c r="B589" s="2">
        <v>45688</v>
      </c>
      <c r="C589" t="s">
        <v>81</v>
      </c>
      <c r="D589" t="s">
        <v>1629</v>
      </c>
      <c r="E589">
        <v>577.72</v>
      </c>
      <c r="F589" t="s">
        <v>1578</v>
      </c>
      <c r="G589" t="s">
        <v>1115</v>
      </c>
    </row>
    <row r="590" spans="1:7">
      <c r="A590" t="s">
        <v>2193</v>
      </c>
      <c r="B590" s="2">
        <v>45688</v>
      </c>
      <c r="C590" t="s">
        <v>108</v>
      </c>
      <c r="D590" t="s">
        <v>1629</v>
      </c>
      <c r="E590">
        <v>580.58000000000004</v>
      </c>
      <c r="F590" t="s">
        <v>1578</v>
      </c>
      <c r="G590" t="s">
        <v>1115</v>
      </c>
    </row>
    <row r="591" spans="1:7">
      <c r="A591" t="s">
        <v>2194</v>
      </c>
      <c r="B591" s="2">
        <v>45688</v>
      </c>
      <c r="C591" t="s">
        <v>110</v>
      </c>
      <c r="D591" t="s">
        <v>1629</v>
      </c>
      <c r="E591">
        <v>291.72000000000003</v>
      </c>
      <c r="F591" t="s">
        <v>1578</v>
      </c>
      <c r="G591" t="s">
        <v>1115</v>
      </c>
    </row>
    <row r="592" spans="1:7">
      <c r="A592" t="s">
        <v>2195</v>
      </c>
      <c r="B592" s="2">
        <v>45688</v>
      </c>
      <c r="C592" t="s">
        <v>114</v>
      </c>
      <c r="D592" t="s">
        <v>1629</v>
      </c>
      <c r="E592">
        <v>288.86</v>
      </c>
      <c r="F592" t="s">
        <v>1578</v>
      </c>
      <c r="G592" t="s">
        <v>1115</v>
      </c>
    </row>
    <row r="593" spans="1:7">
      <c r="A593" t="s">
        <v>2196</v>
      </c>
      <c r="B593" s="2">
        <v>45688</v>
      </c>
      <c r="C593" t="s">
        <v>117</v>
      </c>
      <c r="D593" t="s">
        <v>1629</v>
      </c>
      <c r="E593">
        <v>287.43</v>
      </c>
      <c r="F593" t="s">
        <v>1578</v>
      </c>
      <c r="G593" t="s">
        <v>1115</v>
      </c>
    </row>
    <row r="594" spans="1:7">
      <c r="A594" t="s">
        <v>2197</v>
      </c>
      <c r="B594" s="2">
        <v>45688</v>
      </c>
      <c r="C594" t="s">
        <v>119</v>
      </c>
      <c r="D594" t="s">
        <v>1629</v>
      </c>
      <c r="E594">
        <v>288.86</v>
      </c>
      <c r="F594" t="s">
        <v>1578</v>
      </c>
      <c r="G594" t="s">
        <v>1115</v>
      </c>
    </row>
    <row r="595" spans="1:7">
      <c r="A595" t="s">
        <v>2198</v>
      </c>
      <c r="B595" s="2">
        <v>45688</v>
      </c>
      <c r="C595" t="s">
        <v>75</v>
      </c>
      <c r="D595" t="s">
        <v>1629</v>
      </c>
      <c r="E595">
        <v>124.23</v>
      </c>
      <c r="F595" t="s">
        <v>1578</v>
      </c>
      <c r="G595" t="s">
        <v>1116</v>
      </c>
    </row>
    <row r="596" spans="1:7">
      <c r="A596" t="s">
        <v>2199</v>
      </c>
      <c r="B596" s="2">
        <v>45688</v>
      </c>
      <c r="C596" t="s">
        <v>104</v>
      </c>
      <c r="D596" t="s">
        <v>1629</v>
      </c>
      <c r="E596">
        <v>253.38</v>
      </c>
      <c r="F596" t="s">
        <v>1578</v>
      </c>
      <c r="G596" t="s">
        <v>1116</v>
      </c>
    </row>
    <row r="597" spans="1:7">
      <c r="A597" t="s">
        <v>2200</v>
      </c>
      <c r="B597" s="2">
        <v>45688</v>
      </c>
      <c r="C597" t="s">
        <v>108</v>
      </c>
      <c r="D597" t="s">
        <v>1629</v>
      </c>
      <c r="E597">
        <v>249.69</v>
      </c>
      <c r="F597" t="s">
        <v>1578</v>
      </c>
      <c r="G597" t="s">
        <v>1116</v>
      </c>
    </row>
    <row r="598" spans="1:7">
      <c r="A598" t="s">
        <v>2201</v>
      </c>
      <c r="B598" s="2">
        <v>45688</v>
      </c>
      <c r="C598" t="s">
        <v>110</v>
      </c>
      <c r="D598" t="s">
        <v>1629</v>
      </c>
      <c r="E598">
        <v>125.46</v>
      </c>
      <c r="F598" t="s">
        <v>1578</v>
      </c>
      <c r="G598" t="s">
        <v>1116</v>
      </c>
    </row>
    <row r="599" spans="1:7">
      <c r="A599" t="s">
        <v>2202</v>
      </c>
      <c r="B599" s="2">
        <v>45688</v>
      </c>
      <c r="C599" t="s">
        <v>114</v>
      </c>
      <c r="D599" t="s">
        <v>1629</v>
      </c>
      <c r="E599">
        <v>124.23</v>
      </c>
      <c r="F599" t="s">
        <v>1578</v>
      </c>
      <c r="G599" t="s">
        <v>1116</v>
      </c>
    </row>
    <row r="600" spans="1:7">
      <c r="A600" t="s">
        <v>2203</v>
      </c>
      <c r="B600" s="2">
        <v>45688</v>
      </c>
      <c r="C600" t="s">
        <v>117</v>
      </c>
      <c r="D600" t="s">
        <v>1629</v>
      </c>
      <c r="E600">
        <v>123.61</v>
      </c>
      <c r="F600" t="s">
        <v>1578</v>
      </c>
      <c r="G600" t="s">
        <v>1116</v>
      </c>
    </row>
    <row r="601" spans="1:7">
      <c r="A601" t="s">
        <v>2204</v>
      </c>
      <c r="B601" s="2">
        <v>45688</v>
      </c>
      <c r="C601" t="s">
        <v>119</v>
      </c>
      <c r="D601" t="s">
        <v>1629</v>
      </c>
      <c r="E601">
        <v>124.23</v>
      </c>
      <c r="F601" t="s">
        <v>1578</v>
      </c>
      <c r="G601" t="s">
        <v>1116</v>
      </c>
    </row>
    <row r="602" spans="1:7">
      <c r="A602" t="s">
        <v>2205</v>
      </c>
      <c r="B602" s="2">
        <v>45688</v>
      </c>
      <c r="C602" t="s">
        <v>104</v>
      </c>
      <c r="D602" t="s">
        <v>1683</v>
      </c>
      <c r="E602">
        <v>276</v>
      </c>
      <c r="F602" t="s">
        <v>1578</v>
      </c>
      <c r="G602" t="s">
        <v>410</v>
      </c>
    </row>
    <row r="603" spans="1:7">
      <c r="A603" t="s">
        <v>2206</v>
      </c>
      <c r="B603" s="2">
        <v>45688</v>
      </c>
      <c r="C603" t="s">
        <v>117</v>
      </c>
      <c r="D603" t="s">
        <v>1683</v>
      </c>
      <c r="E603">
        <v>176</v>
      </c>
      <c r="F603" t="s">
        <v>1578</v>
      </c>
      <c r="G603" t="s">
        <v>411</v>
      </c>
    </row>
    <row r="604" spans="1:7">
      <c r="A604" t="s">
        <v>2207</v>
      </c>
      <c r="B604" s="2">
        <v>45689</v>
      </c>
      <c r="C604" t="s">
        <v>108</v>
      </c>
      <c r="D604" t="s">
        <v>1683</v>
      </c>
      <c r="E604">
        <v>258</v>
      </c>
      <c r="F604" t="s">
        <v>1578</v>
      </c>
      <c r="G604" t="s">
        <v>412</v>
      </c>
    </row>
    <row r="605" spans="1:7">
      <c r="A605" t="s">
        <v>2208</v>
      </c>
      <c r="B605" s="2">
        <v>45689</v>
      </c>
      <c r="C605" t="s">
        <v>99</v>
      </c>
      <c r="D605" t="s">
        <v>1683</v>
      </c>
      <c r="E605">
        <v>211</v>
      </c>
      <c r="F605" t="s">
        <v>1578</v>
      </c>
      <c r="G605" t="s">
        <v>413</v>
      </c>
    </row>
    <row r="606" spans="1:7">
      <c r="A606" t="s">
        <v>2209</v>
      </c>
      <c r="B606" s="2">
        <v>45689</v>
      </c>
      <c r="C606" t="s">
        <v>89</v>
      </c>
      <c r="D606" t="s">
        <v>1683</v>
      </c>
      <c r="E606">
        <v>279</v>
      </c>
      <c r="F606" t="s">
        <v>1578</v>
      </c>
      <c r="G606" t="s">
        <v>414</v>
      </c>
    </row>
    <row r="607" spans="1:7">
      <c r="A607" t="s">
        <v>2210</v>
      </c>
      <c r="B607" s="2">
        <v>45689</v>
      </c>
      <c r="C607" t="s">
        <v>75</v>
      </c>
      <c r="D607" t="s">
        <v>1683</v>
      </c>
      <c r="E607">
        <v>142</v>
      </c>
      <c r="F607" t="s">
        <v>1578</v>
      </c>
      <c r="G607" t="s">
        <v>415</v>
      </c>
    </row>
    <row r="608" spans="1:7">
      <c r="A608" t="s">
        <v>2211</v>
      </c>
      <c r="B608" s="2">
        <v>45690</v>
      </c>
      <c r="C608" t="s">
        <v>75</v>
      </c>
      <c r="D608" t="s">
        <v>1629</v>
      </c>
      <c r="E608">
        <v>385.82</v>
      </c>
      <c r="F608" t="s">
        <v>1578</v>
      </c>
      <c r="G608" t="s">
        <v>1117</v>
      </c>
    </row>
    <row r="609" spans="1:7">
      <c r="A609" t="s">
        <v>2212</v>
      </c>
      <c r="B609" s="2">
        <v>45690</v>
      </c>
      <c r="C609" t="s">
        <v>104</v>
      </c>
      <c r="D609" t="s">
        <v>1629</v>
      </c>
      <c r="E609">
        <v>786.92</v>
      </c>
      <c r="F609" t="s">
        <v>1578</v>
      </c>
      <c r="G609" t="s">
        <v>1117</v>
      </c>
    </row>
    <row r="610" spans="1:7">
      <c r="A610" t="s">
        <v>2213</v>
      </c>
      <c r="B610" s="2">
        <v>45690</v>
      </c>
      <c r="C610" t="s">
        <v>108</v>
      </c>
      <c r="D610" t="s">
        <v>1629</v>
      </c>
      <c r="E610">
        <v>775.46</v>
      </c>
      <c r="F610" t="s">
        <v>1578</v>
      </c>
      <c r="G610" t="s">
        <v>1117</v>
      </c>
    </row>
    <row r="611" spans="1:7">
      <c r="A611" t="s">
        <v>2214</v>
      </c>
      <c r="B611" s="2">
        <v>45690</v>
      </c>
      <c r="C611" t="s">
        <v>110</v>
      </c>
      <c r="D611" t="s">
        <v>1629</v>
      </c>
      <c r="E611">
        <v>389.64</v>
      </c>
      <c r="F611" t="s">
        <v>1578</v>
      </c>
      <c r="G611" t="s">
        <v>1117</v>
      </c>
    </row>
    <row r="612" spans="1:7">
      <c r="A612" t="s">
        <v>2215</v>
      </c>
      <c r="B612" s="2">
        <v>45690</v>
      </c>
      <c r="C612" t="s">
        <v>114</v>
      </c>
      <c r="D612" t="s">
        <v>1629</v>
      </c>
      <c r="E612">
        <v>385.82</v>
      </c>
      <c r="F612" t="s">
        <v>1578</v>
      </c>
      <c r="G612" t="s">
        <v>1117</v>
      </c>
    </row>
    <row r="613" spans="1:7">
      <c r="A613" t="s">
        <v>2216</v>
      </c>
      <c r="B613" s="2">
        <v>45690</v>
      </c>
      <c r="C613" t="s">
        <v>117</v>
      </c>
      <c r="D613" t="s">
        <v>1629</v>
      </c>
      <c r="E613">
        <v>383.91</v>
      </c>
      <c r="F613" t="s">
        <v>1578</v>
      </c>
      <c r="G613" t="s">
        <v>1117</v>
      </c>
    </row>
    <row r="614" spans="1:7">
      <c r="A614" t="s">
        <v>2217</v>
      </c>
      <c r="B614" s="2">
        <v>45690</v>
      </c>
      <c r="C614" t="s">
        <v>119</v>
      </c>
      <c r="D614" t="s">
        <v>1629</v>
      </c>
      <c r="E614">
        <v>385.82</v>
      </c>
      <c r="F614" t="s">
        <v>1578</v>
      </c>
      <c r="G614" t="s">
        <v>1117</v>
      </c>
    </row>
    <row r="615" spans="1:7">
      <c r="A615" t="s">
        <v>2218</v>
      </c>
      <c r="B615" s="2">
        <v>45690</v>
      </c>
      <c r="C615" t="s">
        <v>91</v>
      </c>
      <c r="D615" t="s">
        <v>1683</v>
      </c>
      <c r="E615">
        <v>387</v>
      </c>
      <c r="F615" t="s">
        <v>1578</v>
      </c>
      <c r="G615" t="s">
        <v>416</v>
      </c>
    </row>
    <row r="616" spans="1:7">
      <c r="A616" t="s">
        <v>2219</v>
      </c>
      <c r="B616" s="2">
        <v>45690</v>
      </c>
      <c r="C616" t="s">
        <v>65</v>
      </c>
      <c r="D616" t="s">
        <v>1683</v>
      </c>
      <c r="E616">
        <v>245</v>
      </c>
      <c r="F616" t="s">
        <v>1578</v>
      </c>
      <c r="G616" t="s">
        <v>418</v>
      </c>
    </row>
    <row r="617" spans="1:7">
      <c r="A617" t="s">
        <v>2220</v>
      </c>
      <c r="B617" s="2">
        <v>45691</v>
      </c>
      <c r="C617" t="s">
        <v>102</v>
      </c>
      <c r="D617" t="s">
        <v>1683</v>
      </c>
      <c r="E617">
        <v>455</v>
      </c>
      <c r="F617" t="s">
        <v>1578</v>
      </c>
      <c r="G617" t="s">
        <v>419</v>
      </c>
    </row>
    <row r="618" spans="1:7">
      <c r="A618" t="s">
        <v>2221</v>
      </c>
      <c r="B618" s="2">
        <v>45691</v>
      </c>
      <c r="C618" t="s">
        <v>106</v>
      </c>
      <c r="D618" t="s">
        <v>1683</v>
      </c>
      <c r="E618">
        <v>355</v>
      </c>
      <c r="F618" t="s">
        <v>1578</v>
      </c>
      <c r="G618" t="s">
        <v>420</v>
      </c>
    </row>
    <row r="619" spans="1:7">
      <c r="A619" t="s">
        <v>2222</v>
      </c>
      <c r="B619" s="2">
        <v>45692</v>
      </c>
      <c r="C619" t="s">
        <v>65</v>
      </c>
      <c r="D619" t="s">
        <v>1683</v>
      </c>
      <c r="E619">
        <v>418</v>
      </c>
      <c r="F619" t="s">
        <v>1578</v>
      </c>
      <c r="G619" t="s">
        <v>421</v>
      </c>
    </row>
    <row r="620" spans="1:7">
      <c r="A620" t="s">
        <v>2223</v>
      </c>
      <c r="B620" s="2">
        <v>45692</v>
      </c>
      <c r="C620" t="s">
        <v>95</v>
      </c>
      <c r="D620" t="s">
        <v>1683</v>
      </c>
      <c r="E620">
        <v>278</v>
      </c>
      <c r="F620" t="s">
        <v>1578</v>
      </c>
      <c r="G620" t="s">
        <v>422</v>
      </c>
    </row>
    <row r="621" spans="1:7">
      <c r="A621" t="s">
        <v>2224</v>
      </c>
      <c r="B621" s="2">
        <v>45692</v>
      </c>
      <c r="C621" t="s">
        <v>84</v>
      </c>
      <c r="D621" t="s">
        <v>1683</v>
      </c>
      <c r="E621">
        <v>424</v>
      </c>
      <c r="F621" t="s">
        <v>1578</v>
      </c>
      <c r="G621" t="s">
        <v>423</v>
      </c>
    </row>
    <row r="622" spans="1:7">
      <c r="A622" t="s">
        <v>2225</v>
      </c>
      <c r="B622" s="2">
        <v>45693</v>
      </c>
      <c r="C622" t="s">
        <v>61</v>
      </c>
      <c r="D622" t="s">
        <v>1629</v>
      </c>
      <c r="E622">
        <v>416.16</v>
      </c>
      <c r="F622" t="s">
        <v>1578</v>
      </c>
      <c r="G622" t="s">
        <v>1118</v>
      </c>
    </row>
    <row r="623" spans="1:7">
      <c r="A623" t="s">
        <v>2226</v>
      </c>
      <c r="B623" s="2">
        <v>45693</v>
      </c>
      <c r="C623" t="s">
        <v>65</v>
      </c>
      <c r="D623" t="s">
        <v>1629</v>
      </c>
      <c r="E623">
        <v>414.12</v>
      </c>
      <c r="F623" t="s">
        <v>1578</v>
      </c>
      <c r="G623" t="s">
        <v>1118</v>
      </c>
    </row>
    <row r="624" spans="1:7">
      <c r="A624" t="s">
        <v>2227</v>
      </c>
      <c r="B624" s="2">
        <v>45693</v>
      </c>
      <c r="C624" t="s">
        <v>68</v>
      </c>
      <c r="D624" t="s">
        <v>1629</v>
      </c>
      <c r="E624">
        <v>416.16</v>
      </c>
      <c r="F624" t="s">
        <v>1578</v>
      </c>
      <c r="G624" t="s">
        <v>1118</v>
      </c>
    </row>
    <row r="625" spans="1:7">
      <c r="A625" t="s">
        <v>2228</v>
      </c>
      <c r="B625" s="2">
        <v>45693</v>
      </c>
      <c r="C625" t="s">
        <v>70</v>
      </c>
      <c r="D625" t="s">
        <v>1629</v>
      </c>
      <c r="E625">
        <v>412.08</v>
      </c>
      <c r="F625" t="s">
        <v>1578</v>
      </c>
      <c r="G625" t="s">
        <v>1118</v>
      </c>
    </row>
    <row r="626" spans="1:7">
      <c r="A626" t="s">
        <v>2229</v>
      </c>
      <c r="B626" s="2">
        <v>45693</v>
      </c>
      <c r="C626" t="s">
        <v>73</v>
      </c>
      <c r="D626" t="s">
        <v>1629</v>
      </c>
      <c r="E626">
        <v>416.16</v>
      </c>
      <c r="F626" t="s">
        <v>1578</v>
      </c>
      <c r="G626" t="s">
        <v>1118</v>
      </c>
    </row>
    <row r="627" spans="1:7">
      <c r="A627" t="s">
        <v>2230</v>
      </c>
      <c r="B627" s="2">
        <v>45693</v>
      </c>
      <c r="C627" t="s">
        <v>75</v>
      </c>
      <c r="D627" t="s">
        <v>1629</v>
      </c>
      <c r="E627">
        <v>412.08</v>
      </c>
      <c r="F627" t="s">
        <v>1578</v>
      </c>
      <c r="G627" t="s">
        <v>1118</v>
      </c>
    </row>
    <row r="628" spans="1:7">
      <c r="A628" t="s">
        <v>2231</v>
      </c>
      <c r="B628" s="2">
        <v>45693</v>
      </c>
      <c r="C628" t="s">
        <v>77</v>
      </c>
      <c r="D628" t="s">
        <v>1629</v>
      </c>
      <c r="E628">
        <v>412.08</v>
      </c>
      <c r="F628" t="s">
        <v>1578</v>
      </c>
      <c r="G628" t="s">
        <v>1118</v>
      </c>
    </row>
    <row r="629" spans="1:7">
      <c r="A629" t="s">
        <v>2232</v>
      </c>
      <c r="B629" s="2">
        <v>45693</v>
      </c>
      <c r="C629" t="s">
        <v>79</v>
      </c>
      <c r="D629" t="s">
        <v>1629</v>
      </c>
      <c r="E629">
        <v>416.16</v>
      </c>
      <c r="F629" t="s">
        <v>1578</v>
      </c>
      <c r="G629" t="s">
        <v>1118</v>
      </c>
    </row>
    <row r="630" spans="1:7">
      <c r="A630" t="s">
        <v>2233</v>
      </c>
      <c r="B630" s="2">
        <v>45693</v>
      </c>
      <c r="C630" t="s">
        <v>81</v>
      </c>
      <c r="D630" t="s">
        <v>1629</v>
      </c>
      <c r="E630">
        <v>824.16</v>
      </c>
      <c r="F630" t="s">
        <v>1578</v>
      </c>
      <c r="G630" t="s">
        <v>1118</v>
      </c>
    </row>
    <row r="631" spans="1:7">
      <c r="A631" t="s">
        <v>2234</v>
      </c>
      <c r="B631" s="2">
        <v>45693</v>
      </c>
      <c r="C631" t="s">
        <v>108</v>
      </c>
      <c r="D631" t="s">
        <v>1629</v>
      </c>
      <c r="E631">
        <v>828.24</v>
      </c>
      <c r="F631" t="s">
        <v>1578</v>
      </c>
      <c r="G631" t="s">
        <v>1118</v>
      </c>
    </row>
    <row r="632" spans="1:7">
      <c r="A632" t="s">
        <v>2235</v>
      </c>
      <c r="B632" s="2">
        <v>45693</v>
      </c>
      <c r="C632" t="s">
        <v>110</v>
      </c>
      <c r="D632" t="s">
        <v>1629</v>
      </c>
      <c r="E632">
        <v>416.16</v>
      </c>
      <c r="F632" t="s">
        <v>1578</v>
      </c>
      <c r="G632" t="s">
        <v>1118</v>
      </c>
    </row>
    <row r="633" spans="1:7">
      <c r="A633" t="s">
        <v>2236</v>
      </c>
      <c r="B633" s="2">
        <v>45693</v>
      </c>
      <c r="C633" t="s">
        <v>114</v>
      </c>
      <c r="D633" t="s">
        <v>1629</v>
      </c>
      <c r="E633">
        <v>412.08</v>
      </c>
      <c r="F633" t="s">
        <v>1578</v>
      </c>
      <c r="G633" t="s">
        <v>1118</v>
      </c>
    </row>
    <row r="634" spans="1:7">
      <c r="A634" t="s">
        <v>2237</v>
      </c>
      <c r="B634" s="2">
        <v>45693</v>
      </c>
      <c r="C634" t="s">
        <v>117</v>
      </c>
      <c r="D634" t="s">
        <v>1629</v>
      </c>
      <c r="E634">
        <v>410.04</v>
      </c>
      <c r="F634" t="s">
        <v>1578</v>
      </c>
      <c r="G634" t="s">
        <v>1118</v>
      </c>
    </row>
    <row r="635" spans="1:7">
      <c r="A635" t="s">
        <v>2238</v>
      </c>
      <c r="B635" s="2">
        <v>45693</v>
      </c>
      <c r="C635" t="s">
        <v>119</v>
      </c>
      <c r="D635" t="s">
        <v>1629</v>
      </c>
      <c r="E635">
        <v>412.08</v>
      </c>
      <c r="F635" t="s">
        <v>1578</v>
      </c>
      <c r="G635" t="s">
        <v>1118</v>
      </c>
    </row>
    <row r="636" spans="1:7">
      <c r="A636" t="s">
        <v>2239</v>
      </c>
      <c r="B636" s="2">
        <v>45693</v>
      </c>
      <c r="C636" t="s">
        <v>61</v>
      </c>
      <c r="D636" t="s">
        <v>1629</v>
      </c>
      <c r="E636">
        <v>83.64</v>
      </c>
      <c r="F636" t="s">
        <v>1578</v>
      </c>
      <c r="G636" t="s">
        <v>1119</v>
      </c>
    </row>
    <row r="637" spans="1:7">
      <c r="A637" t="s">
        <v>2240</v>
      </c>
      <c r="B637" s="2">
        <v>45693</v>
      </c>
      <c r="C637" t="s">
        <v>65</v>
      </c>
      <c r="D637" t="s">
        <v>1629</v>
      </c>
      <c r="E637">
        <v>83.23</v>
      </c>
      <c r="F637" t="s">
        <v>1578</v>
      </c>
      <c r="G637" t="s">
        <v>1119</v>
      </c>
    </row>
    <row r="638" spans="1:7">
      <c r="A638" t="s">
        <v>2241</v>
      </c>
      <c r="B638" s="2">
        <v>45693</v>
      </c>
      <c r="C638" t="s">
        <v>68</v>
      </c>
      <c r="D638" t="s">
        <v>1629</v>
      </c>
      <c r="E638">
        <v>83.64</v>
      </c>
      <c r="F638" t="s">
        <v>1578</v>
      </c>
      <c r="G638" t="s">
        <v>1119</v>
      </c>
    </row>
    <row r="639" spans="1:7">
      <c r="A639" t="s">
        <v>2242</v>
      </c>
      <c r="B639" s="2">
        <v>45693</v>
      </c>
      <c r="C639" t="s">
        <v>70</v>
      </c>
      <c r="D639" t="s">
        <v>1629</v>
      </c>
      <c r="E639">
        <v>82.82</v>
      </c>
      <c r="F639" t="s">
        <v>1578</v>
      </c>
      <c r="G639" t="s">
        <v>1119</v>
      </c>
    </row>
    <row r="640" spans="1:7">
      <c r="A640" t="s">
        <v>2243</v>
      </c>
      <c r="B640" s="2">
        <v>45693</v>
      </c>
      <c r="C640" t="s">
        <v>75</v>
      </c>
      <c r="D640" t="s">
        <v>1629</v>
      </c>
      <c r="E640">
        <v>82.82</v>
      </c>
      <c r="F640" t="s">
        <v>1578</v>
      </c>
      <c r="G640" t="s">
        <v>1119</v>
      </c>
    </row>
    <row r="641" spans="1:7">
      <c r="A641" t="s">
        <v>2244</v>
      </c>
      <c r="B641" s="2">
        <v>45693</v>
      </c>
      <c r="C641" t="s">
        <v>77</v>
      </c>
      <c r="D641" t="s">
        <v>1629</v>
      </c>
      <c r="E641">
        <v>82.82</v>
      </c>
      <c r="F641" t="s">
        <v>1578</v>
      </c>
      <c r="G641" t="s">
        <v>1119</v>
      </c>
    </row>
    <row r="642" spans="1:7">
      <c r="A642" t="s">
        <v>2245</v>
      </c>
      <c r="B642" s="2">
        <v>45693</v>
      </c>
      <c r="C642" t="s">
        <v>79</v>
      </c>
      <c r="D642" t="s">
        <v>1629</v>
      </c>
      <c r="E642">
        <v>83.64</v>
      </c>
      <c r="F642" t="s">
        <v>1578</v>
      </c>
      <c r="G642" t="s">
        <v>1119</v>
      </c>
    </row>
    <row r="643" spans="1:7">
      <c r="A643" t="s">
        <v>2246</v>
      </c>
      <c r="B643" s="2">
        <v>45693</v>
      </c>
      <c r="C643" t="s">
        <v>81</v>
      </c>
      <c r="D643" t="s">
        <v>1629</v>
      </c>
      <c r="E643">
        <v>165.64</v>
      </c>
      <c r="F643" t="s">
        <v>1578</v>
      </c>
      <c r="G643" t="s">
        <v>1119</v>
      </c>
    </row>
    <row r="644" spans="1:7">
      <c r="A644" t="s">
        <v>2247</v>
      </c>
      <c r="B644" s="2">
        <v>45693</v>
      </c>
      <c r="C644" t="s">
        <v>110</v>
      </c>
      <c r="D644" t="s">
        <v>1629</v>
      </c>
      <c r="E644">
        <v>83.64</v>
      </c>
      <c r="F644" t="s">
        <v>1578</v>
      </c>
      <c r="G644" t="s">
        <v>1119</v>
      </c>
    </row>
    <row r="645" spans="1:7">
      <c r="A645" t="s">
        <v>2248</v>
      </c>
      <c r="B645" s="2">
        <v>45693</v>
      </c>
      <c r="C645" t="s">
        <v>114</v>
      </c>
      <c r="D645" t="s">
        <v>1629</v>
      </c>
      <c r="E645">
        <v>82.82</v>
      </c>
      <c r="F645" t="s">
        <v>1578</v>
      </c>
      <c r="G645" t="s">
        <v>1119</v>
      </c>
    </row>
    <row r="646" spans="1:7">
      <c r="A646" t="s">
        <v>2249</v>
      </c>
      <c r="B646" s="2">
        <v>45693</v>
      </c>
      <c r="C646" t="s">
        <v>117</v>
      </c>
      <c r="D646" t="s">
        <v>1629</v>
      </c>
      <c r="E646">
        <v>82.41</v>
      </c>
      <c r="F646" t="s">
        <v>1578</v>
      </c>
      <c r="G646" t="s">
        <v>1119</v>
      </c>
    </row>
    <row r="647" spans="1:7">
      <c r="A647" t="s">
        <v>2250</v>
      </c>
      <c r="B647" s="2">
        <v>45693</v>
      </c>
      <c r="C647" t="s">
        <v>119</v>
      </c>
      <c r="D647" t="s">
        <v>1629</v>
      </c>
      <c r="E647">
        <v>82.82</v>
      </c>
      <c r="F647" t="s">
        <v>1578</v>
      </c>
      <c r="G647" t="s">
        <v>1119</v>
      </c>
    </row>
    <row r="648" spans="1:7">
      <c r="A648" t="s">
        <v>2251</v>
      </c>
      <c r="B648" s="2">
        <v>45693</v>
      </c>
      <c r="C648" t="s">
        <v>61</v>
      </c>
      <c r="D648" t="s">
        <v>1629</v>
      </c>
      <c r="E648">
        <v>226.44</v>
      </c>
      <c r="F648" t="s">
        <v>1578</v>
      </c>
      <c r="G648" t="s">
        <v>1120</v>
      </c>
    </row>
    <row r="649" spans="1:7">
      <c r="A649" t="s">
        <v>2252</v>
      </c>
      <c r="B649" s="2">
        <v>45693</v>
      </c>
      <c r="C649" t="s">
        <v>65</v>
      </c>
      <c r="D649" t="s">
        <v>1629</v>
      </c>
      <c r="E649">
        <v>225.33</v>
      </c>
      <c r="F649" t="s">
        <v>1578</v>
      </c>
      <c r="G649" t="s">
        <v>1120</v>
      </c>
    </row>
    <row r="650" spans="1:7">
      <c r="A650" t="s">
        <v>2253</v>
      </c>
      <c r="B650" s="2">
        <v>45693</v>
      </c>
      <c r="C650" t="s">
        <v>68</v>
      </c>
      <c r="D650" t="s">
        <v>1629</v>
      </c>
      <c r="E650">
        <v>226.44</v>
      </c>
      <c r="F650" t="s">
        <v>1578</v>
      </c>
      <c r="G650" t="s">
        <v>1120</v>
      </c>
    </row>
    <row r="651" spans="1:7">
      <c r="A651" t="s">
        <v>2254</v>
      </c>
      <c r="B651" s="2">
        <v>45693</v>
      </c>
      <c r="C651" t="s">
        <v>70</v>
      </c>
      <c r="D651" t="s">
        <v>1629</v>
      </c>
      <c r="E651">
        <v>224.22</v>
      </c>
      <c r="F651" t="s">
        <v>1578</v>
      </c>
      <c r="G651" t="s">
        <v>1120</v>
      </c>
    </row>
    <row r="652" spans="1:7">
      <c r="A652" t="s">
        <v>2255</v>
      </c>
      <c r="B652" s="2">
        <v>45693</v>
      </c>
      <c r="C652" t="s">
        <v>75</v>
      </c>
      <c r="D652" t="s">
        <v>1629</v>
      </c>
      <c r="E652">
        <v>224.22</v>
      </c>
      <c r="F652" t="s">
        <v>1578</v>
      </c>
      <c r="G652" t="s">
        <v>1120</v>
      </c>
    </row>
    <row r="653" spans="1:7">
      <c r="A653" t="s">
        <v>2256</v>
      </c>
      <c r="B653" s="2">
        <v>45693</v>
      </c>
      <c r="C653" t="s">
        <v>77</v>
      </c>
      <c r="D653" t="s">
        <v>1629</v>
      </c>
      <c r="E653">
        <v>224.22</v>
      </c>
      <c r="F653" t="s">
        <v>1578</v>
      </c>
      <c r="G653" t="s">
        <v>1120</v>
      </c>
    </row>
    <row r="654" spans="1:7">
      <c r="A654" t="s">
        <v>2257</v>
      </c>
      <c r="B654" s="2">
        <v>45693</v>
      </c>
      <c r="C654" t="s">
        <v>79</v>
      </c>
      <c r="D654" t="s">
        <v>1629</v>
      </c>
      <c r="E654">
        <v>226.44</v>
      </c>
      <c r="F654" t="s">
        <v>1578</v>
      </c>
      <c r="G654" t="s">
        <v>1120</v>
      </c>
    </row>
    <row r="655" spans="1:7">
      <c r="A655" t="s">
        <v>2258</v>
      </c>
      <c r="B655" s="2">
        <v>45693</v>
      </c>
      <c r="C655" t="s">
        <v>81</v>
      </c>
      <c r="D655" t="s">
        <v>1629</v>
      </c>
      <c r="E655">
        <v>448.44</v>
      </c>
      <c r="F655" t="s">
        <v>1578</v>
      </c>
      <c r="G655" t="s">
        <v>1120</v>
      </c>
    </row>
    <row r="656" spans="1:7">
      <c r="A656" t="s">
        <v>2259</v>
      </c>
      <c r="B656" s="2">
        <v>45693</v>
      </c>
      <c r="C656" t="s">
        <v>110</v>
      </c>
      <c r="D656" t="s">
        <v>1629</v>
      </c>
      <c r="E656">
        <v>226.44</v>
      </c>
      <c r="F656" t="s">
        <v>1578</v>
      </c>
      <c r="G656" t="s">
        <v>1120</v>
      </c>
    </row>
    <row r="657" spans="1:7">
      <c r="A657" t="s">
        <v>2260</v>
      </c>
      <c r="B657" s="2">
        <v>45693</v>
      </c>
      <c r="C657" t="s">
        <v>114</v>
      </c>
      <c r="D657" t="s">
        <v>1629</v>
      </c>
      <c r="E657">
        <v>224.22</v>
      </c>
      <c r="F657" t="s">
        <v>1578</v>
      </c>
      <c r="G657" t="s">
        <v>1120</v>
      </c>
    </row>
    <row r="658" spans="1:7">
      <c r="A658" t="s">
        <v>2261</v>
      </c>
      <c r="B658" s="2">
        <v>45693</v>
      </c>
      <c r="C658" t="s">
        <v>117</v>
      </c>
      <c r="D658" t="s">
        <v>1629</v>
      </c>
      <c r="E658">
        <v>223.11</v>
      </c>
      <c r="F658" t="s">
        <v>1578</v>
      </c>
      <c r="G658" t="s">
        <v>1120</v>
      </c>
    </row>
    <row r="659" spans="1:7">
      <c r="A659" t="s">
        <v>2262</v>
      </c>
      <c r="B659" s="2">
        <v>45693</v>
      </c>
      <c r="C659" t="s">
        <v>119</v>
      </c>
      <c r="D659" t="s">
        <v>1629</v>
      </c>
      <c r="E659">
        <v>224.22</v>
      </c>
      <c r="F659" t="s">
        <v>1578</v>
      </c>
      <c r="G659" t="s">
        <v>1120</v>
      </c>
    </row>
    <row r="660" spans="1:7">
      <c r="A660" t="s">
        <v>2263</v>
      </c>
      <c r="B660" s="2">
        <v>45693</v>
      </c>
      <c r="C660" t="s">
        <v>84</v>
      </c>
      <c r="D660" t="s">
        <v>1683</v>
      </c>
      <c r="E660">
        <v>196</v>
      </c>
      <c r="F660" t="s">
        <v>1578</v>
      </c>
      <c r="G660" t="s">
        <v>424</v>
      </c>
    </row>
    <row r="661" spans="1:7">
      <c r="A661" t="s">
        <v>2264</v>
      </c>
      <c r="B661" s="2">
        <v>45693</v>
      </c>
      <c r="C661" t="s">
        <v>119</v>
      </c>
      <c r="D661" t="s">
        <v>1683</v>
      </c>
      <c r="E661">
        <v>112</v>
      </c>
      <c r="F661" t="s">
        <v>1578</v>
      </c>
      <c r="G661" t="s">
        <v>425</v>
      </c>
    </row>
    <row r="662" spans="1:7">
      <c r="A662" t="s">
        <v>2265</v>
      </c>
      <c r="B662" s="2">
        <v>45693</v>
      </c>
      <c r="C662" t="s">
        <v>104</v>
      </c>
      <c r="D662" t="s">
        <v>1683</v>
      </c>
      <c r="E662">
        <v>403</v>
      </c>
      <c r="F662" t="s">
        <v>1578</v>
      </c>
      <c r="G662" t="s">
        <v>426</v>
      </c>
    </row>
    <row r="663" spans="1:7">
      <c r="A663" t="s">
        <v>2266</v>
      </c>
      <c r="B663" s="2">
        <v>45694</v>
      </c>
      <c r="C663" t="s">
        <v>68</v>
      </c>
      <c r="D663" t="s">
        <v>1683</v>
      </c>
      <c r="E663">
        <v>702</v>
      </c>
      <c r="F663" t="s">
        <v>1578</v>
      </c>
      <c r="G663" t="s">
        <v>428</v>
      </c>
    </row>
    <row r="664" spans="1:7">
      <c r="A664" t="s">
        <v>2267</v>
      </c>
      <c r="B664" s="2">
        <v>45694</v>
      </c>
      <c r="C664" t="s">
        <v>65</v>
      </c>
      <c r="D664" t="s">
        <v>1683</v>
      </c>
      <c r="E664">
        <v>222</v>
      </c>
      <c r="F664" t="s">
        <v>1578</v>
      </c>
      <c r="G664" t="s">
        <v>429</v>
      </c>
    </row>
    <row r="665" spans="1:7">
      <c r="A665" t="s">
        <v>2268</v>
      </c>
      <c r="B665" s="2">
        <v>45694</v>
      </c>
      <c r="C665" t="s">
        <v>93</v>
      </c>
      <c r="D665" t="s">
        <v>1683</v>
      </c>
      <c r="E665">
        <v>670</v>
      </c>
      <c r="F665" t="s">
        <v>1578</v>
      </c>
      <c r="G665" t="s">
        <v>430</v>
      </c>
    </row>
    <row r="666" spans="1:7">
      <c r="A666" t="s">
        <v>2269</v>
      </c>
      <c r="B666" s="2">
        <v>45695</v>
      </c>
      <c r="C666" t="s">
        <v>61</v>
      </c>
      <c r="D666" t="s">
        <v>1629</v>
      </c>
      <c r="E666">
        <v>168.3</v>
      </c>
      <c r="F666" t="s">
        <v>1578</v>
      </c>
      <c r="G666" t="s">
        <v>1121</v>
      </c>
    </row>
    <row r="667" spans="1:7">
      <c r="A667" t="s">
        <v>2270</v>
      </c>
      <c r="B667" s="2">
        <v>45695</v>
      </c>
      <c r="C667" t="s">
        <v>65</v>
      </c>
      <c r="D667" t="s">
        <v>1629</v>
      </c>
      <c r="E667">
        <v>167.48</v>
      </c>
      <c r="F667" t="s">
        <v>1578</v>
      </c>
      <c r="G667" t="s">
        <v>1121</v>
      </c>
    </row>
    <row r="668" spans="1:7">
      <c r="A668" t="s">
        <v>2271</v>
      </c>
      <c r="B668" s="2">
        <v>45695</v>
      </c>
      <c r="C668" t="s">
        <v>68</v>
      </c>
      <c r="D668" t="s">
        <v>1629</v>
      </c>
      <c r="E668">
        <v>168.3</v>
      </c>
      <c r="F668" t="s">
        <v>1578</v>
      </c>
      <c r="G668" t="s">
        <v>1121</v>
      </c>
    </row>
    <row r="669" spans="1:7">
      <c r="A669" t="s">
        <v>2272</v>
      </c>
      <c r="B669" s="2">
        <v>45695</v>
      </c>
      <c r="C669" t="s">
        <v>70</v>
      </c>
      <c r="D669" t="s">
        <v>1629</v>
      </c>
      <c r="E669">
        <v>166.65</v>
      </c>
      <c r="F669" t="s">
        <v>1578</v>
      </c>
      <c r="G669" t="s">
        <v>1121</v>
      </c>
    </row>
    <row r="670" spans="1:7">
      <c r="A670" t="s">
        <v>2273</v>
      </c>
      <c r="B670" s="2">
        <v>45695</v>
      </c>
      <c r="C670" t="s">
        <v>75</v>
      </c>
      <c r="D670" t="s">
        <v>1629</v>
      </c>
      <c r="E670">
        <v>166.65</v>
      </c>
      <c r="F670" t="s">
        <v>1578</v>
      </c>
      <c r="G670" t="s">
        <v>1121</v>
      </c>
    </row>
    <row r="671" spans="1:7">
      <c r="A671" t="s">
        <v>2274</v>
      </c>
      <c r="B671" s="2">
        <v>45695</v>
      </c>
      <c r="C671" t="s">
        <v>77</v>
      </c>
      <c r="D671" t="s">
        <v>1629</v>
      </c>
      <c r="E671">
        <v>166.65</v>
      </c>
      <c r="F671" t="s">
        <v>1578</v>
      </c>
      <c r="G671" t="s">
        <v>1121</v>
      </c>
    </row>
    <row r="672" spans="1:7">
      <c r="A672" t="s">
        <v>2275</v>
      </c>
      <c r="B672" s="2">
        <v>45695</v>
      </c>
      <c r="C672" t="s">
        <v>79</v>
      </c>
      <c r="D672" t="s">
        <v>1629</v>
      </c>
      <c r="E672">
        <v>168.3</v>
      </c>
      <c r="F672" t="s">
        <v>1578</v>
      </c>
      <c r="G672" t="s">
        <v>1121</v>
      </c>
    </row>
    <row r="673" spans="1:7">
      <c r="A673" t="s">
        <v>2276</v>
      </c>
      <c r="B673" s="2">
        <v>45695</v>
      </c>
      <c r="C673" t="s">
        <v>81</v>
      </c>
      <c r="D673" t="s">
        <v>1629</v>
      </c>
      <c r="E673">
        <v>333.3</v>
      </c>
      <c r="F673" t="s">
        <v>1578</v>
      </c>
      <c r="G673" t="s">
        <v>1121</v>
      </c>
    </row>
    <row r="674" spans="1:7">
      <c r="A674" t="s">
        <v>2277</v>
      </c>
      <c r="B674" s="2">
        <v>45695</v>
      </c>
      <c r="C674" t="s">
        <v>110</v>
      </c>
      <c r="D674" t="s">
        <v>1629</v>
      </c>
      <c r="E674">
        <v>168.3</v>
      </c>
      <c r="F674" t="s">
        <v>1578</v>
      </c>
      <c r="G674" t="s">
        <v>1121</v>
      </c>
    </row>
    <row r="675" spans="1:7">
      <c r="A675" t="s">
        <v>2278</v>
      </c>
      <c r="B675" s="2">
        <v>45695</v>
      </c>
      <c r="C675" t="s">
        <v>114</v>
      </c>
      <c r="D675" t="s">
        <v>1629</v>
      </c>
      <c r="E675">
        <v>166.65</v>
      </c>
      <c r="F675" t="s">
        <v>1578</v>
      </c>
      <c r="G675" t="s">
        <v>1121</v>
      </c>
    </row>
    <row r="676" spans="1:7">
      <c r="A676" t="s">
        <v>2279</v>
      </c>
      <c r="B676" s="2">
        <v>45695</v>
      </c>
      <c r="C676" t="s">
        <v>117</v>
      </c>
      <c r="D676" t="s">
        <v>1629</v>
      </c>
      <c r="E676">
        <v>165.82</v>
      </c>
      <c r="F676" t="s">
        <v>1578</v>
      </c>
      <c r="G676" t="s">
        <v>1121</v>
      </c>
    </row>
    <row r="677" spans="1:7">
      <c r="A677" t="s">
        <v>2280</v>
      </c>
      <c r="B677" s="2">
        <v>45695</v>
      </c>
      <c r="C677" t="s">
        <v>119</v>
      </c>
      <c r="D677" t="s">
        <v>1629</v>
      </c>
      <c r="E677">
        <v>166.65</v>
      </c>
      <c r="F677" t="s">
        <v>1578</v>
      </c>
      <c r="G677" t="s">
        <v>1121</v>
      </c>
    </row>
    <row r="678" spans="1:7">
      <c r="A678" t="s">
        <v>2281</v>
      </c>
      <c r="B678" s="2">
        <v>45695</v>
      </c>
      <c r="C678" t="s">
        <v>70</v>
      </c>
      <c r="D678" t="s">
        <v>1683</v>
      </c>
      <c r="E678">
        <v>131</v>
      </c>
      <c r="F678" t="s">
        <v>1578</v>
      </c>
      <c r="G678" t="s">
        <v>431</v>
      </c>
    </row>
    <row r="679" spans="1:7">
      <c r="A679" t="s">
        <v>2282</v>
      </c>
      <c r="B679" s="2">
        <v>45695</v>
      </c>
      <c r="C679" t="s">
        <v>95</v>
      </c>
      <c r="D679" t="s">
        <v>1683</v>
      </c>
      <c r="E679">
        <v>147</v>
      </c>
      <c r="F679" t="s">
        <v>1578</v>
      </c>
      <c r="G679" t="s">
        <v>432</v>
      </c>
    </row>
    <row r="680" spans="1:7">
      <c r="A680" t="s">
        <v>2283</v>
      </c>
      <c r="B680" s="2">
        <v>45696</v>
      </c>
      <c r="C680" t="s">
        <v>61</v>
      </c>
      <c r="D680" t="s">
        <v>1629</v>
      </c>
      <c r="E680">
        <v>94.86</v>
      </c>
      <c r="F680" t="s">
        <v>1578</v>
      </c>
      <c r="G680" t="s">
        <v>1122</v>
      </c>
    </row>
    <row r="681" spans="1:7">
      <c r="A681" t="s">
        <v>2284</v>
      </c>
      <c r="B681" s="2">
        <v>45696</v>
      </c>
      <c r="C681" t="s">
        <v>65</v>
      </c>
      <c r="D681" t="s">
        <v>1629</v>
      </c>
      <c r="E681">
        <v>94.4</v>
      </c>
      <c r="F681" t="s">
        <v>1578</v>
      </c>
      <c r="G681" t="s">
        <v>1122</v>
      </c>
    </row>
    <row r="682" spans="1:7">
      <c r="A682" t="s">
        <v>2285</v>
      </c>
      <c r="B682" s="2">
        <v>45696</v>
      </c>
      <c r="C682" t="s">
        <v>68</v>
      </c>
      <c r="D682" t="s">
        <v>1629</v>
      </c>
      <c r="E682">
        <v>94.86</v>
      </c>
      <c r="F682" t="s">
        <v>1578</v>
      </c>
      <c r="G682" t="s">
        <v>1122</v>
      </c>
    </row>
    <row r="683" spans="1:7">
      <c r="A683" t="s">
        <v>2286</v>
      </c>
      <c r="B683" s="2">
        <v>45696</v>
      </c>
      <c r="C683" t="s">
        <v>70</v>
      </c>
      <c r="D683" t="s">
        <v>1629</v>
      </c>
      <c r="E683">
        <v>93.93</v>
      </c>
      <c r="F683" t="s">
        <v>1578</v>
      </c>
      <c r="G683" t="s">
        <v>1122</v>
      </c>
    </row>
    <row r="684" spans="1:7">
      <c r="A684" t="s">
        <v>2287</v>
      </c>
      <c r="B684" s="2">
        <v>45696</v>
      </c>
      <c r="C684" t="s">
        <v>75</v>
      </c>
      <c r="D684" t="s">
        <v>1629</v>
      </c>
      <c r="E684">
        <v>93.93</v>
      </c>
      <c r="F684" t="s">
        <v>1578</v>
      </c>
      <c r="G684" t="s">
        <v>1122</v>
      </c>
    </row>
    <row r="685" spans="1:7">
      <c r="A685" t="s">
        <v>2288</v>
      </c>
      <c r="B685" s="2">
        <v>45696</v>
      </c>
      <c r="C685" t="s">
        <v>77</v>
      </c>
      <c r="D685" t="s">
        <v>1629</v>
      </c>
      <c r="E685">
        <v>93.93</v>
      </c>
      <c r="F685" t="s">
        <v>1578</v>
      </c>
      <c r="G685" t="s">
        <v>1122</v>
      </c>
    </row>
    <row r="686" spans="1:7">
      <c r="A686" t="s">
        <v>2289</v>
      </c>
      <c r="B686" s="2">
        <v>45696</v>
      </c>
      <c r="C686" t="s">
        <v>79</v>
      </c>
      <c r="D686" t="s">
        <v>1629</v>
      </c>
      <c r="E686">
        <v>94.86</v>
      </c>
      <c r="F686" t="s">
        <v>1578</v>
      </c>
      <c r="G686" t="s">
        <v>1122</v>
      </c>
    </row>
    <row r="687" spans="1:7">
      <c r="A687" t="s">
        <v>2290</v>
      </c>
      <c r="B687" s="2">
        <v>45696</v>
      </c>
      <c r="C687" t="s">
        <v>81</v>
      </c>
      <c r="D687" t="s">
        <v>1629</v>
      </c>
      <c r="E687">
        <v>187.86</v>
      </c>
      <c r="F687" t="s">
        <v>1578</v>
      </c>
      <c r="G687" t="s">
        <v>1122</v>
      </c>
    </row>
    <row r="688" spans="1:7">
      <c r="A688" t="s">
        <v>2291</v>
      </c>
      <c r="B688" s="2">
        <v>45696</v>
      </c>
      <c r="C688" t="s">
        <v>110</v>
      </c>
      <c r="D688" t="s">
        <v>1629</v>
      </c>
      <c r="E688">
        <v>94.86</v>
      </c>
      <c r="F688" t="s">
        <v>1578</v>
      </c>
      <c r="G688" t="s">
        <v>1122</v>
      </c>
    </row>
    <row r="689" spans="1:7">
      <c r="A689" t="s">
        <v>2292</v>
      </c>
      <c r="B689" s="2">
        <v>45696</v>
      </c>
      <c r="C689" t="s">
        <v>114</v>
      </c>
      <c r="D689" t="s">
        <v>1629</v>
      </c>
      <c r="E689">
        <v>93.93</v>
      </c>
      <c r="F689" t="s">
        <v>1578</v>
      </c>
      <c r="G689" t="s">
        <v>1122</v>
      </c>
    </row>
    <row r="690" spans="1:7">
      <c r="A690" t="s">
        <v>2293</v>
      </c>
      <c r="B690" s="2">
        <v>45696</v>
      </c>
      <c r="C690" t="s">
        <v>117</v>
      </c>
      <c r="D690" t="s">
        <v>1629</v>
      </c>
      <c r="E690">
        <v>93.46</v>
      </c>
      <c r="F690" t="s">
        <v>1578</v>
      </c>
      <c r="G690" t="s">
        <v>1122</v>
      </c>
    </row>
    <row r="691" spans="1:7">
      <c r="A691" t="s">
        <v>2294</v>
      </c>
      <c r="B691" s="2">
        <v>45696</v>
      </c>
      <c r="C691" t="s">
        <v>119</v>
      </c>
      <c r="D691" t="s">
        <v>1629</v>
      </c>
      <c r="E691">
        <v>93.93</v>
      </c>
      <c r="F691" t="s">
        <v>1578</v>
      </c>
      <c r="G691" t="s">
        <v>1122</v>
      </c>
    </row>
    <row r="692" spans="1:7">
      <c r="A692" t="s">
        <v>2295</v>
      </c>
      <c r="B692" s="2">
        <v>45696</v>
      </c>
      <c r="C692" t="s">
        <v>102</v>
      </c>
      <c r="D692" t="s">
        <v>1683</v>
      </c>
      <c r="E692">
        <v>140</v>
      </c>
      <c r="F692" t="s">
        <v>1578</v>
      </c>
      <c r="G692" t="s">
        <v>433</v>
      </c>
    </row>
    <row r="693" spans="1:7">
      <c r="A693" t="s">
        <v>2296</v>
      </c>
      <c r="B693" s="2">
        <v>45696</v>
      </c>
      <c r="C693" t="s">
        <v>89</v>
      </c>
      <c r="D693" t="s">
        <v>1683</v>
      </c>
      <c r="E693">
        <v>162</v>
      </c>
      <c r="F693" t="s">
        <v>1578</v>
      </c>
      <c r="G693" t="s">
        <v>434</v>
      </c>
    </row>
    <row r="694" spans="1:7">
      <c r="A694" t="s">
        <v>2297</v>
      </c>
      <c r="B694" s="2">
        <v>45697</v>
      </c>
      <c r="C694" t="s">
        <v>75</v>
      </c>
      <c r="D694" t="s">
        <v>1629</v>
      </c>
      <c r="E694">
        <v>301.99</v>
      </c>
      <c r="F694" t="s">
        <v>1578</v>
      </c>
      <c r="G694" t="s">
        <v>1123</v>
      </c>
    </row>
    <row r="695" spans="1:7">
      <c r="A695" t="s">
        <v>2298</v>
      </c>
      <c r="B695" s="2">
        <v>45697</v>
      </c>
      <c r="C695" t="s">
        <v>91</v>
      </c>
      <c r="D695" t="s">
        <v>1629</v>
      </c>
      <c r="E695">
        <v>306.47000000000003</v>
      </c>
      <c r="F695" t="s">
        <v>1578</v>
      </c>
      <c r="G695" t="s">
        <v>1123</v>
      </c>
    </row>
    <row r="696" spans="1:7">
      <c r="A696" t="s">
        <v>2299</v>
      </c>
      <c r="B696" s="2">
        <v>45697</v>
      </c>
      <c r="C696" t="s">
        <v>93</v>
      </c>
      <c r="D696" t="s">
        <v>1629</v>
      </c>
      <c r="E696">
        <v>304.98</v>
      </c>
      <c r="F696" t="s">
        <v>1578</v>
      </c>
      <c r="G696" t="s">
        <v>1123</v>
      </c>
    </row>
    <row r="697" spans="1:7">
      <c r="A697" t="s">
        <v>2300</v>
      </c>
      <c r="B697" s="2">
        <v>45697</v>
      </c>
      <c r="C697" t="s">
        <v>95</v>
      </c>
      <c r="D697" t="s">
        <v>1629</v>
      </c>
      <c r="E697">
        <v>303.48</v>
      </c>
      <c r="F697" t="s">
        <v>1578</v>
      </c>
      <c r="G697" t="s">
        <v>1123</v>
      </c>
    </row>
    <row r="698" spans="1:7">
      <c r="A698" t="s">
        <v>2301</v>
      </c>
      <c r="B698" s="2">
        <v>45697</v>
      </c>
      <c r="C698" t="s">
        <v>97</v>
      </c>
      <c r="D698" t="s">
        <v>1629</v>
      </c>
      <c r="E698">
        <v>301.99</v>
      </c>
      <c r="F698" t="s">
        <v>1578</v>
      </c>
      <c r="G698" t="s">
        <v>1123</v>
      </c>
    </row>
    <row r="699" spans="1:7">
      <c r="A699" t="s">
        <v>2302</v>
      </c>
      <c r="B699" s="2">
        <v>45697</v>
      </c>
      <c r="C699" t="s">
        <v>99</v>
      </c>
      <c r="D699" t="s">
        <v>1629</v>
      </c>
      <c r="E699">
        <v>153.99</v>
      </c>
      <c r="F699" t="s">
        <v>1578</v>
      </c>
      <c r="G699" t="s">
        <v>1123</v>
      </c>
    </row>
    <row r="700" spans="1:7">
      <c r="A700" t="s">
        <v>2303</v>
      </c>
      <c r="B700" s="2">
        <v>45697</v>
      </c>
      <c r="C700" t="s">
        <v>102</v>
      </c>
      <c r="D700" t="s">
        <v>1629</v>
      </c>
      <c r="E700">
        <v>304.98</v>
      </c>
      <c r="F700" t="s">
        <v>1578</v>
      </c>
      <c r="G700" t="s">
        <v>1123</v>
      </c>
    </row>
    <row r="701" spans="1:7">
      <c r="A701" t="s">
        <v>2304</v>
      </c>
      <c r="B701" s="2">
        <v>45697</v>
      </c>
      <c r="C701" t="s">
        <v>108</v>
      </c>
      <c r="D701" t="s">
        <v>1629</v>
      </c>
      <c r="E701">
        <v>606.97</v>
      </c>
      <c r="F701" t="s">
        <v>1578</v>
      </c>
      <c r="G701" t="s">
        <v>1123</v>
      </c>
    </row>
    <row r="702" spans="1:7">
      <c r="A702" t="s">
        <v>2305</v>
      </c>
      <c r="B702" s="2">
        <v>45697</v>
      </c>
      <c r="C702" t="s">
        <v>110</v>
      </c>
      <c r="D702" t="s">
        <v>1629</v>
      </c>
      <c r="E702">
        <v>304.98</v>
      </c>
      <c r="F702" t="s">
        <v>1578</v>
      </c>
      <c r="G702" t="s">
        <v>1123</v>
      </c>
    </row>
    <row r="703" spans="1:7">
      <c r="A703" t="s">
        <v>2306</v>
      </c>
      <c r="B703" s="2">
        <v>45697</v>
      </c>
      <c r="C703" t="s">
        <v>114</v>
      </c>
      <c r="D703" t="s">
        <v>1629</v>
      </c>
      <c r="E703">
        <v>301.99</v>
      </c>
      <c r="F703" t="s">
        <v>1578</v>
      </c>
      <c r="G703" t="s">
        <v>1123</v>
      </c>
    </row>
    <row r="704" spans="1:7">
      <c r="A704" t="s">
        <v>2307</v>
      </c>
      <c r="B704" s="2">
        <v>45697</v>
      </c>
      <c r="C704" t="s">
        <v>117</v>
      </c>
      <c r="D704" t="s">
        <v>1629</v>
      </c>
      <c r="E704">
        <v>300.49</v>
      </c>
      <c r="F704" t="s">
        <v>1578</v>
      </c>
      <c r="G704" t="s">
        <v>1123</v>
      </c>
    </row>
    <row r="705" spans="1:7">
      <c r="A705" t="s">
        <v>2308</v>
      </c>
      <c r="B705" s="2">
        <v>45697</v>
      </c>
      <c r="C705" t="s">
        <v>119</v>
      </c>
      <c r="D705" t="s">
        <v>1629</v>
      </c>
      <c r="E705">
        <v>301.99</v>
      </c>
      <c r="F705" t="s">
        <v>1578</v>
      </c>
      <c r="G705" t="s">
        <v>1123</v>
      </c>
    </row>
    <row r="706" spans="1:7">
      <c r="A706" t="s">
        <v>2309</v>
      </c>
      <c r="B706" s="2">
        <v>45697</v>
      </c>
      <c r="C706" t="s">
        <v>75</v>
      </c>
      <c r="D706" t="s">
        <v>1683</v>
      </c>
      <c r="E706">
        <v>161</v>
      </c>
      <c r="F706" t="s">
        <v>1578</v>
      </c>
      <c r="G706" t="s">
        <v>436</v>
      </c>
    </row>
    <row r="707" spans="1:7">
      <c r="A707" t="s">
        <v>2310</v>
      </c>
      <c r="B707" s="2">
        <v>45698</v>
      </c>
      <c r="C707" t="s">
        <v>95</v>
      </c>
      <c r="D707" t="s">
        <v>1683</v>
      </c>
      <c r="E707">
        <v>350</v>
      </c>
      <c r="F707" t="s">
        <v>1578</v>
      </c>
      <c r="G707" t="s">
        <v>437</v>
      </c>
    </row>
    <row r="708" spans="1:7">
      <c r="A708" t="s">
        <v>2311</v>
      </c>
      <c r="B708" s="2">
        <v>45698</v>
      </c>
      <c r="C708" t="s">
        <v>77</v>
      </c>
      <c r="D708" t="s">
        <v>1683</v>
      </c>
      <c r="E708">
        <v>110</v>
      </c>
      <c r="F708" t="s">
        <v>1578</v>
      </c>
      <c r="G708" t="s">
        <v>438</v>
      </c>
    </row>
    <row r="709" spans="1:7">
      <c r="A709" t="s">
        <v>2312</v>
      </c>
      <c r="B709" s="2">
        <v>45698</v>
      </c>
      <c r="C709" t="s">
        <v>117</v>
      </c>
      <c r="D709" t="s">
        <v>1683</v>
      </c>
      <c r="E709">
        <v>252</v>
      </c>
      <c r="F709" t="s">
        <v>1578</v>
      </c>
      <c r="G709" t="s">
        <v>439</v>
      </c>
    </row>
    <row r="710" spans="1:7">
      <c r="A710" t="s">
        <v>2313</v>
      </c>
      <c r="B710" s="2">
        <v>45699</v>
      </c>
      <c r="C710" t="s">
        <v>117</v>
      </c>
      <c r="D710" t="s">
        <v>1683</v>
      </c>
      <c r="E710">
        <v>224</v>
      </c>
      <c r="F710" t="s">
        <v>1578</v>
      </c>
      <c r="G710" t="s">
        <v>440</v>
      </c>
    </row>
    <row r="711" spans="1:7">
      <c r="A711" t="s">
        <v>2314</v>
      </c>
      <c r="B711" s="2">
        <v>45700</v>
      </c>
      <c r="C711" t="s">
        <v>75</v>
      </c>
      <c r="D711" t="s">
        <v>1629</v>
      </c>
      <c r="E711">
        <v>246.44</v>
      </c>
      <c r="F711" t="s">
        <v>1578</v>
      </c>
      <c r="G711" t="s">
        <v>1124</v>
      </c>
    </row>
    <row r="712" spans="1:7">
      <c r="A712" t="s">
        <v>2315</v>
      </c>
      <c r="B712" s="2">
        <v>45700</v>
      </c>
      <c r="C712" t="s">
        <v>91</v>
      </c>
      <c r="D712" t="s">
        <v>1629</v>
      </c>
      <c r="E712">
        <v>250.1</v>
      </c>
      <c r="F712" t="s">
        <v>1578</v>
      </c>
      <c r="G712" t="s">
        <v>1124</v>
      </c>
    </row>
    <row r="713" spans="1:7">
      <c r="A713" t="s">
        <v>2316</v>
      </c>
      <c r="B713" s="2">
        <v>45700</v>
      </c>
      <c r="C713" t="s">
        <v>93</v>
      </c>
      <c r="D713" t="s">
        <v>1629</v>
      </c>
      <c r="E713">
        <v>248.88</v>
      </c>
      <c r="F713" t="s">
        <v>1578</v>
      </c>
      <c r="G713" t="s">
        <v>1124</v>
      </c>
    </row>
    <row r="714" spans="1:7">
      <c r="A714" t="s">
        <v>2317</v>
      </c>
      <c r="B714" s="2">
        <v>45700</v>
      </c>
      <c r="C714" t="s">
        <v>95</v>
      </c>
      <c r="D714" t="s">
        <v>1629</v>
      </c>
      <c r="E714">
        <v>247.66</v>
      </c>
      <c r="F714" t="s">
        <v>1578</v>
      </c>
      <c r="G714" t="s">
        <v>1124</v>
      </c>
    </row>
    <row r="715" spans="1:7">
      <c r="A715" t="s">
        <v>2318</v>
      </c>
      <c r="B715" s="2">
        <v>45700</v>
      </c>
      <c r="C715" t="s">
        <v>97</v>
      </c>
      <c r="D715" t="s">
        <v>1629</v>
      </c>
      <c r="E715">
        <v>246.44</v>
      </c>
      <c r="F715" t="s">
        <v>1578</v>
      </c>
      <c r="G715" t="s">
        <v>1124</v>
      </c>
    </row>
    <row r="716" spans="1:7">
      <c r="A716" t="s">
        <v>2319</v>
      </c>
      <c r="B716" s="2">
        <v>45700</v>
      </c>
      <c r="C716" t="s">
        <v>99</v>
      </c>
      <c r="D716" t="s">
        <v>1629</v>
      </c>
      <c r="E716">
        <v>301.58</v>
      </c>
      <c r="F716" t="s">
        <v>1578</v>
      </c>
      <c r="G716" t="s">
        <v>1124</v>
      </c>
    </row>
    <row r="717" spans="1:7">
      <c r="A717" t="s">
        <v>2320</v>
      </c>
      <c r="B717" s="2">
        <v>45700</v>
      </c>
      <c r="C717" t="s">
        <v>102</v>
      </c>
      <c r="D717" t="s">
        <v>1629</v>
      </c>
      <c r="E717">
        <v>248.88</v>
      </c>
      <c r="F717" t="s">
        <v>1578</v>
      </c>
      <c r="G717" t="s">
        <v>1124</v>
      </c>
    </row>
    <row r="718" spans="1:7">
      <c r="A718" t="s">
        <v>2321</v>
      </c>
      <c r="B718" s="2">
        <v>45700</v>
      </c>
      <c r="C718" t="s">
        <v>108</v>
      </c>
      <c r="D718" t="s">
        <v>1629</v>
      </c>
      <c r="E718">
        <v>495.32</v>
      </c>
      <c r="F718" t="s">
        <v>1578</v>
      </c>
      <c r="G718" t="s">
        <v>1124</v>
      </c>
    </row>
    <row r="719" spans="1:7">
      <c r="A719" t="s">
        <v>2322</v>
      </c>
      <c r="B719" s="2">
        <v>45700</v>
      </c>
      <c r="C719" t="s">
        <v>110</v>
      </c>
      <c r="D719" t="s">
        <v>1629</v>
      </c>
      <c r="E719">
        <v>248.88</v>
      </c>
      <c r="F719" t="s">
        <v>1578</v>
      </c>
      <c r="G719" t="s">
        <v>1124</v>
      </c>
    </row>
    <row r="720" spans="1:7">
      <c r="A720" t="s">
        <v>2323</v>
      </c>
      <c r="B720" s="2">
        <v>45700</v>
      </c>
      <c r="C720" t="s">
        <v>114</v>
      </c>
      <c r="D720" t="s">
        <v>1629</v>
      </c>
      <c r="E720">
        <v>246.44</v>
      </c>
      <c r="F720" t="s">
        <v>1578</v>
      </c>
      <c r="G720" t="s">
        <v>1124</v>
      </c>
    </row>
    <row r="721" spans="1:7">
      <c r="A721" t="s">
        <v>2324</v>
      </c>
      <c r="B721" s="2">
        <v>45700</v>
      </c>
      <c r="C721" t="s">
        <v>117</v>
      </c>
      <c r="D721" t="s">
        <v>1629</v>
      </c>
      <c r="E721">
        <v>245.22</v>
      </c>
      <c r="F721" t="s">
        <v>1578</v>
      </c>
      <c r="G721" t="s">
        <v>1124</v>
      </c>
    </row>
    <row r="722" spans="1:7">
      <c r="A722" t="s">
        <v>2325</v>
      </c>
      <c r="B722" s="2">
        <v>45700</v>
      </c>
      <c r="C722" t="s">
        <v>119</v>
      </c>
      <c r="D722" t="s">
        <v>1629</v>
      </c>
      <c r="E722">
        <v>246.44</v>
      </c>
      <c r="F722" t="s">
        <v>1578</v>
      </c>
      <c r="G722" t="s">
        <v>1124</v>
      </c>
    </row>
    <row r="723" spans="1:7">
      <c r="A723" t="s">
        <v>2326</v>
      </c>
      <c r="B723" s="2">
        <v>45700</v>
      </c>
      <c r="C723" t="s">
        <v>61</v>
      </c>
      <c r="D723" t="s">
        <v>1629</v>
      </c>
      <c r="E723">
        <v>197.88</v>
      </c>
      <c r="F723" t="s">
        <v>1578</v>
      </c>
      <c r="G723" t="s">
        <v>1125</v>
      </c>
    </row>
    <row r="724" spans="1:7">
      <c r="A724" t="s">
        <v>2327</v>
      </c>
      <c r="B724" s="2">
        <v>45700</v>
      </c>
      <c r="C724" t="s">
        <v>65</v>
      </c>
      <c r="D724" t="s">
        <v>1629</v>
      </c>
      <c r="E724">
        <v>196.91</v>
      </c>
      <c r="F724" t="s">
        <v>1578</v>
      </c>
      <c r="G724" t="s">
        <v>1125</v>
      </c>
    </row>
    <row r="725" spans="1:7">
      <c r="A725" t="s">
        <v>2328</v>
      </c>
      <c r="B725" s="2">
        <v>45700</v>
      </c>
      <c r="C725" t="s">
        <v>68</v>
      </c>
      <c r="D725" t="s">
        <v>1629</v>
      </c>
      <c r="E725">
        <v>197.88</v>
      </c>
      <c r="F725" t="s">
        <v>1578</v>
      </c>
      <c r="G725" t="s">
        <v>1125</v>
      </c>
    </row>
    <row r="726" spans="1:7">
      <c r="A726" t="s">
        <v>2329</v>
      </c>
      <c r="B726" s="2">
        <v>45700</v>
      </c>
      <c r="C726" t="s">
        <v>70</v>
      </c>
      <c r="D726" t="s">
        <v>1629</v>
      </c>
      <c r="E726">
        <v>195.94</v>
      </c>
      <c r="F726" t="s">
        <v>1578</v>
      </c>
      <c r="G726" t="s">
        <v>1125</v>
      </c>
    </row>
    <row r="727" spans="1:7">
      <c r="A727" t="s">
        <v>2330</v>
      </c>
      <c r="B727" s="2">
        <v>45700</v>
      </c>
      <c r="C727" t="s">
        <v>73</v>
      </c>
      <c r="D727" t="s">
        <v>1629</v>
      </c>
      <c r="E727">
        <v>197.88</v>
      </c>
      <c r="F727" t="s">
        <v>1578</v>
      </c>
      <c r="G727" t="s">
        <v>1125</v>
      </c>
    </row>
    <row r="728" spans="1:7">
      <c r="A728" t="s">
        <v>2331</v>
      </c>
      <c r="B728" s="2">
        <v>45700</v>
      </c>
      <c r="C728" t="s">
        <v>75</v>
      </c>
      <c r="D728" t="s">
        <v>1629</v>
      </c>
      <c r="E728">
        <v>195.94</v>
      </c>
      <c r="F728" t="s">
        <v>1578</v>
      </c>
      <c r="G728" t="s">
        <v>1125</v>
      </c>
    </row>
    <row r="729" spans="1:7">
      <c r="A729" t="s">
        <v>2332</v>
      </c>
      <c r="B729" s="2">
        <v>45700</v>
      </c>
      <c r="C729" t="s">
        <v>77</v>
      </c>
      <c r="D729" t="s">
        <v>1629</v>
      </c>
      <c r="E729">
        <v>195.94</v>
      </c>
      <c r="F729" t="s">
        <v>1578</v>
      </c>
      <c r="G729" t="s">
        <v>1125</v>
      </c>
    </row>
    <row r="730" spans="1:7">
      <c r="A730" t="s">
        <v>2333</v>
      </c>
      <c r="B730" s="2">
        <v>45700</v>
      </c>
      <c r="C730" t="s">
        <v>79</v>
      </c>
      <c r="D730" t="s">
        <v>1629</v>
      </c>
      <c r="E730">
        <v>197.88</v>
      </c>
      <c r="F730" t="s">
        <v>1578</v>
      </c>
      <c r="G730" t="s">
        <v>1125</v>
      </c>
    </row>
    <row r="731" spans="1:7">
      <c r="A731" t="s">
        <v>2334</v>
      </c>
      <c r="B731" s="2">
        <v>45700</v>
      </c>
      <c r="C731" t="s">
        <v>81</v>
      </c>
      <c r="D731" t="s">
        <v>1629</v>
      </c>
      <c r="E731">
        <v>391.88</v>
      </c>
      <c r="F731" t="s">
        <v>1578</v>
      </c>
      <c r="G731" t="s">
        <v>1125</v>
      </c>
    </row>
    <row r="732" spans="1:7">
      <c r="A732" t="s">
        <v>2335</v>
      </c>
      <c r="B732" s="2">
        <v>45700</v>
      </c>
      <c r="C732" t="s">
        <v>108</v>
      </c>
      <c r="D732" t="s">
        <v>1629</v>
      </c>
      <c r="E732">
        <v>393.82</v>
      </c>
      <c r="F732" t="s">
        <v>1578</v>
      </c>
      <c r="G732" t="s">
        <v>1125</v>
      </c>
    </row>
    <row r="733" spans="1:7">
      <c r="A733" t="s">
        <v>2336</v>
      </c>
      <c r="B733" s="2">
        <v>45700</v>
      </c>
      <c r="C733" t="s">
        <v>110</v>
      </c>
      <c r="D733" t="s">
        <v>1629</v>
      </c>
      <c r="E733">
        <v>197.88</v>
      </c>
      <c r="F733" t="s">
        <v>1578</v>
      </c>
      <c r="G733" t="s">
        <v>1125</v>
      </c>
    </row>
    <row r="734" spans="1:7">
      <c r="A734" t="s">
        <v>2337</v>
      </c>
      <c r="B734" s="2">
        <v>45700</v>
      </c>
      <c r="C734" t="s">
        <v>114</v>
      </c>
      <c r="D734" t="s">
        <v>1629</v>
      </c>
      <c r="E734">
        <v>195.94</v>
      </c>
      <c r="F734" t="s">
        <v>1578</v>
      </c>
      <c r="G734" t="s">
        <v>1125</v>
      </c>
    </row>
    <row r="735" spans="1:7">
      <c r="A735" t="s">
        <v>2338</v>
      </c>
      <c r="B735" s="2">
        <v>45700</v>
      </c>
      <c r="C735" t="s">
        <v>117</v>
      </c>
      <c r="D735" t="s">
        <v>1629</v>
      </c>
      <c r="E735">
        <v>194.97</v>
      </c>
      <c r="F735" t="s">
        <v>1578</v>
      </c>
      <c r="G735" t="s">
        <v>1125</v>
      </c>
    </row>
    <row r="736" spans="1:7">
      <c r="A736" t="s">
        <v>2339</v>
      </c>
      <c r="B736" s="2">
        <v>45700</v>
      </c>
      <c r="C736" t="s">
        <v>119</v>
      </c>
      <c r="D736" t="s">
        <v>1629</v>
      </c>
      <c r="E736">
        <v>195.94</v>
      </c>
      <c r="F736" t="s">
        <v>1578</v>
      </c>
      <c r="G736" t="s">
        <v>1125</v>
      </c>
    </row>
    <row r="737" spans="1:7">
      <c r="A737" t="s">
        <v>2340</v>
      </c>
      <c r="B737" s="2">
        <v>45700</v>
      </c>
      <c r="C737" t="s">
        <v>61</v>
      </c>
      <c r="D737" t="s">
        <v>1629</v>
      </c>
      <c r="E737">
        <v>223.38</v>
      </c>
      <c r="F737" t="s">
        <v>1578</v>
      </c>
      <c r="G737" t="s">
        <v>1126</v>
      </c>
    </row>
    <row r="738" spans="1:7">
      <c r="A738" t="s">
        <v>2341</v>
      </c>
      <c r="B738" s="2">
        <v>45700</v>
      </c>
      <c r="C738" t="s">
        <v>65</v>
      </c>
      <c r="D738" t="s">
        <v>1629</v>
      </c>
      <c r="E738">
        <v>222.28</v>
      </c>
      <c r="F738" t="s">
        <v>1578</v>
      </c>
      <c r="G738" t="s">
        <v>1126</v>
      </c>
    </row>
    <row r="739" spans="1:7">
      <c r="A739" t="s">
        <v>2342</v>
      </c>
      <c r="B739" s="2">
        <v>45700</v>
      </c>
      <c r="C739" t="s">
        <v>68</v>
      </c>
      <c r="D739" t="s">
        <v>1629</v>
      </c>
      <c r="E739">
        <v>223.38</v>
      </c>
      <c r="F739" t="s">
        <v>1578</v>
      </c>
      <c r="G739" t="s">
        <v>1126</v>
      </c>
    </row>
    <row r="740" spans="1:7">
      <c r="A740" t="s">
        <v>2343</v>
      </c>
      <c r="B740" s="2">
        <v>45700</v>
      </c>
      <c r="C740" t="s">
        <v>75</v>
      </c>
      <c r="D740" t="s">
        <v>1629</v>
      </c>
      <c r="E740">
        <v>221.19</v>
      </c>
      <c r="F740" t="s">
        <v>1578</v>
      </c>
      <c r="G740" t="s">
        <v>1126</v>
      </c>
    </row>
    <row r="741" spans="1:7">
      <c r="A741" t="s">
        <v>2344</v>
      </c>
      <c r="B741" s="2">
        <v>45700</v>
      </c>
      <c r="C741" t="s">
        <v>79</v>
      </c>
      <c r="D741" t="s">
        <v>1629</v>
      </c>
      <c r="E741">
        <v>223.38</v>
      </c>
      <c r="F741" t="s">
        <v>1578</v>
      </c>
      <c r="G741" t="s">
        <v>1126</v>
      </c>
    </row>
    <row r="742" spans="1:7">
      <c r="A742" t="s">
        <v>2345</v>
      </c>
      <c r="B742" s="2">
        <v>45700</v>
      </c>
      <c r="C742" t="s">
        <v>81</v>
      </c>
      <c r="D742" t="s">
        <v>1629</v>
      </c>
      <c r="E742">
        <v>442.38</v>
      </c>
      <c r="F742" t="s">
        <v>1578</v>
      </c>
      <c r="G742" t="s">
        <v>1126</v>
      </c>
    </row>
    <row r="743" spans="1:7">
      <c r="A743" t="s">
        <v>2346</v>
      </c>
      <c r="B743" s="2">
        <v>45700</v>
      </c>
      <c r="C743" t="s">
        <v>110</v>
      </c>
      <c r="D743" t="s">
        <v>1629</v>
      </c>
      <c r="E743">
        <v>223.38</v>
      </c>
      <c r="F743" t="s">
        <v>1578</v>
      </c>
      <c r="G743" t="s">
        <v>1126</v>
      </c>
    </row>
    <row r="744" spans="1:7">
      <c r="A744" t="s">
        <v>2347</v>
      </c>
      <c r="B744" s="2">
        <v>45700</v>
      </c>
      <c r="C744" t="s">
        <v>114</v>
      </c>
      <c r="D744" t="s">
        <v>1629</v>
      </c>
      <c r="E744">
        <v>221.19</v>
      </c>
      <c r="F744" t="s">
        <v>1578</v>
      </c>
      <c r="G744" t="s">
        <v>1126</v>
      </c>
    </row>
    <row r="745" spans="1:7">
      <c r="A745" t="s">
        <v>2348</v>
      </c>
      <c r="B745" s="2">
        <v>45700</v>
      </c>
      <c r="C745" t="s">
        <v>117</v>
      </c>
      <c r="D745" t="s">
        <v>1629</v>
      </c>
      <c r="E745">
        <v>220.09</v>
      </c>
      <c r="F745" t="s">
        <v>1578</v>
      </c>
      <c r="G745" t="s">
        <v>1126</v>
      </c>
    </row>
    <row r="746" spans="1:7">
      <c r="A746" t="s">
        <v>2349</v>
      </c>
      <c r="B746" s="2">
        <v>45700</v>
      </c>
      <c r="C746" t="s">
        <v>119</v>
      </c>
      <c r="D746" t="s">
        <v>1629</v>
      </c>
      <c r="E746">
        <v>221.19</v>
      </c>
      <c r="F746" t="s">
        <v>1578</v>
      </c>
      <c r="G746" t="s">
        <v>1126</v>
      </c>
    </row>
    <row r="747" spans="1:7">
      <c r="A747" t="s">
        <v>2350</v>
      </c>
      <c r="B747" s="2">
        <v>45700</v>
      </c>
      <c r="C747" t="s">
        <v>75</v>
      </c>
      <c r="D747" t="s">
        <v>1629</v>
      </c>
      <c r="E747">
        <v>304.01</v>
      </c>
      <c r="F747" t="s">
        <v>1578</v>
      </c>
      <c r="G747" t="s">
        <v>1127</v>
      </c>
    </row>
    <row r="748" spans="1:7">
      <c r="A748" t="s">
        <v>2351</v>
      </c>
      <c r="B748" s="2">
        <v>45700</v>
      </c>
      <c r="C748" t="s">
        <v>91</v>
      </c>
      <c r="D748" t="s">
        <v>1629</v>
      </c>
      <c r="E748">
        <v>308.52</v>
      </c>
      <c r="F748" t="s">
        <v>1578</v>
      </c>
      <c r="G748" t="s">
        <v>1127</v>
      </c>
    </row>
    <row r="749" spans="1:7">
      <c r="A749" t="s">
        <v>2352</v>
      </c>
      <c r="B749" s="2">
        <v>45700</v>
      </c>
      <c r="C749" t="s">
        <v>93</v>
      </c>
      <c r="D749" t="s">
        <v>1629</v>
      </c>
      <c r="E749">
        <v>307.02</v>
      </c>
      <c r="F749" t="s">
        <v>1578</v>
      </c>
      <c r="G749" t="s">
        <v>1127</v>
      </c>
    </row>
    <row r="750" spans="1:7">
      <c r="A750" t="s">
        <v>2353</v>
      </c>
      <c r="B750" s="2">
        <v>45700</v>
      </c>
      <c r="C750" t="s">
        <v>95</v>
      </c>
      <c r="D750" t="s">
        <v>1629</v>
      </c>
      <c r="E750">
        <v>305.52</v>
      </c>
      <c r="F750" t="s">
        <v>1578</v>
      </c>
      <c r="G750" t="s">
        <v>1127</v>
      </c>
    </row>
    <row r="751" spans="1:7">
      <c r="A751" t="s">
        <v>2354</v>
      </c>
      <c r="B751" s="2">
        <v>45700</v>
      </c>
      <c r="C751" t="s">
        <v>97</v>
      </c>
      <c r="D751" t="s">
        <v>1629</v>
      </c>
      <c r="E751">
        <v>304.01</v>
      </c>
      <c r="F751" t="s">
        <v>1578</v>
      </c>
      <c r="G751" t="s">
        <v>1127</v>
      </c>
    </row>
    <row r="752" spans="1:7">
      <c r="A752" t="s">
        <v>2355</v>
      </c>
      <c r="B752" s="2">
        <v>45700</v>
      </c>
      <c r="C752" t="s">
        <v>99</v>
      </c>
      <c r="D752" t="s">
        <v>1629</v>
      </c>
      <c r="E752">
        <v>155.02000000000001</v>
      </c>
      <c r="F752" t="s">
        <v>1578</v>
      </c>
      <c r="G752" t="s">
        <v>1127</v>
      </c>
    </row>
    <row r="753" spans="1:7">
      <c r="A753" t="s">
        <v>2356</v>
      </c>
      <c r="B753" s="2">
        <v>45700</v>
      </c>
      <c r="C753" t="s">
        <v>102</v>
      </c>
      <c r="D753" t="s">
        <v>1629</v>
      </c>
      <c r="E753">
        <v>307.02</v>
      </c>
      <c r="F753" t="s">
        <v>1578</v>
      </c>
      <c r="G753" t="s">
        <v>1127</v>
      </c>
    </row>
    <row r="754" spans="1:7">
      <c r="A754" t="s">
        <v>2357</v>
      </c>
      <c r="B754" s="2">
        <v>45700</v>
      </c>
      <c r="C754" t="s">
        <v>108</v>
      </c>
      <c r="D754" t="s">
        <v>1629</v>
      </c>
      <c r="E754">
        <v>611.03</v>
      </c>
      <c r="F754" t="s">
        <v>1578</v>
      </c>
      <c r="G754" t="s">
        <v>1127</v>
      </c>
    </row>
    <row r="755" spans="1:7">
      <c r="A755" t="s">
        <v>2358</v>
      </c>
      <c r="B755" s="2">
        <v>45700</v>
      </c>
      <c r="C755" t="s">
        <v>110</v>
      </c>
      <c r="D755" t="s">
        <v>1629</v>
      </c>
      <c r="E755">
        <v>307.02</v>
      </c>
      <c r="F755" t="s">
        <v>1578</v>
      </c>
      <c r="G755" t="s">
        <v>1127</v>
      </c>
    </row>
    <row r="756" spans="1:7">
      <c r="A756" t="s">
        <v>2359</v>
      </c>
      <c r="B756" s="2">
        <v>45700</v>
      </c>
      <c r="C756" t="s">
        <v>114</v>
      </c>
      <c r="D756" t="s">
        <v>1629</v>
      </c>
      <c r="E756">
        <v>304.01</v>
      </c>
      <c r="F756" t="s">
        <v>1578</v>
      </c>
      <c r="G756" t="s">
        <v>1127</v>
      </c>
    </row>
    <row r="757" spans="1:7">
      <c r="A757" t="s">
        <v>2360</v>
      </c>
      <c r="B757" s="2">
        <v>45700</v>
      </c>
      <c r="C757" t="s">
        <v>117</v>
      </c>
      <c r="D757" t="s">
        <v>1629</v>
      </c>
      <c r="E757">
        <v>302.5</v>
      </c>
      <c r="F757" t="s">
        <v>1578</v>
      </c>
      <c r="G757" t="s">
        <v>1127</v>
      </c>
    </row>
    <row r="758" spans="1:7">
      <c r="A758" t="s">
        <v>2361</v>
      </c>
      <c r="B758" s="2">
        <v>45700</v>
      </c>
      <c r="C758" t="s">
        <v>119</v>
      </c>
      <c r="D758" t="s">
        <v>1629</v>
      </c>
      <c r="E758">
        <v>304.01</v>
      </c>
      <c r="F758" t="s">
        <v>1578</v>
      </c>
      <c r="G758" t="s">
        <v>1127</v>
      </c>
    </row>
    <row r="759" spans="1:7">
      <c r="A759" t="s">
        <v>2362</v>
      </c>
      <c r="B759" s="2">
        <v>45700</v>
      </c>
      <c r="C759" t="s">
        <v>65</v>
      </c>
      <c r="D759" t="s">
        <v>1683</v>
      </c>
      <c r="E759">
        <v>127</v>
      </c>
      <c r="F759" t="s">
        <v>1578</v>
      </c>
      <c r="G759" t="s">
        <v>441</v>
      </c>
    </row>
    <row r="760" spans="1:7">
      <c r="A760" t="s">
        <v>2363</v>
      </c>
      <c r="B760" s="2">
        <v>45701</v>
      </c>
      <c r="C760" t="s">
        <v>61</v>
      </c>
      <c r="D760" t="s">
        <v>1629</v>
      </c>
      <c r="E760">
        <v>480.42</v>
      </c>
      <c r="F760" t="s">
        <v>1578</v>
      </c>
      <c r="G760" t="s">
        <v>1128</v>
      </c>
    </row>
    <row r="761" spans="1:7">
      <c r="A761" t="s">
        <v>2364</v>
      </c>
      <c r="B761" s="2">
        <v>45701</v>
      </c>
      <c r="C761" t="s">
        <v>65</v>
      </c>
      <c r="D761" t="s">
        <v>1629</v>
      </c>
      <c r="E761">
        <v>478.06</v>
      </c>
      <c r="F761" t="s">
        <v>1578</v>
      </c>
      <c r="G761" t="s">
        <v>1128</v>
      </c>
    </row>
    <row r="762" spans="1:7">
      <c r="A762" t="s">
        <v>2365</v>
      </c>
      <c r="B762" s="2">
        <v>45701</v>
      </c>
      <c r="C762" t="s">
        <v>68</v>
      </c>
      <c r="D762" t="s">
        <v>1629</v>
      </c>
      <c r="E762">
        <v>480.42</v>
      </c>
      <c r="F762" t="s">
        <v>1578</v>
      </c>
      <c r="G762" t="s">
        <v>1128</v>
      </c>
    </row>
    <row r="763" spans="1:7">
      <c r="A763" t="s">
        <v>2366</v>
      </c>
      <c r="B763" s="2">
        <v>45701</v>
      </c>
      <c r="C763" t="s">
        <v>75</v>
      </c>
      <c r="D763" t="s">
        <v>1629</v>
      </c>
      <c r="E763">
        <v>475.71</v>
      </c>
      <c r="F763" t="s">
        <v>1578</v>
      </c>
      <c r="G763" t="s">
        <v>1128</v>
      </c>
    </row>
    <row r="764" spans="1:7">
      <c r="A764" t="s">
        <v>2367</v>
      </c>
      <c r="B764" s="2">
        <v>45701</v>
      </c>
      <c r="C764" t="s">
        <v>79</v>
      </c>
      <c r="D764" t="s">
        <v>1629</v>
      </c>
      <c r="E764">
        <v>480.42</v>
      </c>
      <c r="F764" t="s">
        <v>1578</v>
      </c>
      <c r="G764" t="s">
        <v>1128</v>
      </c>
    </row>
    <row r="765" spans="1:7">
      <c r="A765" t="s">
        <v>2368</v>
      </c>
      <c r="B765" s="2">
        <v>45701</v>
      </c>
      <c r="C765" t="s">
        <v>81</v>
      </c>
      <c r="D765" t="s">
        <v>1629</v>
      </c>
      <c r="E765">
        <v>951.42</v>
      </c>
      <c r="F765" t="s">
        <v>1578</v>
      </c>
      <c r="G765" t="s">
        <v>1128</v>
      </c>
    </row>
    <row r="766" spans="1:7">
      <c r="A766" t="s">
        <v>2369</v>
      </c>
      <c r="B766" s="2">
        <v>45701</v>
      </c>
      <c r="C766" t="s">
        <v>110</v>
      </c>
      <c r="D766" t="s">
        <v>1629</v>
      </c>
      <c r="E766">
        <v>480.42</v>
      </c>
      <c r="F766" t="s">
        <v>1578</v>
      </c>
      <c r="G766" t="s">
        <v>1128</v>
      </c>
    </row>
    <row r="767" spans="1:7">
      <c r="A767" t="s">
        <v>2370</v>
      </c>
      <c r="B767" s="2">
        <v>45701</v>
      </c>
      <c r="C767" t="s">
        <v>114</v>
      </c>
      <c r="D767" t="s">
        <v>1629</v>
      </c>
      <c r="E767">
        <v>475.71</v>
      </c>
      <c r="F767" t="s">
        <v>1578</v>
      </c>
      <c r="G767" t="s">
        <v>1128</v>
      </c>
    </row>
    <row r="768" spans="1:7">
      <c r="A768" t="s">
        <v>2371</v>
      </c>
      <c r="B768" s="2">
        <v>45701</v>
      </c>
      <c r="C768" t="s">
        <v>117</v>
      </c>
      <c r="D768" t="s">
        <v>1629</v>
      </c>
      <c r="E768">
        <v>473.35</v>
      </c>
      <c r="F768" t="s">
        <v>1578</v>
      </c>
      <c r="G768" t="s">
        <v>1128</v>
      </c>
    </row>
    <row r="769" spans="1:7">
      <c r="A769" t="s">
        <v>2372</v>
      </c>
      <c r="B769" s="2">
        <v>45701</v>
      </c>
      <c r="C769" t="s">
        <v>119</v>
      </c>
      <c r="D769" t="s">
        <v>1629</v>
      </c>
      <c r="E769">
        <v>475.71</v>
      </c>
      <c r="F769" t="s">
        <v>1578</v>
      </c>
      <c r="G769" t="s">
        <v>1128</v>
      </c>
    </row>
    <row r="770" spans="1:7">
      <c r="A770" t="s">
        <v>2373</v>
      </c>
      <c r="B770" s="2">
        <v>45701</v>
      </c>
      <c r="C770" t="s">
        <v>61</v>
      </c>
      <c r="D770" t="s">
        <v>1629</v>
      </c>
      <c r="E770">
        <v>363.12</v>
      </c>
      <c r="F770" t="s">
        <v>1578</v>
      </c>
      <c r="G770" t="s">
        <v>1129</v>
      </c>
    </row>
    <row r="771" spans="1:7">
      <c r="A771" t="s">
        <v>2374</v>
      </c>
      <c r="B771" s="2">
        <v>45701</v>
      </c>
      <c r="C771" t="s">
        <v>65</v>
      </c>
      <c r="D771" t="s">
        <v>1629</v>
      </c>
      <c r="E771">
        <v>361.34</v>
      </c>
      <c r="F771" t="s">
        <v>1578</v>
      </c>
      <c r="G771" t="s">
        <v>1129</v>
      </c>
    </row>
    <row r="772" spans="1:7">
      <c r="A772" t="s">
        <v>2375</v>
      </c>
      <c r="B772" s="2">
        <v>45701</v>
      </c>
      <c r="C772" t="s">
        <v>68</v>
      </c>
      <c r="D772" t="s">
        <v>1629</v>
      </c>
      <c r="E772">
        <v>363.12</v>
      </c>
      <c r="F772" t="s">
        <v>1578</v>
      </c>
      <c r="G772" t="s">
        <v>1129</v>
      </c>
    </row>
    <row r="773" spans="1:7">
      <c r="A773" t="s">
        <v>2376</v>
      </c>
      <c r="B773" s="2">
        <v>45701</v>
      </c>
      <c r="C773" t="s">
        <v>70</v>
      </c>
      <c r="D773" t="s">
        <v>1629</v>
      </c>
      <c r="E773">
        <v>359.56</v>
      </c>
      <c r="F773" t="s">
        <v>1578</v>
      </c>
      <c r="G773" t="s">
        <v>1129</v>
      </c>
    </row>
    <row r="774" spans="1:7">
      <c r="A774" t="s">
        <v>2377</v>
      </c>
      <c r="B774" s="2">
        <v>45701</v>
      </c>
      <c r="C774" t="s">
        <v>73</v>
      </c>
      <c r="D774" t="s">
        <v>1629</v>
      </c>
      <c r="E774">
        <v>363.12</v>
      </c>
      <c r="F774" t="s">
        <v>1578</v>
      </c>
      <c r="G774" t="s">
        <v>1129</v>
      </c>
    </row>
    <row r="775" spans="1:7">
      <c r="A775" t="s">
        <v>2378</v>
      </c>
      <c r="B775" s="2">
        <v>45701</v>
      </c>
      <c r="C775" t="s">
        <v>75</v>
      </c>
      <c r="D775" t="s">
        <v>1629</v>
      </c>
      <c r="E775">
        <v>359.56</v>
      </c>
      <c r="F775" t="s">
        <v>1578</v>
      </c>
      <c r="G775" t="s">
        <v>1129</v>
      </c>
    </row>
    <row r="776" spans="1:7">
      <c r="A776" t="s">
        <v>2379</v>
      </c>
      <c r="B776" s="2">
        <v>45701</v>
      </c>
      <c r="C776" t="s">
        <v>77</v>
      </c>
      <c r="D776" t="s">
        <v>1629</v>
      </c>
      <c r="E776">
        <v>359.56</v>
      </c>
      <c r="F776" t="s">
        <v>1578</v>
      </c>
      <c r="G776" t="s">
        <v>1129</v>
      </c>
    </row>
    <row r="777" spans="1:7">
      <c r="A777" t="s">
        <v>2380</v>
      </c>
      <c r="B777" s="2">
        <v>45701</v>
      </c>
      <c r="C777" t="s">
        <v>79</v>
      </c>
      <c r="D777" t="s">
        <v>1629</v>
      </c>
      <c r="E777">
        <v>363.12</v>
      </c>
      <c r="F777" t="s">
        <v>1578</v>
      </c>
      <c r="G777" t="s">
        <v>1129</v>
      </c>
    </row>
    <row r="778" spans="1:7">
      <c r="A778" t="s">
        <v>2381</v>
      </c>
      <c r="B778" s="2">
        <v>45701</v>
      </c>
      <c r="C778" t="s">
        <v>81</v>
      </c>
      <c r="D778" t="s">
        <v>1629</v>
      </c>
      <c r="E778">
        <v>719.12</v>
      </c>
      <c r="F778" t="s">
        <v>1578</v>
      </c>
      <c r="G778" t="s">
        <v>1129</v>
      </c>
    </row>
    <row r="779" spans="1:7">
      <c r="A779" t="s">
        <v>2382</v>
      </c>
      <c r="B779" s="2">
        <v>45701</v>
      </c>
      <c r="C779" t="s">
        <v>108</v>
      </c>
      <c r="D779" t="s">
        <v>1629</v>
      </c>
      <c r="E779">
        <v>722.68</v>
      </c>
      <c r="F779" t="s">
        <v>1578</v>
      </c>
      <c r="G779" t="s">
        <v>1129</v>
      </c>
    </row>
    <row r="780" spans="1:7">
      <c r="A780" t="s">
        <v>2383</v>
      </c>
      <c r="B780" s="2">
        <v>45701</v>
      </c>
      <c r="C780" t="s">
        <v>110</v>
      </c>
      <c r="D780" t="s">
        <v>1629</v>
      </c>
      <c r="E780">
        <v>363.12</v>
      </c>
      <c r="F780" t="s">
        <v>1578</v>
      </c>
      <c r="G780" t="s">
        <v>1129</v>
      </c>
    </row>
    <row r="781" spans="1:7">
      <c r="A781" t="s">
        <v>2384</v>
      </c>
      <c r="B781" s="2">
        <v>45701</v>
      </c>
      <c r="C781" t="s">
        <v>114</v>
      </c>
      <c r="D781" t="s">
        <v>1629</v>
      </c>
      <c r="E781">
        <v>359.56</v>
      </c>
      <c r="F781" t="s">
        <v>1578</v>
      </c>
      <c r="G781" t="s">
        <v>1129</v>
      </c>
    </row>
    <row r="782" spans="1:7">
      <c r="A782" t="s">
        <v>2385</v>
      </c>
      <c r="B782" s="2">
        <v>45701</v>
      </c>
      <c r="C782" t="s">
        <v>117</v>
      </c>
      <c r="D782" t="s">
        <v>1629</v>
      </c>
      <c r="E782">
        <v>357.78</v>
      </c>
      <c r="F782" t="s">
        <v>1578</v>
      </c>
      <c r="G782" t="s">
        <v>1129</v>
      </c>
    </row>
    <row r="783" spans="1:7">
      <c r="A783" t="s">
        <v>2386</v>
      </c>
      <c r="B783" s="2">
        <v>45701</v>
      </c>
      <c r="C783" t="s">
        <v>119</v>
      </c>
      <c r="D783" t="s">
        <v>1629</v>
      </c>
      <c r="E783">
        <v>359.56</v>
      </c>
      <c r="F783" t="s">
        <v>1578</v>
      </c>
      <c r="G783" t="s">
        <v>1129</v>
      </c>
    </row>
    <row r="784" spans="1:7">
      <c r="A784" t="s">
        <v>2387</v>
      </c>
      <c r="B784" s="2">
        <v>45701</v>
      </c>
      <c r="C784" t="s">
        <v>104</v>
      </c>
      <c r="D784" t="s">
        <v>1683</v>
      </c>
      <c r="E784">
        <v>181</v>
      </c>
      <c r="F784" t="s">
        <v>1578</v>
      </c>
      <c r="G784" t="s">
        <v>442</v>
      </c>
    </row>
    <row r="785" spans="1:7">
      <c r="A785" t="s">
        <v>2388</v>
      </c>
      <c r="B785" s="2">
        <v>45701</v>
      </c>
      <c r="C785" t="s">
        <v>119</v>
      </c>
      <c r="D785" t="s">
        <v>1683</v>
      </c>
      <c r="E785">
        <v>198</v>
      </c>
      <c r="F785" t="s">
        <v>1578</v>
      </c>
      <c r="G785" t="s">
        <v>443</v>
      </c>
    </row>
    <row r="786" spans="1:7">
      <c r="A786" t="s">
        <v>2389</v>
      </c>
      <c r="B786" s="2">
        <v>45702</v>
      </c>
      <c r="C786" t="s">
        <v>99</v>
      </c>
      <c r="D786" t="s">
        <v>1683</v>
      </c>
      <c r="E786">
        <v>332</v>
      </c>
      <c r="F786" t="s">
        <v>1578</v>
      </c>
      <c r="G786" t="s">
        <v>445</v>
      </c>
    </row>
    <row r="787" spans="1:7">
      <c r="A787" t="s">
        <v>2390</v>
      </c>
      <c r="B787" s="2">
        <v>45703</v>
      </c>
      <c r="C787" t="s">
        <v>75</v>
      </c>
      <c r="D787" t="s">
        <v>1629</v>
      </c>
      <c r="E787">
        <v>111.1</v>
      </c>
      <c r="F787" t="s">
        <v>1578</v>
      </c>
      <c r="G787" t="s">
        <v>1130</v>
      </c>
    </row>
    <row r="788" spans="1:7">
      <c r="A788" t="s">
        <v>2391</v>
      </c>
      <c r="B788" s="2">
        <v>45703</v>
      </c>
      <c r="C788" t="s">
        <v>91</v>
      </c>
      <c r="D788" t="s">
        <v>1629</v>
      </c>
      <c r="E788">
        <v>112.75</v>
      </c>
      <c r="F788" t="s">
        <v>1578</v>
      </c>
      <c r="G788" t="s">
        <v>1130</v>
      </c>
    </row>
    <row r="789" spans="1:7">
      <c r="A789" t="s">
        <v>2392</v>
      </c>
      <c r="B789" s="2">
        <v>45703</v>
      </c>
      <c r="C789" t="s">
        <v>93</v>
      </c>
      <c r="D789" t="s">
        <v>1629</v>
      </c>
      <c r="E789">
        <v>112.2</v>
      </c>
      <c r="F789" t="s">
        <v>1578</v>
      </c>
      <c r="G789" t="s">
        <v>1130</v>
      </c>
    </row>
    <row r="790" spans="1:7">
      <c r="A790" t="s">
        <v>2393</v>
      </c>
      <c r="B790" s="2">
        <v>45703</v>
      </c>
      <c r="C790" t="s">
        <v>95</v>
      </c>
      <c r="D790" t="s">
        <v>1629</v>
      </c>
      <c r="E790">
        <v>111.65</v>
      </c>
      <c r="F790" t="s">
        <v>1578</v>
      </c>
      <c r="G790" t="s">
        <v>1130</v>
      </c>
    </row>
    <row r="791" spans="1:7">
      <c r="A791" t="s">
        <v>2394</v>
      </c>
      <c r="B791" s="2">
        <v>45703</v>
      </c>
      <c r="C791" t="s">
        <v>97</v>
      </c>
      <c r="D791" t="s">
        <v>1629</v>
      </c>
      <c r="E791">
        <v>111.1</v>
      </c>
      <c r="F791" t="s">
        <v>1578</v>
      </c>
      <c r="G791" t="s">
        <v>1130</v>
      </c>
    </row>
    <row r="792" spans="1:7">
      <c r="A792" t="s">
        <v>2395</v>
      </c>
      <c r="B792" s="2">
        <v>45703</v>
      </c>
      <c r="C792" t="s">
        <v>99</v>
      </c>
      <c r="D792" t="s">
        <v>1629</v>
      </c>
      <c r="E792">
        <v>56.65</v>
      </c>
      <c r="F792" t="s">
        <v>1578</v>
      </c>
      <c r="G792" t="s">
        <v>1130</v>
      </c>
    </row>
    <row r="793" spans="1:7">
      <c r="A793" t="s">
        <v>2396</v>
      </c>
      <c r="B793" s="2">
        <v>45703</v>
      </c>
      <c r="C793" t="s">
        <v>102</v>
      </c>
      <c r="D793" t="s">
        <v>1629</v>
      </c>
      <c r="E793">
        <v>112.2</v>
      </c>
      <c r="F793" t="s">
        <v>1578</v>
      </c>
      <c r="G793" t="s">
        <v>1130</v>
      </c>
    </row>
    <row r="794" spans="1:7">
      <c r="A794" t="s">
        <v>2397</v>
      </c>
      <c r="B794" s="2">
        <v>45703</v>
      </c>
      <c r="C794" t="s">
        <v>108</v>
      </c>
      <c r="D794" t="s">
        <v>1629</v>
      </c>
      <c r="E794">
        <v>223.3</v>
      </c>
      <c r="F794" t="s">
        <v>1578</v>
      </c>
      <c r="G794" t="s">
        <v>1130</v>
      </c>
    </row>
    <row r="795" spans="1:7">
      <c r="A795" t="s">
        <v>2398</v>
      </c>
      <c r="B795" s="2">
        <v>45703</v>
      </c>
      <c r="C795" t="s">
        <v>110</v>
      </c>
      <c r="D795" t="s">
        <v>1629</v>
      </c>
      <c r="E795">
        <v>112.2</v>
      </c>
      <c r="F795" t="s">
        <v>1578</v>
      </c>
      <c r="G795" t="s">
        <v>1130</v>
      </c>
    </row>
    <row r="796" spans="1:7">
      <c r="A796" t="s">
        <v>2399</v>
      </c>
      <c r="B796" s="2">
        <v>45703</v>
      </c>
      <c r="C796" t="s">
        <v>114</v>
      </c>
      <c r="D796" t="s">
        <v>1629</v>
      </c>
      <c r="E796">
        <v>111.1</v>
      </c>
      <c r="F796" t="s">
        <v>1578</v>
      </c>
      <c r="G796" t="s">
        <v>1130</v>
      </c>
    </row>
    <row r="797" spans="1:7">
      <c r="A797" t="s">
        <v>2400</v>
      </c>
      <c r="B797" s="2">
        <v>45703</v>
      </c>
      <c r="C797" t="s">
        <v>117</v>
      </c>
      <c r="D797" t="s">
        <v>1629</v>
      </c>
      <c r="E797">
        <v>110.55</v>
      </c>
      <c r="F797" t="s">
        <v>1578</v>
      </c>
      <c r="G797" t="s">
        <v>1130</v>
      </c>
    </row>
    <row r="798" spans="1:7">
      <c r="A798" t="s">
        <v>2401</v>
      </c>
      <c r="B798" s="2">
        <v>45703</v>
      </c>
      <c r="C798" t="s">
        <v>119</v>
      </c>
      <c r="D798" t="s">
        <v>1629</v>
      </c>
      <c r="E798">
        <v>111.1</v>
      </c>
      <c r="F798" t="s">
        <v>1578</v>
      </c>
      <c r="G798" t="s">
        <v>1130</v>
      </c>
    </row>
    <row r="799" spans="1:7">
      <c r="A799" t="s">
        <v>2402</v>
      </c>
      <c r="B799" s="2">
        <v>45703</v>
      </c>
      <c r="C799" t="s">
        <v>104</v>
      </c>
      <c r="D799" t="s">
        <v>1683</v>
      </c>
      <c r="E799">
        <v>327</v>
      </c>
      <c r="F799" t="s">
        <v>1578</v>
      </c>
      <c r="G799" t="s">
        <v>446</v>
      </c>
    </row>
    <row r="800" spans="1:7">
      <c r="A800" t="s">
        <v>2403</v>
      </c>
      <c r="B800" s="2">
        <v>45703</v>
      </c>
      <c r="C800" t="s">
        <v>91</v>
      </c>
      <c r="D800" t="s">
        <v>1683</v>
      </c>
      <c r="E800">
        <v>134</v>
      </c>
      <c r="F800" t="s">
        <v>1578</v>
      </c>
      <c r="G800" t="s">
        <v>447</v>
      </c>
    </row>
    <row r="801" spans="1:7">
      <c r="A801" t="s">
        <v>2404</v>
      </c>
      <c r="B801" s="2">
        <v>45704</v>
      </c>
      <c r="C801" t="s">
        <v>61</v>
      </c>
      <c r="D801" t="s">
        <v>1629</v>
      </c>
      <c r="E801">
        <v>397.8</v>
      </c>
      <c r="F801" t="s">
        <v>1578</v>
      </c>
      <c r="G801" t="s">
        <v>1131</v>
      </c>
    </row>
    <row r="802" spans="1:7">
      <c r="A802" t="s">
        <v>2405</v>
      </c>
      <c r="B802" s="2">
        <v>45704</v>
      </c>
      <c r="C802" t="s">
        <v>65</v>
      </c>
      <c r="D802" t="s">
        <v>1629</v>
      </c>
      <c r="E802">
        <v>395.85</v>
      </c>
      <c r="F802" t="s">
        <v>1578</v>
      </c>
      <c r="G802" t="s">
        <v>1131</v>
      </c>
    </row>
    <row r="803" spans="1:7">
      <c r="A803" t="s">
        <v>2406</v>
      </c>
      <c r="B803" s="2">
        <v>45704</v>
      </c>
      <c r="C803" t="s">
        <v>68</v>
      </c>
      <c r="D803" t="s">
        <v>1629</v>
      </c>
      <c r="E803">
        <v>397.8</v>
      </c>
      <c r="F803" t="s">
        <v>1578</v>
      </c>
      <c r="G803" t="s">
        <v>1131</v>
      </c>
    </row>
    <row r="804" spans="1:7">
      <c r="A804" t="s">
        <v>2407</v>
      </c>
      <c r="B804" s="2">
        <v>45704</v>
      </c>
      <c r="C804" t="s">
        <v>70</v>
      </c>
      <c r="D804" t="s">
        <v>1629</v>
      </c>
      <c r="E804">
        <v>393.9</v>
      </c>
      <c r="F804" t="s">
        <v>1578</v>
      </c>
      <c r="G804" t="s">
        <v>1131</v>
      </c>
    </row>
    <row r="805" spans="1:7">
      <c r="A805" t="s">
        <v>2408</v>
      </c>
      <c r="B805" s="2">
        <v>45704</v>
      </c>
      <c r="C805" t="s">
        <v>73</v>
      </c>
      <c r="D805" t="s">
        <v>1629</v>
      </c>
      <c r="E805">
        <v>397.8</v>
      </c>
      <c r="F805" t="s">
        <v>1578</v>
      </c>
      <c r="G805" t="s">
        <v>1131</v>
      </c>
    </row>
    <row r="806" spans="1:7">
      <c r="A806" t="s">
        <v>2409</v>
      </c>
      <c r="B806" s="2">
        <v>45704</v>
      </c>
      <c r="C806" t="s">
        <v>75</v>
      </c>
      <c r="D806" t="s">
        <v>1629</v>
      </c>
      <c r="E806">
        <v>393.9</v>
      </c>
      <c r="F806" t="s">
        <v>1578</v>
      </c>
      <c r="G806" t="s">
        <v>1131</v>
      </c>
    </row>
    <row r="807" spans="1:7">
      <c r="A807" t="s">
        <v>2410</v>
      </c>
      <c r="B807" s="2">
        <v>45704</v>
      </c>
      <c r="C807" t="s">
        <v>77</v>
      </c>
      <c r="D807" t="s">
        <v>1629</v>
      </c>
      <c r="E807">
        <v>393.9</v>
      </c>
      <c r="F807" t="s">
        <v>1578</v>
      </c>
      <c r="G807" t="s">
        <v>1131</v>
      </c>
    </row>
    <row r="808" spans="1:7">
      <c r="A808" t="s">
        <v>2411</v>
      </c>
      <c r="B808" s="2">
        <v>45704</v>
      </c>
      <c r="C808" t="s">
        <v>79</v>
      </c>
      <c r="D808" t="s">
        <v>1629</v>
      </c>
      <c r="E808">
        <v>397.8</v>
      </c>
      <c r="F808" t="s">
        <v>1578</v>
      </c>
      <c r="G808" t="s">
        <v>1131</v>
      </c>
    </row>
    <row r="809" spans="1:7">
      <c r="A809" t="s">
        <v>2412</v>
      </c>
      <c r="B809" s="2">
        <v>45704</v>
      </c>
      <c r="C809" t="s">
        <v>81</v>
      </c>
      <c r="D809" t="s">
        <v>1629</v>
      </c>
      <c r="E809">
        <v>787.8</v>
      </c>
      <c r="F809" t="s">
        <v>1578</v>
      </c>
      <c r="G809" t="s">
        <v>1131</v>
      </c>
    </row>
    <row r="810" spans="1:7">
      <c r="A810" t="s">
        <v>2413</v>
      </c>
      <c r="B810" s="2">
        <v>45704</v>
      </c>
      <c r="C810" t="s">
        <v>108</v>
      </c>
      <c r="D810" t="s">
        <v>1629</v>
      </c>
      <c r="E810">
        <v>791.7</v>
      </c>
      <c r="F810" t="s">
        <v>1578</v>
      </c>
      <c r="G810" t="s">
        <v>1131</v>
      </c>
    </row>
    <row r="811" spans="1:7">
      <c r="A811" t="s">
        <v>2414</v>
      </c>
      <c r="B811" s="2">
        <v>45704</v>
      </c>
      <c r="C811" t="s">
        <v>110</v>
      </c>
      <c r="D811" t="s">
        <v>1629</v>
      </c>
      <c r="E811">
        <v>397.8</v>
      </c>
      <c r="F811" t="s">
        <v>1578</v>
      </c>
      <c r="G811" t="s">
        <v>1131</v>
      </c>
    </row>
    <row r="812" spans="1:7">
      <c r="A812" t="s">
        <v>2415</v>
      </c>
      <c r="B812" s="2">
        <v>45704</v>
      </c>
      <c r="C812" t="s">
        <v>114</v>
      </c>
      <c r="D812" t="s">
        <v>1629</v>
      </c>
      <c r="E812">
        <v>393.9</v>
      </c>
      <c r="F812" t="s">
        <v>1578</v>
      </c>
      <c r="G812" t="s">
        <v>1131</v>
      </c>
    </row>
    <row r="813" spans="1:7">
      <c r="A813" t="s">
        <v>2416</v>
      </c>
      <c r="B813" s="2">
        <v>45704</v>
      </c>
      <c r="C813" t="s">
        <v>117</v>
      </c>
      <c r="D813" t="s">
        <v>1629</v>
      </c>
      <c r="E813">
        <v>391.95</v>
      </c>
      <c r="F813" t="s">
        <v>1578</v>
      </c>
      <c r="G813" t="s">
        <v>1131</v>
      </c>
    </row>
    <row r="814" spans="1:7">
      <c r="A814" t="s">
        <v>2417</v>
      </c>
      <c r="B814" s="2">
        <v>45704</v>
      </c>
      <c r="C814" t="s">
        <v>119</v>
      </c>
      <c r="D814" t="s">
        <v>1629</v>
      </c>
      <c r="E814">
        <v>393.9</v>
      </c>
      <c r="F814" t="s">
        <v>1578</v>
      </c>
      <c r="G814" t="s">
        <v>1131</v>
      </c>
    </row>
    <row r="815" spans="1:7">
      <c r="A815" t="s">
        <v>2418</v>
      </c>
      <c r="B815" s="2">
        <v>45704</v>
      </c>
      <c r="C815" t="s">
        <v>87</v>
      </c>
      <c r="D815" t="s">
        <v>1683</v>
      </c>
      <c r="E815">
        <v>674</v>
      </c>
      <c r="F815" t="s">
        <v>1578</v>
      </c>
      <c r="G815" t="s">
        <v>450</v>
      </c>
    </row>
    <row r="816" spans="1:7">
      <c r="A816" t="s">
        <v>2419</v>
      </c>
      <c r="B816" s="2">
        <v>45705</v>
      </c>
      <c r="C816" t="s">
        <v>75</v>
      </c>
      <c r="D816" t="s">
        <v>1629</v>
      </c>
      <c r="E816">
        <v>291.89</v>
      </c>
      <c r="F816" t="s">
        <v>1578</v>
      </c>
      <c r="G816" t="s">
        <v>1132</v>
      </c>
    </row>
    <row r="817" spans="1:7">
      <c r="A817" t="s">
        <v>2420</v>
      </c>
      <c r="B817" s="2">
        <v>45705</v>
      </c>
      <c r="C817" t="s">
        <v>104</v>
      </c>
      <c r="D817" t="s">
        <v>1629</v>
      </c>
      <c r="E817">
        <v>595.34</v>
      </c>
      <c r="F817" t="s">
        <v>1578</v>
      </c>
      <c r="G817" t="s">
        <v>1132</v>
      </c>
    </row>
    <row r="818" spans="1:7">
      <c r="A818" t="s">
        <v>2421</v>
      </c>
      <c r="B818" s="2">
        <v>45705</v>
      </c>
      <c r="C818" t="s">
        <v>108</v>
      </c>
      <c r="D818" t="s">
        <v>1629</v>
      </c>
      <c r="E818">
        <v>586.66999999999996</v>
      </c>
      <c r="F818" t="s">
        <v>1578</v>
      </c>
      <c r="G818" t="s">
        <v>1132</v>
      </c>
    </row>
    <row r="819" spans="1:7">
      <c r="A819" t="s">
        <v>2422</v>
      </c>
      <c r="B819" s="2">
        <v>45705</v>
      </c>
      <c r="C819" t="s">
        <v>110</v>
      </c>
      <c r="D819" t="s">
        <v>1629</v>
      </c>
      <c r="E819">
        <v>294.77999999999997</v>
      </c>
      <c r="F819" t="s">
        <v>1578</v>
      </c>
      <c r="G819" t="s">
        <v>1132</v>
      </c>
    </row>
    <row r="820" spans="1:7">
      <c r="A820" t="s">
        <v>2423</v>
      </c>
      <c r="B820" s="2">
        <v>45705</v>
      </c>
      <c r="C820" t="s">
        <v>114</v>
      </c>
      <c r="D820" t="s">
        <v>1629</v>
      </c>
      <c r="E820">
        <v>291.89</v>
      </c>
      <c r="F820" t="s">
        <v>1578</v>
      </c>
      <c r="G820" t="s">
        <v>1132</v>
      </c>
    </row>
    <row r="821" spans="1:7">
      <c r="A821" t="s">
        <v>2424</v>
      </c>
      <c r="B821" s="2">
        <v>45705</v>
      </c>
      <c r="C821" t="s">
        <v>117</v>
      </c>
      <c r="D821" t="s">
        <v>1629</v>
      </c>
      <c r="E821">
        <v>290.44</v>
      </c>
      <c r="F821" t="s">
        <v>1578</v>
      </c>
      <c r="G821" t="s">
        <v>1132</v>
      </c>
    </row>
    <row r="822" spans="1:7">
      <c r="A822" t="s">
        <v>2425</v>
      </c>
      <c r="B822" s="2">
        <v>45705</v>
      </c>
      <c r="C822" t="s">
        <v>119</v>
      </c>
      <c r="D822" t="s">
        <v>1629</v>
      </c>
      <c r="E822">
        <v>291.89</v>
      </c>
      <c r="F822" t="s">
        <v>1578</v>
      </c>
      <c r="G822" t="s">
        <v>1132</v>
      </c>
    </row>
    <row r="823" spans="1:7">
      <c r="A823" t="s">
        <v>2426</v>
      </c>
      <c r="B823" s="2">
        <v>45705</v>
      </c>
      <c r="C823" t="s">
        <v>61</v>
      </c>
      <c r="D823" t="s">
        <v>1629</v>
      </c>
      <c r="E823">
        <v>334.56</v>
      </c>
      <c r="F823" t="s">
        <v>1578</v>
      </c>
      <c r="G823" t="s">
        <v>1133</v>
      </c>
    </row>
    <row r="824" spans="1:7">
      <c r="A824" t="s">
        <v>2427</v>
      </c>
      <c r="B824" s="2">
        <v>45705</v>
      </c>
      <c r="C824" t="s">
        <v>65</v>
      </c>
      <c r="D824" t="s">
        <v>1629</v>
      </c>
      <c r="E824">
        <v>332.92</v>
      </c>
      <c r="F824" t="s">
        <v>1578</v>
      </c>
      <c r="G824" t="s">
        <v>1133</v>
      </c>
    </row>
    <row r="825" spans="1:7">
      <c r="A825" t="s">
        <v>2428</v>
      </c>
      <c r="B825" s="2">
        <v>45705</v>
      </c>
      <c r="C825" t="s">
        <v>68</v>
      </c>
      <c r="D825" t="s">
        <v>1629</v>
      </c>
      <c r="E825">
        <v>334.56</v>
      </c>
      <c r="F825" t="s">
        <v>1578</v>
      </c>
      <c r="G825" t="s">
        <v>1133</v>
      </c>
    </row>
    <row r="826" spans="1:7">
      <c r="A826" t="s">
        <v>2429</v>
      </c>
      <c r="B826" s="2">
        <v>45705</v>
      </c>
      <c r="C826" t="s">
        <v>70</v>
      </c>
      <c r="D826" t="s">
        <v>1629</v>
      </c>
      <c r="E826">
        <v>331.28</v>
      </c>
      <c r="F826" t="s">
        <v>1578</v>
      </c>
      <c r="G826" t="s">
        <v>1133</v>
      </c>
    </row>
    <row r="827" spans="1:7">
      <c r="A827" t="s">
        <v>2430</v>
      </c>
      <c r="B827" s="2">
        <v>45705</v>
      </c>
      <c r="C827" t="s">
        <v>75</v>
      </c>
      <c r="D827" t="s">
        <v>1629</v>
      </c>
      <c r="E827">
        <v>331.28</v>
      </c>
      <c r="F827" t="s">
        <v>1578</v>
      </c>
      <c r="G827" t="s">
        <v>1133</v>
      </c>
    </row>
    <row r="828" spans="1:7">
      <c r="A828" t="s">
        <v>2431</v>
      </c>
      <c r="B828" s="2">
        <v>45705</v>
      </c>
      <c r="C828" t="s">
        <v>77</v>
      </c>
      <c r="D828" t="s">
        <v>1629</v>
      </c>
      <c r="E828">
        <v>331.28</v>
      </c>
      <c r="F828" t="s">
        <v>1578</v>
      </c>
      <c r="G828" t="s">
        <v>1133</v>
      </c>
    </row>
    <row r="829" spans="1:7">
      <c r="A829" t="s">
        <v>2432</v>
      </c>
      <c r="B829" s="2">
        <v>45705</v>
      </c>
      <c r="C829" t="s">
        <v>79</v>
      </c>
      <c r="D829" t="s">
        <v>1629</v>
      </c>
      <c r="E829">
        <v>334.56</v>
      </c>
      <c r="F829" t="s">
        <v>1578</v>
      </c>
      <c r="G829" t="s">
        <v>1133</v>
      </c>
    </row>
    <row r="830" spans="1:7">
      <c r="A830" t="s">
        <v>2433</v>
      </c>
      <c r="B830" s="2">
        <v>45705</v>
      </c>
      <c r="C830" t="s">
        <v>81</v>
      </c>
      <c r="D830" t="s">
        <v>1629</v>
      </c>
      <c r="E830">
        <v>662.56</v>
      </c>
      <c r="F830" t="s">
        <v>1578</v>
      </c>
      <c r="G830" t="s">
        <v>1133</v>
      </c>
    </row>
    <row r="831" spans="1:7">
      <c r="A831" t="s">
        <v>2434</v>
      </c>
      <c r="B831" s="2">
        <v>45705</v>
      </c>
      <c r="C831" t="s">
        <v>108</v>
      </c>
      <c r="D831" t="s">
        <v>1629</v>
      </c>
      <c r="E831">
        <v>665.84</v>
      </c>
      <c r="F831" t="s">
        <v>1578</v>
      </c>
      <c r="G831" t="s">
        <v>1133</v>
      </c>
    </row>
    <row r="832" spans="1:7">
      <c r="A832" t="s">
        <v>2435</v>
      </c>
      <c r="B832" s="2">
        <v>45705</v>
      </c>
      <c r="C832" t="s">
        <v>110</v>
      </c>
      <c r="D832" t="s">
        <v>1629</v>
      </c>
      <c r="E832">
        <v>334.56</v>
      </c>
      <c r="F832" t="s">
        <v>1578</v>
      </c>
      <c r="G832" t="s">
        <v>1133</v>
      </c>
    </row>
    <row r="833" spans="1:7">
      <c r="A833" t="s">
        <v>2436</v>
      </c>
      <c r="B833" s="2">
        <v>45705</v>
      </c>
      <c r="C833" t="s">
        <v>114</v>
      </c>
      <c r="D833" t="s">
        <v>1629</v>
      </c>
      <c r="E833">
        <v>331.28</v>
      </c>
      <c r="F833" t="s">
        <v>1578</v>
      </c>
      <c r="G833" t="s">
        <v>1133</v>
      </c>
    </row>
    <row r="834" spans="1:7">
      <c r="A834" t="s">
        <v>2437</v>
      </c>
      <c r="B834" s="2">
        <v>45705</v>
      </c>
      <c r="C834" t="s">
        <v>117</v>
      </c>
      <c r="D834" t="s">
        <v>1629</v>
      </c>
      <c r="E834">
        <v>329.64</v>
      </c>
      <c r="F834" t="s">
        <v>1578</v>
      </c>
      <c r="G834" t="s">
        <v>1133</v>
      </c>
    </row>
    <row r="835" spans="1:7">
      <c r="A835" t="s">
        <v>2438</v>
      </c>
      <c r="B835" s="2">
        <v>45705</v>
      </c>
      <c r="C835" t="s">
        <v>119</v>
      </c>
      <c r="D835" t="s">
        <v>1629</v>
      </c>
      <c r="E835">
        <v>331.28</v>
      </c>
      <c r="F835" t="s">
        <v>1578</v>
      </c>
      <c r="G835" t="s">
        <v>1133</v>
      </c>
    </row>
    <row r="836" spans="1:7">
      <c r="A836" t="s">
        <v>2439</v>
      </c>
      <c r="B836" s="2">
        <v>45706</v>
      </c>
      <c r="C836" t="s">
        <v>61</v>
      </c>
      <c r="D836" t="s">
        <v>1629</v>
      </c>
      <c r="E836">
        <v>341.7</v>
      </c>
      <c r="F836" t="s">
        <v>1578</v>
      </c>
      <c r="G836" t="s">
        <v>1134</v>
      </c>
    </row>
    <row r="837" spans="1:7">
      <c r="A837" t="s">
        <v>2440</v>
      </c>
      <c r="B837" s="2">
        <v>45706</v>
      </c>
      <c r="C837" t="s">
        <v>65</v>
      </c>
      <c r="D837" t="s">
        <v>1629</v>
      </c>
      <c r="E837">
        <v>340.02</v>
      </c>
      <c r="F837" t="s">
        <v>1578</v>
      </c>
      <c r="G837" t="s">
        <v>1134</v>
      </c>
    </row>
    <row r="838" spans="1:7">
      <c r="A838" t="s">
        <v>2441</v>
      </c>
      <c r="B838" s="2">
        <v>45706</v>
      </c>
      <c r="C838" t="s">
        <v>68</v>
      </c>
      <c r="D838" t="s">
        <v>1629</v>
      </c>
      <c r="E838">
        <v>341.7</v>
      </c>
      <c r="F838" t="s">
        <v>1578</v>
      </c>
      <c r="G838" t="s">
        <v>1134</v>
      </c>
    </row>
    <row r="839" spans="1:7">
      <c r="A839" t="s">
        <v>2442</v>
      </c>
      <c r="B839" s="2">
        <v>45706</v>
      </c>
      <c r="C839" t="s">
        <v>75</v>
      </c>
      <c r="D839" t="s">
        <v>1629</v>
      </c>
      <c r="E839">
        <v>338.35</v>
      </c>
      <c r="F839" t="s">
        <v>1578</v>
      </c>
      <c r="G839" t="s">
        <v>1134</v>
      </c>
    </row>
    <row r="840" spans="1:7">
      <c r="A840" t="s">
        <v>2443</v>
      </c>
      <c r="B840" s="2">
        <v>45706</v>
      </c>
      <c r="C840" t="s">
        <v>79</v>
      </c>
      <c r="D840" t="s">
        <v>1629</v>
      </c>
      <c r="E840">
        <v>341.7</v>
      </c>
      <c r="F840" t="s">
        <v>1578</v>
      </c>
      <c r="G840" t="s">
        <v>1134</v>
      </c>
    </row>
    <row r="841" spans="1:7">
      <c r="A841" t="s">
        <v>2444</v>
      </c>
      <c r="B841" s="2">
        <v>45706</v>
      </c>
      <c r="C841" t="s">
        <v>81</v>
      </c>
      <c r="D841" t="s">
        <v>1629</v>
      </c>
      <c r="E841">
        <v>676.7</v>
      </c>
      <c r="F841" t="s">
        <v>1578</v>
      </c>
      <c r="G841" t="s">
        <v>1134</v>
      </c>
    </row>
    <row r="842" spans="1:7">
      <c r="A842" t="s">
        <v>2445</v>
      </c>
      <c r="B842" s="2">
        <v>45706</v>
      </c>
      <c r="C842" t="s">
        <v>97</v>
      </c>
      <c r="D842" t="s">
        <v>1629</v>
      </c>
      <c r="E842">
        <v>341.7</v>
      </c>
      <c r="F842" t="s">
        <v>1578</v>
      </c>
      <c r="G842" t="s">
        <v>1134</v>
      </c>
    </row>
    <row r="843" spans="1:7">
      <c r="A843" t="s">
        <v>2446</v>
      </c>
      <c r="B843" s="2">
        <v>45706</v>
      </c>
      <c r="C843" t="s">
        <v>110</v>
      </c>
      <c r="D843" t="s">
        <v>1629</v>
      </c>
      <c r="E843">
        <v>341.7</v>
      </c>
      <c r="F843" t="s">
        <v>1578</v>
      </c>
      <c r="G843" t="s">
        <v>1134</v>
      </c>
    </row>
    <row r="844" spans="1:7">
      <c r="A844" t="s">
        <v>2447</v>
      </c>
      <c r="B844" s="2">
        <v>45706</v>
      </c>
      <c r="C844" t="s">
        <v>114</v>
      </c>
      <c r="D844" t="s">
        <v>1629</v>
      </c>
      <c r="E844">
        <v>338.35</v>
      </c>
      <c r="F844" t="s">
        <v>1578</v>
      </c>
      <c r="G844" t="s">
        <v>1134</v>
      </c>
    </row>
    <row r="845" spans="1:7">
      <c r="A845" t="s">
        <v>2448</v>
      </c>
      <c r="B845" s="2">
        <v>45706</v>
      </c>
      <c r="C845" t="s">
        <v>117</v>
      </c>
      <c r="D845" t="s">
        <v>1629</v>
      </c>
      <c r="E845">
        <v>336.67</v>
      </c>
      <c r="F845" t="s">
        <v>1578</v>
      </c>
      <c r="G845" t="s">
        <v>1134</v>
      </c>
    </row>
    <row r="846" spans="1:7">
      <c r="A846" t="s">
        <v>2449</v>
      </c>
      <c r="B846" s="2">
        <v>45706</v>
      </c>
      <c r="C846" t="s">
        <v>119</v>
      </c>
      <c r="D846" t="s">
        <v>1629</v>
      </c>
      <c r="E846">
        <v>338.35</v>
      </c>
      <c r="F846" t="s">
        <v>1578</v>
      </c>
      <c r="G846" t="s">
        <v>1134</v>
      </c>
    </row>
    <row r="847" spans="1:7">
      <c r="A847" t="s">
        <v>2450</v>
      </c>
      <c r="B847" s="2">
        <v>45707</v>
      </c>
      <c r="C847" t="s">
        <v>61</v>
      </c>
      <c r="D847" t="s">
        <v>1629</v>
      </c>
      <c r="E847">
        <v>328.44</v>
      </c>
      <c r="F847" t="s">
        <v>1578</v>
      </c>
      <c r="G847" t="s">
        <v>1135</v>
      </c>
    </row>
    <row r="848" spans="1:7">
      <c r="A848" t="s">
        <v>2451</v>
      </c>
      <c r="B848" s="2">
        <v>45707</v>
      </c>
      <c r="C848" t="s">
        <v>65</v>
      </c>
      <c r="D848" t="s">
        <v>1629</v>
      </c>
      <c r="E848">
        <v>326.83</v>
      </c>
      <c r="F848" t="s">
        <v>1578</v>
      </c>
      <c r="G848" t="s">
        <v>1135</v>
      </c>
    </row>
    <row r="849" spans="1:7">
      <c r="A849" t="s">
        <v>2452</v>
      </c>
      <c r="B849" s="2">
        <v>45707</v>
      </c>
      <c r="C849" t="s">
        <v>75</v>
      </c>
      <c r="D849" t="s">
        <v>1629</v>
      </c>
      <c r="E849">
        <v>325.22000000000003</v>
      </c>
      <c r="F849" t="s">
        <v>1578</v>
      </c>
      <c r="G849" t="s">
        <v>1135</v>
      </c>
    </row>
    <row r="850" spans="1:7">
      <c r="A850" t="s">
        <v>2453</v>
      </c>
      <c r="B850" s="2">
        <v>45707</v>
      </c>
      <c r="C850" t="s">
        <v>79</v>
      </c>
      <c r="D850" t="s">
        <v>1629</v>
      </c>
      <c r="E850">
        <v>328.44</v>
      </c>
      <c r="F850" t="s">
        <v>1578</v>
      </c>
      <c r="G850" t="s">
        <v>1135</v>
      </c>
    </row>
    <row r="851" spans="1:7">
      <c r="A851" t="s">
        <v>2454</v>
      </c>
      <c r="B851" s="2">
        <v>45707</v>
      </c>
      <c r="C851" t="s">
        <v>81</v>
      </c>
      <c r="D851" t="s">
        <v>1629</v>
      </c>
      <c r="E851">
        <v>650.44000000000005</v>
      </c>
      <c r="F851" t="s">
        <v>1578</v>
      </c>
      <c r="G851" t="s">
        <v>1135</v>
      </c>
    </row>
    <row r="852" spans="1:7">
      <c r="A852" t="s">
        <v>2455</v>
      </c>
      <c r="B852" s="2">
        <v>45707</v>
      </c>
      <c r="C852" t="s">
        <v>84</v>
      </c>
      <c r="D852" t="s">
        <v>1629</v>
      </c>
      <c r="E852">
        <v>116.08</v>
      </c>
      <c r="F852" t="s">
        <v>1578</v>
      </c>
      <c r="G852" t="s">
        <v>1135</v>
      </c>
    </row>
    <row r="853" spans="1:7">
      <c r="A853" t="s">
        <v>2456</v>
      </c>
      <c r="B853" s="2">
        <v>45707</v>
      </c>
      <c r="C853" t="s">
        <v>89</v>
      </c>
      <c r="D853" t="s">
        <v>1629</v>
      </c>
      <c r="E853">
        <v>495.07</v>
      </c>
      <c r="F853" t="s">
        <v>1578</v>
      </c>
      <c r="G853" t="s">
        <v>1135</v>
      </c>
    </row>
    <row r="854" spans="1:7">
      <c r="A854" t="s">
        <v>2457</v>
      </c>
      <c r="B854" s="2">
        <v>45707</v>
      </c>
      <c r="C854" t="s">
        <v>110</v>
      </c>
      <c r="D854" t="s">
        <v>1629</v>
      </c>
      <c r="E854">
        <v>328.44</v>
      </c>
      <c r="F854" t="s">
        <v>1578</v>
      </c>
      <c r="G854" t="s">
        <v>1135</v>
      </c>
    </row>
    <row r="855" spans="1:7">
      <c r="A855" t="s">
        <v>2458</v>
      </c>
      <c r="B855" s="2">
        <v>45707</v>
      </c>
      <c r="C855" t="s">
        <v>114</v>
      </c>
      <c r="D855" t="s">
        <v>1629</v>
      </c>
      <c r="E855">
        <v>325.22000000000003</v>
      </c>
      <c r="F855" t="s">
        <v>1578</v>
      </c>
      <c r="G855" t="s">
        <v>1135</v>
      </c>
    </row>
    <row r="856" spans="1:7">
      <c r="A856" t="s">
        <v>2459</v>
      </c>
      <c r="B856" s="2">
        <v>45707</v>
      </c>
      <c r="C856" t="s">
        <v>117</v>
      </c>
      <c r="D856" t="s">
        <v>1629</v>
      </c>
      <c r="E856">
        <v>323.61</v>
      </c>
      <c r="F856" t="s">
        <v>1578</v>
      </c>
      <c r="G856" t="s">
        <v>1135</v>
      </c>
    </row>
    <row r="857" spans="1:7">
      <c r="A857" t="s">
        <v>2460</v>
      </c>
      <c r="B857" s="2">
        <v>45707</v>
      </c>
      <c r="C857" t="s">
        <v>119</v>
      </c>
      <c r="D857" t="s">
        <v>1629</v>
      </c>
      <c r="E857">
        <v>325.22000000000003</v>
      </c>
      <c r="F857" t="s">
        <v>1578</v>
      </c>
      <c r="G857" t="s">
        <v>1135</v>
      </c>
    </row>
    <row r="858" spans="1:7">
      <c r="A858" t="s">
        <v>2461</v>
      </c>
      <c r="B858" s="2">
        <v>45707</v>
      </c>
      <c r="C858" t="s">
        <v>75</v>
      </c>
      <c r="D858" t="s">
        <v>1629</v>
      </c>
      <c r="E858">
        <v>329.26</v>
      </c>
      <c r="F858" t="s">
        <v>1578</v>
      </c>
      <c r="G858" t="s">
        <v>1136</v>
      </c>
    </row>
    <row r="859" spans="1:7">
      <c r="A859" t="s">
        <v>2462</v>
      </c>
      <c r="B859" s="2">
        <v>45707</v>
      </c>
      <c r="C859" t="s">
        <v>91</v>
      </c>
      <c r="D859" t="s">
        <v>1629</v>
      </c>
      <c r="E859">
        <v>334.15</v>
      </c>
      <c r="F859" t="s">
        <v>1578</v>
      </c>
      <c r="G859" t="s">
        <v>1136</v>
      </c>
    </row>
    <row r="860" spans="1:7">
      <c r="A860" t="s">
        <v>2463</v>
      </c>
      <c r="B860" s="2">
        <v>45707</v>
      </c>
      <c r="C860" t="s">
        <v>93</v>
      </c>
      <c r="D860" t="s">
        <v>1629</v>
      </c>
      <c r="E860">
        <v>332.52</v>
      </c>
      <c r="F860" t="s">
        <v>1578</v>
      </c>
      <c r="G860" t="s">
        <v>1136</v>
      </c>
    </row>
    <row r="861" spans="1:7">
      <c r="A861" t="s">
        <v>2464</v>
      </c>
      <c r="B861" s="2">
        <v>45707</v>
      </c>
      <c r="C861" t="s">
        <v>95</v>
      </c>
      <c r="D861" t="s">
        <v>1629</v>
      </c>
      <c r="E861">
        <v>330.89</v>
      </c>
      <c r="F861" t="s">
        <v>1578</v>
      </c>
      <c r="G861" t="s">
        <v>1136</v>
      </c>
    </row>
    <row r="862" spans="1:7">
      <c r="A862" t="s">
        <v>2465</v>
      </c>
      <c r="B862" s="2">
        <v>45707</v>
      </c>
      <c r="C862" t="s">
        <v>97</v>
      </c>
      <c r="D862" t="s">
        <v>1629</v>
      </c>
      <c r="E862">
        <v>329.26</v>
      </c>
      <c r="F862" t="s">
        <v>1578</v>
      </c>
      <c r="G862" t="s">
        <v>1136</v>
      </c>
    </row>
    <row r="863" spans="1:7">
      <c r="A863" t="s">
        <v>2466</v>
      </c>
      <c r="B863" s="2">
        <v>45707</v>
      </c>
      <c r="C863" t="s">
        <v>99</v>
      </c>
      <c r="D863" t="s">
        <v>1629</v>
      </c>
      <c r="E863">
        <v>402.94</v>
      </c>
      <c r="F863" t="s">
        <v>1578</v>
      </c>
      <c r="G863" t="s">
        <v>1136</v>
      </c>
    </row>
    <row r="864" spans="1:7">
      <c r="A864" t="s">
        <v>2467</v>
      </c>
      <c r="B864" s="2">
        <v>45707</v>
      </c>
      <c r="C864" t="s">
        <v>102</v>
      </c>
      <c r="D864" t="s">
        <v>1629</v>
      </c>
      <c r="E864">
        <v>332.52</v>
      </c>
      <c r="F864" t="s">
        <v>1578</v>
      </c>
      <c r="G864" t="s">
        <v>1136</v>
      </c>
    </row>
    <row r="865" spans="1:7">
      <c r="A865" t="s">
        <v>2468</v>
      </c>
      <c r="B865" s="2">
        <v>45707</v>
      </c>
      <c r="C865" t="s">
        <v>108</v>
      </c>
      <c r="D865" t="s">
        <v>1629</v>
      </c>
      <c r="E865">
        <v>661.78</v>
      </c>
      <c r="F865" t="s">
        <v>1578</v>
      </c>
      <c r="G865" t="s">
        <v>1136</v>
      </c>
    </row>
    <row r="866" spans="1:7">
      <c r="A866" t="s">
        <v>2469</v>
      </c>
      <c r="B866" s="2">
        <v>45707</v>
      </c>
      <c r="C866" t="s">
        <v>110</v>
      </c>
      <c r="D866" t="s">
        <v>1629</v>
      </c>
      <c r="E866">
        <v>332.52</v>
      </c>
      <c r="F866" t="s">
        <v>1578</v>
      </c>
      <c r="G866" t="s">
        <v>1136</v>
      </c>
    </row>
    <row r="867" spans="1:7">
      <c r="A867" t="s">
        <v>2470</v>
      </c>
      <c r="B867" s="2">
        <v>45707</v>
      </c>
      <c r="C867" t="s">
        <v>114</v>
      </c>
      <c r="D867" t="s">
        <v>1629</v>
      </c>
      <c r="E867">
        <v>329.26</v>
      </c>
      <c r="F867" t="s">
        <v>1578</v>
      </c>
      <c r="G867" t="s">
        <v>1136</v>
      </c>
    </row>
    <row r="868" spans="1:7">
      <c r="A868" t="s">
        <v>2471</v>
      </c>
      <c r="B868" s="2">
        <v>45707</v>
      </c>
      <c r="C868" t="s">
        <v>117</v>
      </c>
      <c r="D868" t="s">
        <v>1629</v>
      </c>
      <c r="E868">
        <v>327.63</v>
      </c>
      <c r="F868" t="s">
        <v>1578</v>
      </c>
      <c r="G868" t="s">
        <v>1136</v>
      </c>
    </row>
    <row r="869" spans="1:7">
      <c r="A869" t="s">
        <v>2472</v>
      </c>
      <c r="B869" s="2">
        <v>45707</v>
      </c>
      <c r="C869" t="s">
        <v>119</v>
      </c>
      <c r="D869" t="s">
        <v>1629</v>
      </c>
      <c r="E869">
        <v>329.26</v>
      </c>
      <c r="F869" t="s">
        <v>1578</v>
      </c>
      <c r="G869" t="s">
        <v>1136</v>
      </c>
    </row>
    <row r="870" spans="1:7">
      <c r="A870" t="s">
        <v>2473</v>
      </c>
      <c r="B870" s="2">
        <v>45707</v>
      </c>
      <c r="C870" t="s">
        <v>89</v>
      </c>
      <c r="D870" t="s">
        <v>1683</v>
      </c>
      <c r="E870">
        <v>135</v>
      </c>
      <c r="F870" t="s">
        <v>1578</v>
      </c>
      <c r="G870" t="s">
        <v>453</v>
      </c>
    </row>
    <row r="871" spans="1:7">
      <c r="A871" t="s">
        <v>2474</v>
      </c>
      <c r="B871" s="2">
        <v>45708</v>
      </c>
      <c r="C871" t="s">
        <v>61</v>
      </c>
      <c r="D871" t="s">
        <v>1629</v>
      </c>
      <c r="E871">
        <v>410.04</v>
      </c>
      <c r="F871" t="s">
        <v>1578</v>
      </c>
      <c r="G871" t="s">
        <v>1137</v>
      </c>
    </row>
    <row r="872" spans="1:7">
      <c r="A872" t="s">
        <v>2475</v>
      </c>
      <c r="B872" s="2">
        <v>45708</v>
      </c>
      <c r="C872" t="s">
        <v>65</v>
      </c>
      <c r="D872" t="s">
        <v>1629</v>
      </c>
      <c r="E872">
        <v>408.03</v>
      </c>
      <c r="F872" t="s">
        <v>1578</v>
      </c>
      <c r="G872" t="s">
        <v>1137</v>
      </c>
    </row>
    <row r="873" spans="1:7">
      <c r="A873" t="s">
        <v>2476</v>
      </c>
      <c r="B873" s="2">
        <v>45708</v>
      </c>
      <c r="C873" t="s">
        <v>68</v>
      </c>
      <c r="D873" t="s">
        <v>1629</v>
      </c>
      <c r="E873">
        <v>410.04</v>
      </c>
      <c r="F873" t="s">
        <v>1578</v>
      </c>
      <c r="G873" t="s">
        <v>1137</v>
      </c>
    </row>
    <row r="874" spans="1:7">
      <c r="A874" t="s">
        <v>2477</v>
      </c>
      <c r="B874" s="2">
        <v>45708</v>
      </c>
      <c r="C874" t="s">
        <v>70</v>
      </c>
      <c r="D874" t="s">
        <v>1629</v>
      </c>
      <c r="E874">
        <v>406.02</v>
      </c>
      <c r="F874" t="s">
        <v>1578</v>
      </c>
      <c r="G874" t="s">
        <v>1137</v>
      </c>
    </row>
    <row r="875" spans="1:7">
      <c r="A875" t="s">
        <v>2478</v>
      </c>
      <c r="B875" s="2">
        <v>45708</v>
      </c>
      <c r="C875" t="s">
        <v>75</v>
      </c>
      <c r="D875" t="s">
        <v>1629</v>
      </c>
      <c r="E875">
        <v>406.02</v>
      </c>
      <c r="F875" t="s">
        <v>1578</v>
      </c>
      <c r="G875" t="s">
        <v>1137</v>
      </c>
    </row>
    <row r="876" spans="1:7">
      <c r="A876" t="s">
        <v>2479</v>
      </c>
      <c r="B876" s="2">
        <v>45708</v>
      </c>
      <c r="C876" t="s">
        <v>77</v>
      </c>
      <c r="D876" t="s">
        <v>1629</v>
      </c>
      <c r="E876">
        <v>406.02</v>
      </c>
      <c r="F876" t="s">
        <v>1578</v>
      </c>
      <c r="G876" t="s">
        <v>1137</v>
      </c>
    </row>
    <row r="877" spans="1:7">
      <c r="A877" t="s">
        <v>2480</v>
      </c>
      <c r="B877" s="2">
        <v>45708</v>
      </c>
      <c r="C877" t="s">
        <v>79</v>
      </c>
      <c r="D877" t="s">
        <v>1629</v>
      </c>
      <c r="E877">
        <v>410.04</v>
      </c>
      <c r="F877" t="s">
        <v>1578</v>
      </c>
      <c r="G877" t="s">
        <v>1137</v>
      </c>
    </row>
    <row r="878" spans="1:7">
      <c r="A878" t="s">
        <v>2481</v>
      </c>
      <c r="B878" s="2">
        <v>45708</v>
      </c>
      <c r="C878" t="s">
        <v>81</v>
      </c>
      <c r="D878" t="s">
        <v>1629</v>
      </c>
      <c r="E878">
        <v>812.04</v>
      </c>
      <c r="F878" t="s">
        <v>1578</v>
      </c>
      <c r="G878" t="s">
        <v>1137</v>
      </c>
    </row>
    <row r="879" spans="1:7">
      <c r="A879" t="s">
        <v>2482</v>
      </c>
      <c r="B879" s="2">
        <v>45708</v>
      </c>
      <c r="C879" t="s">
        <v>110</v>
      </c>
      <c r="D879" t="s">
        <v>1629</v>
      </c>
      <c r="E879">
        <v>410.04</v>
      </c>
      <c r="F879" t="s">
        <v>1578</v>
      </c>
      <c r="G879" t="s">
        <v>1137</v>
      </c>
    </row>
    <row r="880" spans="1:7">
      <c r="A880" t="s">
        <v>2483</v>
      </c>
      <c r="B880" s="2">
        <v>45708</v>
      </c>
      <c r="C880" t="s">
        <v>114</v>
      </c>
      <c r="D880" t="s">
        <v>1629</v>
      </c>
      <c r="E880">
        <v>406.02</v>
      </c>
      <c r="F880" t="s">
        <v>1578</v>
      </c>
      <c r="G880" t="s">
        <v>1137</v>
      </c>
    </row>
    <row r="881" spans="1:7">
      <c r="A881" t="s">
        <v>2484</v>
      </c>
      <c r="B881" s="2">
        <v>45708</v>
      </c>
      <c r="C881" t="s">
        <v>117</v>
      </c>
      <c r="D881" t="s">
        <v>1629</v>
      </c>
      <c r="E881">
        <v>404.01</v>
      </c>
      <c r="F881" t="s">
        <v>1578</v>
      </c>
      <c r="G881" t="s">
        <v>1137</v>
      </c>
    </row>
    <row r="882" spans="1:7">
      <c r="A882" t="s">
        <v>2485</v>
      </c>
      <c r="B882" s="2">
        <v>45708</v>
      </c>
      <c r="C882" t="s">
        <v>119</v>
      </c>
      <c r="D882" t="s">
        <v>1629</v>
      </c>
      <c r="E882">
        <v>406.02</v>
      </c>
      <c r="F882" t="s">
        <v>1578</v>
      </c>
      <c r="G882" t="s">
        <v>1137</v>
      </c>
    </row>
    <row r="883" spans="1:7">
      <c r="A883" t="s">
        <v>2486</v>
      </c>
      <c r="B883" s="2">
        <v>45708</v>
      </c>
      <c r="C883" t="s">
        <v>102</v>
      </c>
      <c r="D883" t="s">
        <v>1683</v>
      </c>
      <c r="E883">
        <v>393</v>
      </c>
      <c r="F883" t="s">
        <v>1578</v>
      </c>
      <c r="G883" t="s">
        <v>455</v>
      </c>
    </row>
    <row r="884" spans="1:7">
      <c r="A884" t="s">
        <v>2487</v>
      </c>
      <c r="B884" s="2">
        <v>45708</v>
      </c>
      <c r="C884" t="s">
        <v>70</v>
      </c>
      <c r="D884" t="s">
        <v>1683</v>
      </c>
      <c r="E884">
        <v>276</v>
      </c>
      <c r="F884" t="s">
        <v>1578</v>
      </c>
      <c r="G884" t="s">
        <v>456</v>
      </c>
    </row>
    <row r="885" spans="1:7">
      <c r="A885" t="s">
        <v>2488</v>
      </c>
      <c r="B885" s="2">
        <v>45708</v>
      </c>
      <c r="C885" t="s">
        <v>102</v>
      </c>
      <c r="D885" t="s">
        <v>1683</v>
      </c>
      <c r="E885">
        <v>93</v>
      </c>
      <c r="F885" t="s">
        <v>1578</v>
      </c>
      <c r="G885" t="s">
        <v>457</v>
      </c>
    </row>
    <row r="886" spans="1:7">
      <c r="A886" t="s">
        <v>2489</v>
      </c>
      <c r="B886" s="2">
        <v>45709</v>
      </c>
      <c r="C886" t="s">
        <v>117</v>
      </c>
      <c r="D886" t="s">
        <v>1683</v>
      </c>
      <c r="E886">
        <v>121</v>
      </c>
      <c r="F886" t="s">
        <v>1578</v>
      </c>
      <c r="G886" t="s">
        <v>458</v>
      </c>
    </row>
    <row r="887" spans="1:7">
      <c r="A887" t="s">
        <v>2490</v>
      </c>
      <c r="B887" s="2">
        <v>45709</v>
      </c>
      <c r="C887" t="s">
        <v>84</v>
      </c>
      <c r="D887" t="s">
        <v>1683</v>
      </c>
      <c r="E887">
        <v>262</v>
      </c>
      <c r="F887" t="s">
        <v>1578</v>
      </c>
      <c r="G887" t="s">
        <v>459</v>
      </c>
    </row>
    <row r="888" spans="1:7">
      <c r="A888" t="s">
        <v>2491</v>
      </c>
      <c r="B888" s="2">
        <v>45710</v>
      </c>
      <c r="C888" t="s">
        <v>75</v>
      </c>
      <c r="D888" t="s">
        <v>1629</v>
      </c>
      <c r="E888">
        <v>248.46</v>
      </c>
      <c r="F888" t="s">
        <v>1578</v>
      </c>
      <c r="G888" t="s">
        <v>1138</v>
      </c>
    </row>
    <row r="889" spans="1:7">
      <c r="A889" t="s">
        <v>2492</v>
      </c>
      <c r="B889" s="2">
        <v>45710</v>
      </c>
      <c r="C889" t="s">
        <v>106</v>
      </c>
      <c r="D889" t="s">
        <v>1629</v>
      </c>
      <c r="E889">
        <v>253.38</v>
      </c>
      <c r="F889" t="s">
        <v>1578</v>
      </c>
      <c r="G889" t="s">
        <v>1138</v>
      </c>
    </row>
    <row r="890" spans="1:7">
      <c r="A890" t="s">
        <v>2493</v>
      </c>
      <c r="B890" s="2">
        <v>45710</v>
      </c>
      <c r="C890" t="s">
        <v>108</v>
      </c>
      <c r="D890" t="s">
        <v>1629</v>
      </c>
      <c r="E890">
        <v>499.38</v>
      </c>
      <c r="F890" t="s">
        <v>1578</v>
      </c>
      <c r="G890" t="s">
        <v>1138</v>
      </c>
    </row>
    <row r="891" spans="1:7">
      <c r="A891" t="s">
        <v>2494</v>
      </c>
      <c r="B891" s="2">
        <v>45710</v>
      </c>
      <c r="C891" t="s">
        <v>110</v>
      </c>
      <c r="D891" t="s">
        <v>1629</v>
      </c>
      <c r="E891">
        <v>250.92</v>
      </c>
      <c r="F891" t="s">
        <v>1578</v>
      </c>
      <c r="G891" t="s">
        <v>1138</v>
      </c>
    </row>
    <row r="892" spans="1:7">
      <c r="A892" t="s">
        <v>2495</v>
      </c>
      <c r="B892" s="2">
        <v>45710</v>
      </c>
      <c r="C892" t="s">
        <v>114</v>
      </c>
      <c r="D892" t="s">
        <v>1629</v>
      </c>
      <c r="E892">
        <v>248.46</v>
      </c>
      <c r="F892" t="s">
        <v>1578</v>
      </c>
      <c r="G892" t="s">
        <v>1138</v>
      </c>
    </row>
    <row r="893" spans="1:7">
      <c r="A893" t="s">
        <v>2496</v>
      </c>
      <c r="B893" s="2">
        <v>45710</v>
      </c>
      <c r="C893" t="s">
        <v>117</v>
      </c>
      <c r="D893" t="s">
        <v>1629</v>
      </c>
      <c r="E893">
        <v>247.23</v>
      </c>
      <c r="F893" t="s">
        <v>1578</v>
      </c>
      <c r="G893" t="s">
        <v>1138</v>
      </c>
    </row>
    <row r="894" spans="1:7">
      <c r="A894" t="s">
        <v>2497</v>
      </c>
      <c r="B894" s="2">
        <v>45710</v>
      </c>
      <c r="C894" t="s">
        <v>119</v>
      </c>
      <c r="D894" t="s">
        <v>1629</v>
      </c>
      <c r="E894">
        <v>248.46</v>
      </c>
      <c r="F894" t="s">
        <v>1578</v>
      </c>
      <c r="G894" t="s">
        <v>1138</v>
      </c>
    </row>
    <row r="895" spans="1:7">
      <c r="A895" t="s">
        <v>2498</v>
      </c>
      <c r="B895" s="2">
        <v>45710</v>
      </c>
      <c r="C895" t="s">
        <v>65</v>
      </c>
      <c r="D895" t="s">
        <v>1683</v>
      </c>
      <c r="E895">
        <v>192</v>
      </c>
      <c r="F895" t="s">
        <v>1578</v>
      </c>
      <c r="G895" t="s">
        <v>460</v>
      </c>
    </row>
    <row r="896" spans="1:7">
      <c r="A896" t="s">
        <v>2499</v>
      </c>
      <c r="B896" s="2">
        <v>45710</v>
      </c>
      <c r="C896" t="s">
        <v>114</v>
      </c>
      <c r="D896" t="s">
        <v>1683</v>
      </c>
      <c r="E896">
        <v>170</v>
      </c>
      <c r="F896" t="s">
        <v>1578</v>
      </c>
      <c r="G896" t="s">
        <v>461</v>
      </c>
    </row>
    <row r="897" spans="1:7">
      <c r="A897" t="s">
        <v>2500</v>
      </c>
      <c r="B897" s="2">
        <v>45710</v>
      </c>
      <c r="C897" t="s">
        <v>117</v>
      </c>
      <c r="D897" t="s">
        <v>1683</v>
      </c>
      <c r="E897">
        <v>115</v>
      </c>
      <c r="F897" t="s">
        <v>1578</v>
      </c>
      <c r="G897" t="s">
        <v>462</v>
      </c>
    </row>
    <row r="898" spans="1:7">
      <c r="A898" t="s">
        <v>2501</v>
      </c>
      <c r="B898" s="2">
        <v>45711</v>
      </c>
      <c r="C898" t="s">
        <v>95</v>
      </c>
      <c r="D898" t="s">
        <v>1683</v>
      </c>
      <c r="E898">
        <v>278</v>
      </c>
      <c r="F898" t="s">
        <v>1578</v>
      </c>
      <c r="G898" t="s">
        <v>463</v>
      </c>
    </row>
    <row r="899" spans="1:7">
      <c r="A899" t="s">
        <v>2502</v>
      </c>
      <c r="B899" s="2">
        <v>45712</v>
      </c>
      <c r="C899" t="s">
        <v>61</v>
      </c>
      <c r="D899" t="s">
        <v>1629</v>
      </c>
      <c r="E899">
        <v>87.72</v>
      </c>
      <c r="F899" t="s">
        <v>1578</v>
      </c>
      <c r="G899" t="s">
        <v>1139</v>
      </c>
    </row>
    <row r="900" spans="1:7">
      <c r="A900" t="s">
        <v>2503</v>
      </c>
      <c r="B900" s="2">
        <v>45712</v>
      </c>
      <c r="C900" t="s">
        <v>65</v>
      </c>
      <c r="D900" t="s">
        <v>1629</v>
      </c>
      <c r="E900">
        <v>87.29</v>
      </c>
      <c r="F900" t="s">
        <v>1578</v>
      </c>
      <c r="G900" t="s">
        <v>1139</v>
      </c>
    </row>
    <row r="901" spans="1:7">
      <c r="A901" t="s">
        <v>2504</v>
      </c>
      <c r="B901" s="2">
        <v>45712</v>
      </c>
      <c r="C901" t="s">
        <v>68</v>
      </c>
      <c r="D901" t="s">
        <v>1629</v>
      </c>
      <c r="E901">
        <v>87.72</v>
      </c>
      <c r="F901" t="s">
        <v>1578</v>
      </c>
      <c r="G901" t="s">
        <v>1139</v>
      </c>
    </row>
    <row r="902" spans="1:7">
      <c r="A902" t="s">
        <v>2505</v>
      </c>
      <c r="B902" s="2">
        <v>45712</v>
      </c>
      <c r="C902" t="s">
        <v>70</v>
      </c>
      <c r="D902" t="s">
        <v>1629</v>
      </c>
      <c r="E902">
        <v>86.86</v>
      </c>
      <c r="F902" t="s">
        <v>1578</v>
      </c>
      <c r="G902" t="s">
        <v>1139</v>
      </c>
    </row>
    <row r="903" spans="1:7">
      <c r="A903" t="s">
        <v>2506</v>
      </c>
      <c r="B903" s="2">
        <v>45712</v>
      </c>
      <c r="C903" t="s">
        <v>75</v>
      </c>
      <c r="D903" t="s">
        <v>1629</v>
      </c>
      <c r="E903">
        <v>86.86</v>
      </c>
      <c r="F903" t="s">
        <v>1578</v>
      </c>
      <c r="G903" t="s">
        <v>1139</v>
      </c>
    </row>
    <row r="904" spans="1:7">
      <c r="A904" t="s">
        <v>2507</v>
      </c>
      <c r="B904" s="2">
        <v>45712</v>
      </c>
      <c r="C904" t="s">
        <v>77</v>
      </c>
      <c r="D904" t="s">
        <v>1629</v>
      </c>
      <c r="E904">
        <v>86.86</v>
      </c>
      <c r="F904" t="s">
        <v>1578</v>
      </c>
      <c r="G904" t="s">
        <v>1139</v>
      </c>
    </row>
    <row r="905" spans="1:7">
      <c r="A905" t="s">
        <v>2508</v>
      </c>
      <c r="B905" s="2">
        <v>45712</v>
      </c>
      <c r="C905" t="s">
        <v>79</v>
      </c>
      <c r="D905" t="s">
        <v>1629</v>
      </c>
      <c r="E905">
        <v>87.72</v>
      </c>
      <c r="F905" t="s">
        <v>1578</v>
      </c>
      <c r="G905" t="s">
        <v>1139</v>
      </c>
    </row>
    <row r="906" spans="1:7">
      <c r="A906" t="s">
        <v>2509</v>
      </c>
      <c r="B906" s="2">
        <v>45712</v>
      </c>
      <c r="C906" t="s">
        <v>81</v>
      </c>
      <c r="D906" t="s">
        <v>1629</v>
      </c>
      <c r="E906">
        <v>173.72</v>
      </c>
      <c r="F906" t="s">
        <v>1578</v>
      </c>
      <c r="G906" t="s">
        <v>1139</v>
      </c>
    </row>
    <row r="907" spans="1:7">
      <c r="A907" t="s">
        <v>2510</v>
      </c>
      <c r="B907" s="2">
        <v>45712</v>
      </c>
      <c r="C907" t="s">
        <v>110</v>
      </c>
      <c r="D907" t="s">
        <v>1629</v>
      </c>
      <c r="E907">
        <v>87.72</v>
      </c>
      <c r="F907" t="s">
        <v>1578</v>
      </c>
      <c r="G907" t="s">
        <v>1139</v>
      </c>
    </row>
    <row r="908" spans="1:7">
      <c r="A908" t="s">
        <v>2511</v>
      </c>
      <c r="B908" s="2">
        <v>45712</v>
      </c>
      <c r="C908" t="s">
        <v>114</v>
      </c>
      <c r="D908" t="s">
        <v>1629</v>
      </c>
      <c r="E908">
        <v>86.86</v>
      </c>
      <c r="F908" t="s">
        <v>1578</v>
      </c>
      <c r="G908" t="s">
        <v>1139</v>
      </c>
    </row>
    <row r="909" spans="1:7">
      <c r="A909" t="s">
        <v>2512</v>
      </c>
      <c r="B909" s="2">
        <v>45712</v>
      </c>
      <c r="C909" t="s">
        <v>117</v>
      </c>
      <c r="D909" t="s">
        <v>1629</v>
      </c>
      <c r="E909">
        <v>86.43</v>
      </c>
      <c r="F909" t="s">
        <v>1578</v>
      </c>
      <c r="G909" t="s">
        <v>1139</v>
      </c>
    </row>
    <row r="910" spans="1:7">
      <c r="A910" t="s">
        <v>2513</v>
      </c>
      <c r="B910" s="2">
        <v>45712</v>
      </c>
      <c r="C910" t="s">
        <v>119</v>
      </c>
      <c r="D910" t="s">
        <v>1629</v>
      </c>
      <c r="E910">
        <v>86.86</v>
      </c>
      <c r="F910" t="s">
        <v>1578</v>
      </c>
      <c r="G910" t="s">
        <v>1139</v>
      </c>
    </row>
    <row r="911" spans="1:7">
      <c r="A911" t="s">
        <v>2514</v>
      </c>
      <c r="B911" s="2">
        <v>45712</v>
      </c>
      <c r="C911" t="s">
        <v>61</v>
      </c>
      <c r="D911" t="s">
        <v>1629</v>
      </c>
      <c r="E911">
        <v>327.42</v>
      </c>
      <c r="F911" t="s">
        <v>1578</v>
      </c>
      <c r="G911" t="s">
        <v>1140</v>
      </c>
    </row>
    <row r="912" spans="1:7">
      <c r="A912" t="s">
        <v>2515</v>
      </c>
      <c r="B912" s="2">
        <v>45712</v>
      </c>
      <c r="C912" t="s">
        <v>65</v>
      </c>
      <c r="D912" t="s">
        <v>1629</v>
      </c>
      <c r="E912">
        <v>325.81</v>
      </c>
      <c r="F912" t="s">
        <v>1578</v>
      </c>
      <c r="G912" t="s">
        <v>1140</v>
      </c>
    </row>
    <row r="913" spans="1:7">
      <c r="A913" t="s">
        <v>2516</v>
      </c>
      <c r="B913" s="2">
        <v>45712</v>
      </c>
      <c r="C913" t="s">
        <v>75</v>
      </c>
      <c r="D913" t="s">
        <v>1629</v>
      </c>
      <c r="E913">
        <v>324.20999999999998</v>
      </c>
      <c r="F913" t="s">
        <v>1578</v>
      </c>
      <c r="G913" t="s">
        <v>1140</v>
      </c>
    </row>
    <row r="914" spans="1:7">
      <c r="A914" t="s">
        <v>2517</v>
      </c>
      <c r="B914" s="2">
        <v>45712</v>
      </c>
      <c r="C914" t="s">
        <v>79</v>
      </c>
      <c r="D914" t="s">
        <v>1629</v>
      </c>
      <c r="E914">
        <v>327.42</v>
      </c>
      <c r="F914" t="s">
        <v>1578</v>
      </c>
      <c r="G914" t="s">
        <v>1140</v>
      </c>
    </row>
    <row r="915" spans="1:7">
      <c r="A915" t="s">
        <v>2518</v>
      </c>
      <c r="B915" s="2">
        <v>45712</v>
      </c>
      <c r="C915" t="s">
        <v>81</v>
      </c>
      <c r="D915" t="s">
        <v>1629</v>
      </c>
      <c r="E915">
        <v>648.41999999999996</v>
      </c>
      <c r="F915" t="s">
        <v>1578</v>
      </c>
      <c r="G915" t="s">
        <v>1140</v>
      </c>
    </row>
    <row r="916" spans="1:7">
      <c r="A916" t="s">
        <v>2519</v>
      </c>
      <c r="B916" s="2">
        <v>45712</v>
      </c>
      <c r="C916" t="s">
        <v>84</v>
      </c>
      <c r="D916" t="s">
        <v>1629</v>
      </c>
      <c r="E916">
        <v>115.72</v>
      </c>
      <c r="F916" t="s">
        <v>1578</v>
      </c>
      <c r="G916" t="s">
        <v>1140</v>
      </c>
    </row>
    <row r="917" spans="1:7">
      <c r="A917" t="s">
        <v>2520</v>
      </c>
      <c r="B917" s="2">
        <v>45712</v>
      </c>
      <c r="C917" t="s">
        <v>89</v>
      </c>
      <c r="D917" t="s">
        <v>1629</v>
      </c>
      <c r="E917">
        <v>493.54</v>
      </c>
      <c r="F917" t="s">
        <v>1578</v>
      </c>
      <c r="G917" t="s">
        <v>1140</v>
      </c>
    </row>
    <row r="918" spans="1:7">
      <c r="A918" t="s">
        <v>2521</v>
      </c>
      <c r="B918" s="2">
        <v>45712</v>
      </c>
      <c r="C918" t="s">
        <v>110</v>
      </c>
      <c r="D918" t="s">
        <v>1629</v>
      </c>
      <c r="E918">
        <v>327.42</v>
      </c>
      <c r="F918" t="s">
        <v>1578</v>
      </c>
      <c r="G918" t="s">
        <v>1140</v>
      </c>
    </row>
    <row r="919" spans="1:7">
      <c r="A919" t="s">
        <v>2522</v>
      </c>
      <c r="B919" s="2">
        <v>45712</v>
      </c>
      <c r="C919" t="s">
        <v>114</v>
      </c>
      <c r="D919" t="s">
        <v>1629</v>
      </c>
      <c r="E919">
        <v>324.20999999999998</v>
      </c>
      <c r="F919" t="s">
        <v>1578</v>
      </c>
      <c r="G919" t="s">
        <v>1140</v>
      </c>
    </row>
    <row r="920" spans="1:7">
      <c r="A920" t="s">
        <v>2523</v>
      </c>
      <c r="B920" s="2">
        <v>45712</v>
      </c>
      <c r="C920" t="s">
        <v>117</v>
      </c>
      <c r="D920" t="s">
        <v>1629</v>
      </c>
      <c r="E920">
        <v>322.60000000000002</v>
      </c>
      <c r="F920" t="s">
        <v>1578</v>
      </c>
      <c r="G920" t="s">
        <v>1140</v>
      </c>
    </row>
    <row r="921" spans="1:7">
      <c r="A921" t="s">
        <v>2524</v>
      </c>
      <c r="B921" s="2">
        <v>45712</v>
      </c>
      <c r="C921" t="s">
        <v>119</v>
      </c>
      <c r="D921" t="s">
        <v>1629</v>
      </c>
      <c r="E921">
        <v>324.20999999999998</v>
      </c>
      <c r="F921" t="s">
        <v>1578</v>
      </c>
      <c r="G921" t="s">
        <v>1140</v>
      </c>
    </row>
    <row r="922" spans="1:7">
      <c r="A922" t="s">
        <v>2525</v>
      </c>
      <c r="B922" s="2">
        <v>45712</v>
      </c>
      <c r="C922" t="s">
        <v>61</v>
      </c>
      <c r="D922" t="s">
        <v>1629</v>
      </c>
      <c r="E922">
        <v>313.14</v>
      </c>
      <c r="F922" t="s">
        <v>1578</v>
      </c>
      <c r="G922" t="s">
        <v>1141</v>
      </c>
    </row>
    <row r="923" spans="1:7">
      <c r="A923" t="s">
        <v>2526</v>
      </c>
      <c r="B923" s="2">
        <v>45712</v>
      </c>
      <c r="C923" t="s">
        <v>65</v>
      </c>
      <c r="D923" t="s">
        <v>1629</v>
      </c>
      <c r="E923">
        <v>311.60000000000002</v>
      </c>
      <c r="F923" t="s">
        <v>1578</v>
      </c>
      <c r="G923" t="s">
        <v>1141</v>
      </c>
    </row>
    <row r="924" spans="1:7">
      <c r="A924" t="s">
        <v>2527</v>
      </c>
      <c r="B924" s="2">
        <v>45712</v>
      </c>
      <c r="C924" t="s">
        <v>75</v>
      </c>
      <c r="D924" t="s">
        <v>1629</v>
      </c>
      <c r="E924">
        <v>310.07</v>
      </c>
      <c r="F924" t="s">
        <v>1578</v>
      </c>
      <c r="G924" t="s">
        <v>1141</v>
      </c>
    </row>
    <row r="925" spans="1:7">
      <c r="A925" t="s">
        <v>2528</v>
      </c>
      <c r="B925" s="2">
        <v>45712</v>
      </c>
      <c r="C925" t="s">
        <v>79</v>
      </c>
      <c r="D925" t="s">
        <v>1629</v>
      </c>
      <c r="E925">
        <v>313.14</v>
      </c>
      <c r="F925" t="s">
        <v>1578</v>
      </c>
      <c r="G925" t="s">
        <v>1141</v>
      </c>
    </row>
    <row r="926" spans="1:7">
      <c r="A926" t="s">
        <v>2529</v>
      </c>
      <c r="B926" s="2">
        <v>45712</v>
      </c>
      <c r="C926" t="s">
        <v>81</v>
      </c>
      <c r="D926" t="s">
        <v>1629</v>
      </c>
      <c r="E926">
        <v>620.14</v>
      </c>
      <c r="F926" t="s">
        <v>1578</v>
      </c>
      <c r="G926" t="s">
        <v>1141</v>
      </c>
    </row>
    <row r="927" spans="1:7">
      <c r="A927" t="s">
        <v>2530</v>
      </c>
      <c r="B927" s="2">
        <v>45712</v>
      </c>
      <c r="C927" t="s">
        <v>84</v>
      </c>
      <c r="D927" t="s">
        <v>1629</v>
      </c>
      <c r="E927">
        <v>110.67</v>
      </c>
      <c r="F927" t="s">
        <v>1578</v>
      </c>
      <c r="G927" t="s">
        <v>1141</v>
      </c>
    </row>
    <row r="928" spans="1:7">
      <c r="A928" t="s">
        <v>2531</v>
      </c>
      <c r="B928" s="2">
        <v>45712</v>
      </c>
      <c r="C928" t="s">
        <v>89</v>
      </c>
      <c r="D928" t="s">
        <v>1629</v>
      </c>
      <c r="E928">
        <v>472.01</v>
      </c>
      <c r="F928" t="s">
        <v>1578</v>
      </c>
      <c r="G928" t="s">
        <v>1141</v>
      </c>
    </row>
    <row r="929" spans="1:7">
      <c r="A929" t="s">
        <v>2532</v>
      </c>
      <c r="B929" s="2">
        <v>45712</v>
      </c>
      <c r="C929" t="s">
        <v>110</v>
      </c>
      <c r="D929" t="s">
        <v>1629</v>
      </c>
      <c r="E929">
        <v>313.14</v>
      </c>
      <c r="F929" t="s">
        <v>1578</v>
      </c>
      <c r="G929" t="s">
        <v>1141</v>
      </c>
    </row>
    <row r="930" spans="1:7">
      <c r="A930" t="s">
        <v>2533</v>
      </c>
      <c r="B930" s="2">
        <v>45712</v>
      </c>
      <c r="C930" t="s">
        <v>114</v>
      </c>
      <c r="D930" t="s">
        <v>1629</v>
      </c>
      <c r="E930">
        <v>310.07</v>
      </c>
      <c r="F930" t="s">
        <v>1578</v>
      </c>
      <c r="G930" t="s">
        <v>1141</v>
      </c>
    </row>
    <row r="931" spans="1:7">
      <c r="A931" t="s">
        <v>2534</v>
      </c>
      <c r="B931" s="2">
        <v>45712</v>
      </c>
      <c r="C931" t="s">
        <v>117</v>
      </c>
      <c r="D931" t="s">
        <v>1629</v>
      </c>
      <c r="E931">
        <v>308.52999999999997</v>
      </c>
      <c r="F931" t="s">
        <v>1578</v>
      </c>
      <c r="G931" t="s">
        <v>1141</v>
      </c>
    </row>
    <row r="932" spans="1:7">
      <c r="A932" t="s">
        <v>2535</v>
      </c>
      <c r="B932" s="2">
        <v>45712</v>
      </c>
      <c r="C932" t="s">
        <v>119</v>
      </c>
      <c r="D932" t="s">
        <v>1629</v>
      </c>
      <c r="E932">
        <v>310.07</v>
      </c>
      <c r="F932" t="s">
        <v>1578</v>
      </c>
      <c r="G932" t="s">
        <v>1141</v>
      </c>
    </row>
    <row r="933" spans="1:7">
      <c r="A933" t="s">
        <v>2536</v>
      </c>
      <c r="B933" s="2">
        <v>45712</v>
      </c>
      <c r="C933" t="s">
        <v>89</v>
      </c>
      <c r="D933" t="s">
        <v>1683</v>
      </c>
      <c r="E933">
        <v>653</v>
      </c>
      <c r="F933" t="s">
        <v>1578</v>
      </c>
      <c r="G933" t="s">
        <v>465</v>
      </c>
    </row>
    <row r="934" spans="1:7">
      <c r="A934" t="s">
        <v>2537</v>
      </c>
      <c r="B934" s="2">
        <v>45712</v>
      </c>
      <c r="C934" t="s">
        <v>89</v>
      </c>
      <c r="D934" t="s">
        <v>1683</v>
      </c>
      <c r="E934">
        <v>112</v>
      </c>
      <c r="F934" t="s">
        <v>1578</v>
      </c>
      <c r="G934" t="s">
        <v>466</v>
      </c>
    </row>
    <row r="935" spans="1:7">
      <c r="A935" t="s">
        <v>2538</v>
      </c>
      <c r="B935" s="2">
        <v>45712</v>
      </c>
      <c r="C935" t="s">
        <v>106</v>
      </c>
      <c r="D935" t="s">
        <v>1683</v>
      </c>
      <c r="E935">
        <v>377</v>
      </c>
      <c r="F935" t="s">
        <v>1578</v>
      </c>
      <c r="G935" t="s">
        <v>467</v>
      </c>
    </row>
    <row r="936" spans="1:7">
      <c r="A936" t="s">
        <v>2539</v>
      </c>
      <c r="B936" s="2">
        <v>45713</v>
      </c>
      <c r="C936" t="s">
        <v>61</v>
      </c>
      <c r="D936" t="s">
        <v>1629</v>
      </c>
      <c r="E936">
        <v>314.16000000000003</v>
      </c>
      <c r="F936" t="s">
        <v>1578</v>
      </c>
      <c r="G936" t="s">
        <v>1142</v>
      </c>
    </row>
    <row r="937" spans="1:7">
      <c r="A937" t="s">
        <v>2540</v>
      </c>
      <c r="B937" s="2">
        <v>45713</v>
      </c>
      <c r="C937" t="s">
        <v>65</v>
      </c>
      <c r="D937" t="s">
        <v>1629</v>
      </c>
      <c r="E937">
        <v>312.62</v>
      </c>
      <c r="F937" t="s">
        <v>1578</v>
      </c>
      <c r="G937" t="s">
        <v>1142</v>
      </c>
    </row>
    <row r="938" spans="1:7">
      <c r="A938" t="s">
        <v>2541</v>
      </c>
      <c r="B938" s="2">
        <v>45713</v>
      </c>
      <c r="C938" t="s">
        <v>68</v>
      </c>
      <c r="D938" t="s">
        <v>1629</v>
      </c>
      <c r="E938">
        <v>314.16000000000003</v>
      </c>
      <c r="F938" t="s">
        <v>1578</v>
      </c>
      <c r="G938" t="s">
        <v>1142</v>
      </c>
    </row>
    <row r="939" spans="1:7">
      <c r="A939" t="s">
        <v>2542</v>
      </c>
      <c r="B939" s="2">
        <v>45713</v>
      </c>
      <c r="C939" t="s">
        <v>70</v>
      </c>
      <c r="D939" t="s">
        <v>1629</v>
      </c>
      <c r="E939">
        <v>311.08</v>
      </c>
      <c r="F939" t="s">
        <v>1578</v>
      </c>
      <c r="G939" t="s">
        <v>1142</v>
      </c>
    </row>
    <row r="940" spans="1:7">
      <c r="A940" t="s">
        <v>2543</v>
      </c>
      <c r="B940" s="2">
        <v>45713</v>
      </c>
      <c r="C940" t="s">
        <v>75</v>
      </c>
      <c r="D940" t="s">
        <v>1629</v>
      </c>
      <c r="E940">
        <v>311.08</v>
      </c>
      <c r="F940" t="s">
        <v>1578</v>
      </c>
      <c r="G940" t="s">
        <v>1142</v>
      </c>
    </row>
    <row r="941" spans="1:7">
      <c r="A941" t="s">
        <v>2544</v>
      </c>
      <c r="B941" s="2">
        <v>45713</v>
      </c>
      <c r="C941" t="s">
        <v>77</v>
      </c>
      <c r="D941" t="s">
        <v>1629</v>
      </c>
      <c r="E941">
        <v>311.08</v>
      </c>
      <c r="F941" t="s">
        <v>1578</v>
      </c>
      <c r="G941" t="s">
        <v>1142</v>
      </c>
    </row>
    <row r="942" spans="1:7">
      <c r="A942" t="s">
        <v>2545</v>
      </c>
      <c r="B942" s="2">
        <v>45713</v>
      </c>
      <c r="C942" t="s">
        <v>79</v>
      </c>
      <c r="D942" t="s">
        <v>1629</v>
      </c>
      <c r="E942">
        <v>314.16000000000003</v>
      </c>
      <c r="F942" t="s">
        <v>1578</v>
      </c>
      <c r="G942" t="s">
        <v>1142</v>
      </c>
    </row>
    <row r="943" spans="1:7">
      <c r="A943" t="s">
        <v>2546</v>
      </c>
      <c r="B943" s="2">
        <v>45713</v>
      </c>
      <c r="C943" t="s">
        <v>81</v>
      </c>
      <c r="D943" t="s">
        <v>1629</v>
      </c>
      <c r="E943">
        <v>622.16</v>
      </c>
      <c r="F943" t="s">
        <v>1578</v>
      </c>
      <c r="G943" t="s">
        <v>1142</v>
      </c>
    </row>
    <row r="944" spans="1:7">
      <c r="A944" t="s">
        <v>2547</v>
      </c>
      <c r="B944" s="2">
        <v>45713</v>
      </c>
      <c r="C944" t="s">
        <v>110</v>
      </c>
      <c r="D944" t="s">
        <v>1629</v>
      </c>
      <c r="E944">
        <v>314.16000000000003</v>
      </c>
      <c r="F944" t="s">
        <v>1578</v>
      </c>
      <c r="G944" t="s">
        <v>1142</v>
      </c>
    </row>
    <row r="945" spans="1:7">
      <c r="A945" t="s">
        <v>2548</v>
      </c>
      <c r="B945" s="2">
        <v>45713</v>
      </c>
      <c r="C945" t="s">
        <v>114</v>
      </c>
      <c r="D945" t="s">
        <v>1629</v>
      </c>
      <c r="E945">
        <v>311.08</v>
      </c>
      <c r="F945" t="s">
        <v>1578</v>
      </c>
      <c r="G945" t="s">
        <v>1142</v>
      </c>
    </row>
    <row r="946" spans="1:7">
      <c r="A946" t="s">
        <v>2549</v>
      </c>
      <c r="B946" s="2">
        <v>45713</v>
      </c>
      <c r="C946" t="s">
        <v>117</v>
      </c>
      <c r="D946" t="s">
        <v>1629</v>
      </c>
      <c r="E946">
        <v>309.54000000000002</v>
      </c>
      <c r="F946" t="s">
        <v>1578</v>
      </c>
      <c r="G946" t="s">
        <v>1142</v>
      </c>
    </row>
    <row r="947" spans="1:7">
      <c r="A947" t="s">
        <v>2550</v>
      </c>
      <c r="B947" s="2">
        <v>45713</v>
      </c>
      <c r="C947" t="s">
        <v>119</v>
      </c>
      <c r="D947" t="s">
        <v>1629</v>
      </c>
      <c r="E947">
        <v>311.08</v>
      </c>
      <c r="F947" t="s">
        <v>1578</v>
      </c>
      <c r="G947" t="s">
        <v>1142</v>
      </c>
    </row>
    <row r="948" spans="1:7">
      <c r="A948" t="s">
        <v>2551</v>
      </c>
      <c r="B948" s="2">
        <v>45713</v>
      </c>
      <c r="C948" t="s">
        <v>81</v>
      </c>
      <c r="D948" t="s">
        <v>1683</v>
      </c>
      <c r="E948">
        <v>209</v>
      </c>
      <c r="F948" t="s">
        <v>1578</v>
      </c>
      <c r="G948" t="s">
        <v>468</v>
      </c>
    </row>
    <row r="949" spans="1:7">
      <c r="A949" t="s">
        <v>2552</v>
      </c>
      <c r="B949" s="2">
        <v>45713</v>
      </c>
      <c r="C949" t="s">
        <v>70</v>
      </c>
      <c r="D949" t="s">
        <v>1683</v>
      </c>
      <c r="E949">
        <v>471</v>
      </c>
      <c r="F949" t="s">
        <v>1578</v>
      </c>
      <c r="G949" t="s">
        <v>469</v>
      </c>
    </row>
    <row r="950" spans="1:7">
      <c r="A950" t="s">
        <v>2553</v>
      </c>
      <c r="B950" s="2">
        <v>45714</v>
      </c>
      <c r="C950" t="s">
        <v>61</v>
      </c>
      <c r="D950" t="s">
        <v>1629</v>
      </c>
      <c r="E950">
        <v>275.39999999999998</v>
      </c>
      <c r="F950" t="s">
        <v>1578</v>
      </c>
      <c r="G950" t="s">
        <v>1143</v>
      </c>
    </row>
    <row r="951" spans="1:7">
      <c r="A951" t="s">
        <v>2554</v>
      </c>
      <c r="B951" s="2">
        <v>45714</v>
      </c>
      <c r="C951" t="s">
        <v>65</v>
      </c>
      <c r="D951" t="s">
        <v>1629</v>
      </c>
      <c r="E951">
        <v>274.05</v>
      </c>
      <c r="F951" t="s">
        <v>1578</v>
      </c>
      <c r="G951" t="s">
        <v>1143</v>
      </c>
    </row>
    <row r="952" spans="1:7">
      <c r="A952" t="s">
        <v>2555</v>
      </c>
      <c r="B952" s="2">
        <v>45714</v>
      </c>
      <c r="C952" t="s">
        <v>68</v>
      </c>
      <c r="D952" t="s">
        <v>1629</v>
      </c>
      <c r="E952">
        <v>275.39999999999998</v>
      </c>
      <c r="F952" t="s">
        <v>1578</v>
      </c>
      <c r="G952" t="s">
        <v>1143</v>
      </c>
    </row>
    <row r="953" spans="1:7">
      <c r="A953" t="s">
        <v>2556</v>
      </c>
      <c r="B953" s="2">
        <v>45714</v>
      </c>
      <c r="C953" t="s">
        <v>75</v>
      </c>
      <c r="D953" t="s">
        <v>1629</v>
      </c>
      <c r="E953">
        <v>272.7</v>
      </c>
      <c r="F953" t="s">
        <v>1578</v>
      </c>
      <c r="G953" t="s">
        <v>1143</v>
      </c>
    </row>
    <row r="954" spans="1:7">
      <c r="A954" t="s">
        <v>2557</v>
      </c>
      <c r="B954" s="2">
        <v>45714</v>
      </c>
      <c r="C954" t="s">
        <v>79</v>
      </c>
      <c r="D954" t="s">
        <v>1629</v>
      </c>
      <c r="E954">
        <v>275.39999999999998</v>
      </c>
      <c r="F954" t="s">
        <v>1578</v>
      </c>
      <c r="G954" t="s">
        <v>1143</v>
      </c>
    </row>
    <row r="955" spans="1:7">
      <c r="A955" t="s">
        <v>2558</v>
      </c>
      <c r="B955" s="2">
        <v>45714</v>
      </c>
      <c r="C955" t="s">
        <v>81</v>
      </c>
      <c r="D955" t="s">
        <v>1629</v>
      </c>
      <c r="E955">
        <v>545.4</v>
      </c>
      <c r="F955" t="s">
        <v>1578</v>
      </c>
      <c r="G955" t="s">
        <v>1143</v>
      </c>
    </row>
    <row r="956" spans="1:7">
      <c r="A956" t="s">
        <v>2559</v>
      </c>
      <c r="B956" s="2">
        <v>45714</v>
      </c>
      <c r="C956" t="s">
        <v>110</v>
      </c>
      <c r="D956" t="s">
        <v>1629</v>
      </c>
      <c r="E956">
        <v>275.39999999999998</v>
      </c>
      <c r="F956" t="s">
        <v>1578</v>
      </c>
      <c r="G956" t="s">
        <v>1143</v>
      </c>
    </row>
    <row r="957" spans="1:7">
      <c r="A957" t="s">
        <v>2560</v>
      </c>
      <c r="B957" s="2">
        <v>45714</v>
      </c>
      <c r="C957" t="s">
        <v>114</v>
      </c>
      <c r="D957" t="s">
        <v>1629</v>
      </c>
      <c r="E957">
        <v>272.7</v>
      </c>
      <c r="F957" t="s">
        <v>1578</v>
      </c>
      <c r="G957" t="s">
        <v>1143</v>
      </c>
    </row>
    <row r="958" spans="1:7">
      <c r="A958" t="s">
        <v>2561</v>
      </c>
      <c r="B958" s="2">
        <v>45714</v>
      </c>
      <c r="C958" t="s">
        <v>117</v>
      </c>
      <c r="D958" t="s">
        <v>1629</v>
      </c>
      <c r="E958">
        <v>271.35000000000002</v>
      </c>
      <c r="F958" t="s">
        <v>1578</v>
      </c>
      <c r="G958" t="s">
        <v>1143</v>
      </c>
    </row>
    <row r="959" spans="1:7">
      <c r="A959" t="s">
        <v>2562</v>
      </c>
      <c r="B959" s="2">
        <v>45714</v>
      </c>
      <c r="C959" t="s">
        <v>119</v>
      </c>
      <c r="D959" t="s">
        <v>1629</v>
      </c>
      <c r="E959">
        <v>272.7</v>
      </c>
      <c r="F959" t="s">
        <v>1578</v>
      </c>
      <c r="G959" t="s">
        <v>1143</v>
      </c>
    </row>
    <row r="960" spans="1:7">
      <c r="A960" t="s">
        <v>2563</v>
      </c>
      <c r="B960" s="2">
        <v>45714</v>
      </c>
      <c r="C960" t="s">
        <v>110</v>
      </c>
      <c r="D960" t="s">
        <v>1683</v>
      </c>
      <c r="E960">
        <v>226</v>
      </c>
      <c r="F960" t="s">
        <v>1578</v>
      </c>
      <c r="G960" t="s">
        <v>470</v>
      </c>
    </row>
    <row r="961" spans="1:7">
      <c r="A961" t="s">
        <v>2564</v>
      </c>
      <c r="B961" s="2">
        <v>45714</v>
      </c>
      <c r="C961" t="s">
        <v>87</v>
      </c>
      <c r="D961" t="s">
        <v>1683</v>
      </c>
      <c r="E961">
        <v>795</v>
      </c>
      <c r="F961" t="s">
        <v>1578</v>
      </c>
      <c r="G961" t="s">
        <v>471</v>
      </c>
    </row>
    <row r="962" spans="1:7">
      <c r="A962" t="s">
        <v>2565</v>
      </c>
      <c r="B962" s="2">
        <v>45714</v>
      </c>
      <c r="C962" t="s">
        <v>89</v>
      </c>
      <c r="D962" t="s">
        <v>1683</v>
      </c>
      <c r="E962">
        <v>323</v>
      </c>
      <c r="F962" t="s">
        <v>1578</v>
      </c>
      <c r="G962" t="s">
        <v>472</v>
      </c>
    </row>
    <row r="963" spans="1:7">
      <c r="A963" t="s">
        <v>2566</v>
      </c>
      <c r="B963" s="2">
        <v>45714</v>
      </c>
      <c r="C963" t="s">
        <v>102</v>
      </c>
      <c r="D963" t="s">
        <v>1683</v>
      </c>
      <c r="E963">
        <v>688</v>
      </c>
      <c r="F963" t="s">
        <v>1578</v>
      </c>
      <c r="G963" t="s">
        <v>473</v>
      </c>
    </row>
    <row r="964" spans="1:7">
      <c r="A964" t="s">
        <v>2567</v>
      </c>
      <c r="B964" s="2">
        <v>45715</v>
      </c>
      <c r="C964" t="s">
        <v>75</v>
      </c>
      <c r="D964" t="s">
        <v>1629</v>
      </c>
      <c r="E964">
        <v>365.62</v>
      </c>
      <c r="F964" t="s">
        <v>1578</v>
      </c>
      <c r="G964" t="s">
        <v>1144</v>
      </c>
    </row>
    <row r="965" spans="1:7">
      <c r="A965" t="s">
        <v>2568</v>
      </c>
      <c r="B965" s="2">
        <v>45715</v>
      </c>
      <c r="C965" t="s">
        <v>91</v>
      </c>
      <c r="D965" t="s">
        <v>1629</v>
      </c>
      <c r="E965">
        <v>371.05</v>
      </c>
      <c r="F965" t="s">
        <v>1578</v>
      </c>
      <c r="G965" t="s">
        <v>1144</v>
      </c>
    </row>
    <row r="966" spans="1:7">
      <c r="A966" t="s">
        <v>2569</v>
      </c>
      <c r="B966" s="2">
        <v>45715</v>
      </c>
      <c r="C966" t="s">
        <v>93</v>
      </c>
      <c r="D966" t="s">
        <v>1629</v>
      </c>
      <c r="E966">
        <v>369.24</v>
      </c>
      <c r="F966" t="s">
        <v>1578</v>
      </c>
      <c r="G966" t="s">
        <v>1144</v>
      </c>
    </row>
    <row r="967" spans="1:7">
      <c r="A967" t="s">
        <v>2570</v>
      </c>
      <c r="B967" s="2">
        <v>45715</v>
      </c>
      <c r="C967" t="s">
        <v>95</v>
      </c>
      <c r="D967" t="s">
        <v>1629</v>
      </c>
      <c r="E967">
        <v>367.43</v>
      </c>
      <c r="F967" t="s">
        <v>1578</v>
      </c>
      <c r="G967" t="s">
        <v>1144</v>
      </c>
    </row>
    <row r="968" spans="1:7">
      <c r="A968" t="s">
        <v>2571</v>
      </c>
      <c r="B968" s="2">
        <v>45715</v>
      </c>
      <c r="C968" t="s">
        <v>97</v>
      </c>
      <c r="D968" t="s">
        <v>1629</v>
      </c>
      <c r="E968">
        <v>365.62</v>
      </c>
      <c r="F968" t="s">
        <v>1578</v>
      </c>
      <c r="G968" t="s">
        <v>1144</v>
      </c>
    </row>
    <row r="969" spans="1:7">
      <c r="A969" t="s">
        <v>2572</v>
      </c>
      <c r="B969" s="2">
        <v>45715</v>
      </c>
      <c r="C969" t="s">
        <v>99</v>
      </c>
      <c r="D969" t="s">
        <v>1629</v>
      </c>
      <c r="E969">
        <v>447.43</v>
      </c>
      <c r="F969" t="s">
        <v>1578</v>
      </c>
      <c r="G969" t="s">
        <v>1144</v>
      </c>
    </row>
    <row r="970" spans="1:7">
      <c r="A970" t="s">
        <v>2573</v>
      </c>
      <c r="B970" s="2">
        <v>45715</v>
      </c>
      <c r="C970" t="s">
        <v>102</v>
      </c>
      <c r="D970" t="s">
        <v>1629</v>
      </c>
      <c r="E970">
        <v>369.24</v>
      </c>
      <c r="F970" t="s">
        <v>1578</v>
      </c>
      <c r="G970" t="s">
        <v>1144</v>
      </c>
    </row>
    <row r="971" spans="1:7">
      <c r="A971" t="s">
        <v>2574</v>
      </c>
      <c r="B971" s="2">
        <v>45715</v>
      </c>
      <c r="C971" t="s">
        <v>108</v>
      </c>
      <c r="D971" t="s">
        <v>1629</v>
      </c>
      <c r="E971">
        <v>734.86</v>
      </c>
      <c r="F971" t="s">
        <v>1578</v>
      </c>
      <c r="G971" t="s">
        <v>1144</v>
      </c>
    </row>
    <row r="972" spans="1:7">
      <c r="A972" t="s">
        <v>2575</v>
      </c>
      <c r="B972" s="2">
        <v>45715</v>
      </c>
      <c r="C972" t="s">
        <v>110</v>
      </c>
      <c r="D972" t="s">
        <v>1629</v>
      </c>
      <c r="E972">
        <v>369.24</v>
      </c>
      <c r="F972" t="s">
        <v>1578</v>
      </c>
      <c r="G972" t="s">
        <v>1144</v>
      </c>
    </row>
    <row r="973" spans="1:7">
      <c r="A973" t="s">
        <v>2576</v>
      </c>
      <c r="B973" s="2">
        <v>45715</v>
      </c>
      <c r="C973" t="s">
        <v>114</v>
      </c>
      <c r="D973" t="s">
        <v>1629</v>
      </c>
      <c r="E973">
        <v>365.62</v>
      </c>
      <c r="F973" t="s">
        <v>1578</v>
      </c>
      <c r="G973" t="s">
        <v>1144</v>
      </c>
    </row>
    <row r="974" spans="1:7">
      <c r="A974" t="s">
        <v>2577</v>
      </c>
      <c r="B974" s="2">
        <v>45715</v>
      </c>
      <c r="C974" t="s">
        <v>117</v>
      </c>
      <c r="D974" t="s">
        <v>1629</v>
      </c>
      <c r="E974">
        <v>363.81</v>
      </c>
      <c r="F974" t="s">
        <v>1578</v>
      </c>
      <c r="G974" t="s">
        <v>1144</v>
      </c>
    </row>
    <row r="975" spans="1:7">
      <c r="A975" t="s">
        <v>2578</v>
      </c>
      <c r="B975" s="2">
        <v>45715</v>
      </c>
      <c r="C975" t="s">
        <v>119</v>
      </c>
      <c r="D975" t="s">
        <v>1629</v>
      </c>
      <c r="E975">
        <v>365.62</v>
      </c>
      <c r="F975" t="s">
        <v>1578</v>
      </c>
      <c r="G975" t="s">
        <v>1144</v>
      </c>
    </row>
    <row r="976" spans="1:7">
      <c r="A976" t="s">
        <v>2579</v>
      </c>
      <c r="B976" s="2">
        <v>45716</v>
      </c>
      <c r="C976" t="s">
        <v>61</v>
      </c>
      <c r="D976" t="s">
        <v>1629</v>
      </c>
      <c r="E976">
        <v>319.26</v>
      </c>
      <c r="F976" t="s">
        <v>1578</v>
      </c>
      <c r="G976" t="s">
        <v>1145</v>
      </c>
    </row>
    <row r="977" spans="1:7">
      <c r="A977" t="s">
        <v>2580</v>
      </c>
      <c r="B977" s="2">
        <v>45716</v>
      </c>
      <c r="C977" t="s">
        <v>65</v>
      </c>
      <c r="D977" t="s">
        <v>1629</v>
      </c>
      <c r="E977">
        <v>317.7</v>
      </c>
      <c r="F977" t="s">
        <v>1578</v>
      </c>
      <c r="G977" t="s">
        <v>1145</v>
      </c>
    </row>
    <row r="978" spans="1:7">
      <c r="A978" t="s">
        <v>2581</v>
      </c>
      <c r="B978" s="2">
        <v>45716</v>
      </c>
      <c r="C978" t="s">
        <v>68</v>
      </c>
      <c r="D978" t="s">
        <v>1629</v>
      </c>
      <c r="E978">
        <v>319.26</v>
      </c>
      <c r="F978" t="s">
        <v>1578</v>
      </c>
      <c r="G978" t="s">
        <v>1145</v>
      </c>
    </row>
    <row r="979" spans="1:7">
      <c r="A979" t="s">
        <v>2582</v>
      </c>
      <c r="B979" s="2">
        <v>45716</v>
      </c>
      <c r="C979" t="s">
        <v>70</v>
      </c>
      <c r="D979" t="s">
        <v>1629</v>
      </c>
      <c r="E979">
        <v>316.13</v>
      </c>
      <c r="F979" t="s">
        <v>1578</v>
      </c>
      <c r="G979" t="s">
        <v>1145</v>
      </c>
    </row>
    <row r="980" spans="1:7">
      <c r="A980" t="s">
        <v>2583</v>
      </c>
      <c r="B980" s="2">
        <v>45716</v>
      </c>
      <c r="C980" t="s">
        <v>75</v>
      </c>
      <c r="D980" t="s">
        <v>1629</v>
      </c>
      <c r="E980">
        <v>316.13</v>
      </c>
      <c r="F980" t="s">
        <v>1578</v>
      </c>
      <c r="G980" t="s">
        <v>1145</v>
      </c>
    </row>
    <row r="981" spans="1:7">
      <c r="A981" t="s">
        <v>2584</v>
      </c>
      <c r="B981" s="2">
        <v>45716</v>
      </c>
      <c r="C981" t="s">
        <v>77</v>
      </c>
      <c r="D981" t="s">
        <v>1629</v>
      </c>
      <c r="E981">
        <v>316.13</v>
      </c>
      <c r="F981" t="s">
        <v>1578</v>
      </c>
      <c r="G981" t="s">
        <v>1145</v>
      </c>
    </row>
    <row r="982" spans="1:7">
      <c r="A982" t="s">
        <v>2585</v>
      </c>
      <c r="B982" s="2">
        <v>45716</v>
      </c>
      <c r="C982" t="s">
        <v>79</v>
      </c>
      <c r="D982" t="s">
        <v>1629</v>
      </c>
      <c r="E982">
        <v>319.26</v>
      </c>
      <c r="F982" t="s">
        <v>1578</v>
      </c>
      <c r="G982" t="s">
        <v>1145</v>
      </c>
    </row>
    <row r="983" spans="1:7">
      <c r="A983" t="s">
        <v>2586</v>
      </c>
      <c r="B983" s="2">
        <v>45716</v>
      </c>
      <c r="C983" t="s">
        <v>81</v>
      </c>
      <c r="D983" t="s">
        <v>1629</v>
      </c>
      <c r="E983">
        <v>632.26</v>
      </c>
      <c r="F983" t="s">
        <v>1578</v>
      </c>
      <c r="G983" t="s">
        <v>1145</v>
      </c>
    </row>
    <row r="984" spans="1:7">
      <c r="A984" t="s">
        <v>2587</v>
      </c>
      <c r="B984" s="2">
        <v>45716</v>
      </c>
      <c r="C984" t="s">
        <v>110</v>
      </c>
      <c r="D984" t="s">
        <v>1629</v>
      </c>
      <c r="E984">
        <v>319.26</v>
      </c>
      <c r="F984" t="s">
        <v>1578</v>
      </c>
      <c r="G984" t="s">
        <v>1145</v>
      </c>
    </row>
    <row r="985" spans="1:7">
      <c r="A985" t="s">
        <v>2588</v>
      </c>
      <c r="B985" s="2">
        <v>45716</v>
      </c>
      <c r="C985" t="s">
        <v>114</v>
      </c>
      <c r="D985" t="s">
        <v>1629</v>
      </c>
      <c r="E985">
        <v>316.13</v>
      </c>
      <c r="F985" t="s">
        <v>1578</v>
      </c>
      <c r="G985" t="s">
        <v>1145</v>
      </c>
    </row>
    <row r="986" spans="1:7">
      <c r="A986" t="s">
        <v>2589</v>
      </c>
      <c r="B986" s="2">
        <v>45716</v>
      </c>
      <c r="C986" t="s">
        <v>117</v>
      </c>
      <c r="D986" t="s">
        <v>1629</v>
      </c>
      <c r="E986">
        <v>314.56</v>
      </c>
      <c r="F986" t="s">
        <v>1578</v>
      </c>
      <c r="G986" t="s">
        <v>1145</v>
      </c>
    </row>
    <row r="987" spans="1:7">
      <c r="A987" t="s">
        <v>2590</v>
      </c>
      <c r="B987" s="2">
        <v>45716</v>
      </c>
      <c r="C987" t="s">
        <v>119</v>
      </c>
      <c r="D987" t="s">
        <v>1629</v>
      </c>
      <c r="E987">
        <v>316.13</v>
      </c>
      <c r="F987" t="s">
        <v>1578</v>
      </c>
      <c r="G987" t="s">
        <v>1145</v>
      </c>
    </row>
    <row r="988" spans="1:7">
      <c r="A988" t="s">
        <v>2591</v>
      </c>
      <c r="B988" s="2">
        <v>45716</v>
      </c>
      <c r="C988" t="s">
        <v>93</v>
      </c>
      <c r="D988" t="s">
        <v>1683</v>
      </c>
      <c r="E988">
        <v>46</v>
      </c>
      <c r="F988" t="s">
        <v>1578</v>
      </c>
      <c r="G988" t="s">
        <v>475</v>
      </c>
    </row>
    <row r="989" spans="1:7">
      <c r="A989" t="s">
        <v>2592</v>
      </c>
      <c r="B989" s="2">
        <v>45717</v>
      </c>
      <c r="C989" t="s">
        <v>61</v>
      </c>
      <c r="D989" t="s">
        <v>1629</v>
      </c>
      <c r="E989">
        <v>271.32</v>
      </c>
      <c r="F989" t="s">
        <v>1578</v>
      </c>
      <c r="G989" t="s">
        <v>1146</v>
      </c>
    </row>
    <row r="990" spans="1:7">
      <c r="A990" t="s">
        <v>2593</v>
      </c>
      <c r="B990" s="2">
        <v>45717</v>
      </c>
      <c r="C990" t="s">
        <v>65</v>
      </c>
      <c r="D990" t="s">
        <v>1629</v>
      </c>
      <c r="E990">
        <v>269.99</v>
      </c>
      <c r="F990" t="s">
        <v>1578</v>
      </c>
      <c r="G990" t="s">
        <v>1146</v>
      </c>
    </row>
    <row r="991" spans="1:7">
      <c r="A991" t="s">
        <v>2594</v>
      </c>
      <c r="B991" s="2">
        <v>45717</v>
      </c>
      <c r="C991" t="s">
        <v>68</v>
      </c>
      <c r="D991" t="s">
        <v>1629</v>
      </c>
      <c r="E991">
        <v>271.32</v>
      </c>
      <c r="F991" t="s">
        <v>1578</v>
      </c>
      <c r="G991" t="s">
        <v>1146</v>
      </c>
    </row>
    <row r="992" spans="1:7">
      <c r="A992" t="s">
        <v>2595</v>
      </c>
      <c r="B992" s="2">
        <v>45717</v>
      </c>
      <c r="C992" t="s">
        <v>75</v>
      </c>
      <c r="D992" t="s">
        <v>1629</v>
      </c>
      <c r="E992">
        <v>268.66000000000003</v>
      </c>
      <c r="F992" t="s">
        <v>1578</v>
      </c>
      <c r="G992" t="s">
        <v>1146</v>
      </c>
    </row>
    <row r="993" spans="1:7">
      <c r="A993" t="s">
        <v>2596</v>
      </c>
      <c r="B993" s="2">
        <v>45717</v>
      </c>
      <c r="C993" t="s">
        <v>79</v>
      </c>
      <c r="D993" t="s">
        <v>1629</v>
      </c>
      <c r="E993">
        <v>271.32</v>
      </c>
      <c r="F993" t="s">
        <v>1578</v>
      </c>
      <c r="G993" t="s">
        <v>1146</v>
      </c>
    </row>
    <row r="994" spans="1:7">
      <c r="A994" t="s">
        <v>2597</v>
      </c>
      <c r="B994" s="2">
        <v>45717</v>
      </c>
      <c r="C994" t="s">
        <v>81</v>
      </c>
      <c r="D994" t="s">
        <v>1629</v>
      </c>
      <c r="E994">
        <v>537.32000000000005</v>
      </c>
      <c r="F994" t="s">
        <v>1578</v>
      </c>
      <c r="G994" t="s">
        <v>1146</v>
      </c>
    </row>
    <row r="995" spans="1:7">
      <c r="A995" t="s">
        <v>2598</v>
      </c>
      <c r="B995" s="2">
        <v>45717</v>
      </c>
      <c r="C995" t="s">
        <v>97</v>
      </c>
      <c r="D995" t="s">
        <v>1629</v>
      </c>
      <c r="E995">
        <v>271.32</v>
      </c>
      <c r="F995" t="s">
        <v>1578</v>
      </c>
      <c r="G995" t="s">
        <v>1146</v>
      </c>
    </row>
    <row r="996" spans="1:7">
      <c r="A996" t="s">
        <v>2599</v>
      </c>
      <c r="B996" s="2">
        <v>45717</v>
      </c>
      <c r="C996" t="s">
        <v>110</v>
      </c>
      <c r="D996" t="s">
        <v>1629</v>
      </c>
      <c r="E996">
        <v>271.32</v>
      </c>
      <c r="F996" t="s">
        <v>1578</v>
      </c>
      <c r="G996" t="s">
        <v>1146</v>
      </c>
    </row>
    <row r="997" spans="1:7">
      <c r="A997" t="s">
        <v>2600</v>
      </c>
      <c r="B997" s="2">
        <v>45717</v>
      </c>
      <c r="C997" t="s">
        <v>114</v>
      </c>
      <c r="D997" t="s">
        <v>1629</v>
      </c>
      <c r="E997">
        <v>268.66000000000003</v>
      </c>
      <c r="F997" t="s">
        <v>1578</v>
      </c>
      <c r="G997" t="s">
        <v>1146</v>
      </c>
    </row>
    <row r="998" spans="1:7">
      <c r="A998" t="s">
        <v>2601</v>
      </c>
      <c r="B998" s="2">
        <v>45717</v>
      </c>
      <c r="C998" t="s">
        <v>117</v>
      </c>
      <c r="D998" t="s">
        <v>1629</v>
      </c>
      <c r="E998">
        <v>267.33</v>
      </c>
      <c r="F998" t="s">
        <v>1578</v>
      </c>
      <c r="G998" t="s">
        <v>1146</v>
      </c>
    </row>
    <row r="999" spans="1:7">
      <c r="A999" t="s">
        <v>2602</v>
      </c>
      <c r="B999" s="2">
        <v>45717</v>
      </c>
      <c r="C999" t="s">
        <v>119</v>
      </c>
      <c r="D999" t="s">
        <v>1629</v>
      </c>
      <c r="E999">
        <v>268.66000000000003</v>
      </c>
      <c r="F999" t="s">
        <v>1578</v>
      </c>
      <c r="G999" t="s">
        <v>1146</v>
      </c>
    </row>
    <row r="1000" spans="1:7">
      <c r="A1000" t="s">
        <v>2603</v>
      </c>
      <c r="B1000" s="2">
        <v>45718</v>
      </c>
      <c r="C1000" t="s">
        <v>75</v>
      </c>
      <c r="D1000" t="s">
        <v>1629</v>
      </c>
      <c r="E1000">
        <v>320.17</v>
      </c>
      <c r="F1000" t="s">
        <v>1578</v>
      </c>
      <c r="G1000" t="s">
        <v>1147</v>
      </c>
    </row>
    <row r="1001" spans="1:7">
      <c r="A1001" t="s">
        <v>2604</v>
      </c>
      <c r="B1001" s="2">
        <v>45718</v>
      </c>
      <c r="C1001" t="s">
        <v>106</v>
      </c>
      <c r="D1001" t="s">
        <v>1629</v>
      </c>
      <c r="E1001">
        <v>326.51</v>
      </c>
      <c r="F1001" t="s">
        <v>1578</v>
      </c>
      <c r="G1001" t="s">
        <v>1147</v>
      </c>
    </row>
    <row r="1002" spans="1:7">
      <c r="A1002" t="s">
        <v>2605</v>
      </c>
      <c r="B1002" s="2">
        <v>45718</v>
      </c>
      <c r="C1002" t="s">
        <v>108</v>
      </c>
      <c r="D1002" t="s">
        <v>1629</v>
      </c>
      <c r="E1002">
        <v>643.51</v>
      </c>
      <c r="F1002" t="s">
        <v>1578</v>
      </c>
      <c r="G1002" t="s">
        <v>1147</v>
      </c>
    </row>
    <row r="1003" spans="1:7">
      <c r="A1003" t="s">
        <v>2606</v>
      </c>
      <c r="B1003" s="2">
        <v>45718</v>
      </c>
      <c r="C1003" t="s">
        <v>110</v>
      </c>
      <c r="D1003" t="s">
        <v>1629</v>
      </c>
      <c r="E1003">
        <v>323.33999999999997</v>
      </c>
      <c r="F1003" t="s">
        <v>1578</v>
      </c>
      <c r="G1003" t="s">
        <v>1147</v>
      </c>
    </row>
    <row r="1004" spans="1:7">
      <c r="A1004" t="s">
        <v>2607</v>
      </c>
      <c r="B1004" s="2">
        <v>45718</v>
      </c>
      <c r="C1004" t="s">
        <v>114</v>
      </c>
      <c r="D1004" t="s">
        <v>1629</v>
      </c>
      <c r="E1004">
        <v>320.17</v>
      </c>
      <c r="F1004" t="s">
        <v>1578</v>
      </c>
      <c r="G1004" t="s">
        <v>1147</v>
      </c>
    </row>
    <row r="1005" spans="1:7">
      <c r="A1005" t="s">
        <v>2608</v>
      </c>
      <c r="B1005" s="2">
        <v>45718</v>
      </c>
      <c r="C1005" t="s">
        <v>117</v>
      </c>
      <c r="D1005" t="s">
        <v>1629</v>
      </c>
      <c r="E1005">
        <v>318.58</v>
      </c>
      <c r="F1005" t="s">
        <v>1578</v>
      </c>
      <c r="G1005" t="s">
        <v>1147</v>
      </c>
    </row>
    <row r="1006" spans="1:7">
      <c r="A1006" t="s">
        <v>2609</v>
      </c>
      <c r="B1006" s="2">
        <v>45718</v>
      </c>
      <c r="C1006" t="s">
        <v>119</v>
      </c>
      <c r="D1006" t="s">
        <v>1629</v>
      </c>
      <c r="E1006">
        <v>320.17</v>
      </c>
      <c r="F1006" t="s">
        <v>1578</v>
      </c>
      <c r="G1006" t="s">
        <v>1147</v>
      </c>
    </row>
    <row r="1007" spans="1:7">
      <c r="A1007" t="s">
        <v>2610</v>
      </c>
      <c r="B1007" s="2">
        <v>45718</v>
      </c>
      <c r="C1007" t="s">
        <v>93</v>
      </c>
      <c r="D1007" t="s">
        <v>1683</v>
      </c>
      <c r="E1007">
        <v>154</v>
      </c>
      <c r="F1007" t="s">
        <v>1578</v>
      </c>
      <c r="G1007" t="s">
        <v>480</v>
      </c>
    </row>
    <row r="1008" spans="1:7">
      <c r="A1008" t="s">
        <v>2611</v>
      </c>
      <c r="B1008" s="2">
        <v>45718</v>
      </c>
      <c r="C1008" t="s">
        <v>99</v>
      </c>
      <c r="D1008" t="s">
        <v>1683</v>
      </c>
      <c r="E1008">
        <v>156</v>
      </c>
      <c r="F1008" t="s">
        <v>1578</v>
      </c>
      <c r="G1008" t="s">
        <v>481</v>
      </c>
    </row>
    <row r="1009" spans="1:7">
      <c r="A1009" t="s">
        <v>2612</v>
      </c>
      <c r="B1009" s="2">
        <v>45718</v>
      </c>
      <c r="C1009" t="s">
        <v>89</v>
      </c>
      <c r="D1009" t="s">
        <v>1683</v>
      </c>
      <c r="E1009">
        <v>206</v>
      </c>
      <c r="F1009" t="s">
        <v>1578</v>
      </c>
      <c r="G1009" t="s">
        <v>482</v>
      </c>
    </row>
    <row r="1010" spans="1:7">
      <c r="A1010" t="s">
        <v>2613</v>
      </c>
      <c r="B1010" s="2">
        <v>45719</v>
      </c>
      <c r="C1010" t="s">
        <v>110</v>
      </c>
      <c r="D1010" t="s">
        <v>1683</v>
      </c>
      <c r="E1010">
        <v>435</v>
      </c>
      <c r="F1010" t="s">
        <v>1578</v>
      </c>
      <c r="G1010" t="s">
        <v>483</v>
      </c>
    </row>
    <row r="1011" spans="1:7">
      <c r="A1011" t="s">
        <v>2614</v>
      </c>
      <c r="B1011" s="2">
        <v>45719</v>
      </c>
      <c r="C1011" t="s">
        <v>106</v>
      </c>
      <c r="D1011" t="s">
        <v>1683</v>
      </c>
      <c r="E1011">
        <v>308</v>
      </c>
      <c r="F1011" t="s">
        <v>1578</v>
      </c>
      <c r="G1011" t="s">
        <v>484</v>
      </c>
    </row>
    <row r="1012" spans="1:7">
      <c r="A1012" t="s">
        <v>2615</v>
      </c>
      <c r="B1012" s="2">
        <v>45719</v>
      </c>
      <c r="C1012" t="s">
        <v>81</v>
      </c>
      <c r="D1012" t="s">
        <v>1683</v>
      </c>
      <c r="E1012">
        <v>194</v>
      </c>
      <c r="F1012" t="s">
        <v>1578</v>
      </c>
      <c r="G1012" t="s">
        <v>485</v>
      </c>
    </row>
    <row r="1013" spans="1:7">
      <c r="A1013" t="s">
        <v>2616</v>
      </c>
      <c r="B1013" s="2">
        <v>45719</v>
      </c>
      <c r="C1013" t="s">
        <v>117</v>
      </c>
      <c r="D1013" t="s">
        <v>1683</v>
      </c>
      <c r="E1013">
        <v>136</v>
      </c>
      <c r="F1013" t="s">
        <v>1578</v>
      </c>
      <c r="G1013" t="s">
        <v>486</v>
      </c>
    </row>
    <row r="1014" spans="1:7">
      <c r="A1014" t="s">
        <v>2617</v>
      </c>
      <c r="B1014" s="2">
        <v>45719</v>
      </c>
      <c r="C1014" t="s">
        <v>104</v>
      </c>
      <c r="D1014" t="s">
        <v>1683</v>
      </c>
      <c r="E1014">
        <v>62</v>
      </c>
      <c r="F1014" t="s">
        <v>1578</v>
      </c>
      <c r="G1014" t="s">
        <v>487</v>
      </c>
    </row>
    <row r="1015" spans="1:7">
      <c r="A1015" t="s">
        <v>2618</v>
      </c>
      <c r="B1015" s="2">
        <v>45720</v>
      </c>
      <c r="C1015" t="s">
        <v>61</v>
      </c>
      <c r="D1015" t="s">
        <v>1629</v>
      </c>
      <c r="E1015">
        <v>117.3</v>
      </c>
      <c r="F1015" t="s">
        <v>1578</v>
      </c>
      <c r="G1015" t="s">
        <v>1148</v>
      </c>
    </row>
    <row r="1016" spans="1:7">
      <c r="A1016" t="s">
        <v>2619</v>
      </c>
      <c r="B1016" s="2">
        <v>45720</v>
      </c>
      <c r="C1016" t="s">
        <v>65</v>
      </c>
      <c r="D1016" t="s">
        <v>1629</v>
      </c>
      <c r="E1016">
        <v>116.72</v>
      </c>
      <c r="F1016" t="s">
        <v>1578</v>
      </c>
      <c r="G1016" t="s">
        <v>1148</v>
      </c>
    </row>
    <row r="1017" spans="1:7">
      <c r="A1017" t="s">
        <v>2620</v>
      </c>
      <c r="B1017" s="2">
        <v>45720</v>
      </c>
      <c r="C1017" t="s">
        <v>68</v>
      </c>
      <c r="D1017" t="s">
        <v>1629</v>
      </c>
      <c r="E1017">
        <v>117.3</v>
      </c>
      <c r="F1017" t="s">
        <v>1578</v>
      </c>
      <c r="G1017" t="s">
        <v>1148</v>
      </c>
    </row>
    <row r="1018" spans="1:7">
      <c r="A1018" t="s">
        <v>2621</v>
      </c>
      <c r="B1018" s="2">
        <v>45720</v>
      </c>
      <c r="C1018" t="s">
        <v>75</v>
      </c>
      <c r="D1018" t="s">
        <v>1629</v>
      </c>
      <c r="E1018">
        <v>116.15</v>
      </c>
      <c r="F1018" t="s">
        <v>1578</v>
      </c>
      <c r="G1018" t="s">
        <v>1148</v>
      </c>
    </row>
    <row r="1019" spans="1:7">
      <c r="A1019" t="s">
        <v>2622</v>
      </c>
      <c r="B1019" s="2">
        <v>45720</v>
      </c>
      <c r="C1019" t="s">
        <v>79</v>
      </c>
      <c r="D1019" t="s">
        <v>1629</v>
      </c>
      <c r="E1019">
        <v>117.3</v>
      </c>
      <c r="F1019" t="s">
        <v>1578</v>
      </c>
      <c r="G1019" t="s">
        <v>1148</v>
      </c>
    </row>
    <row r="1020" spans="1:7">
      <c r="A1020" t="s">
        <v>2623</v>
      </c>
      <c r="B1020" s="2">
        <v>45720</v>
      </c>
      <c r="C1020" t="s">
        <v>81</v>
      </c>
      <c r="D1020" t="s">
        <v>1629</v>
      </c>
      <c r="E1020">
        <v>232.3</v>
      </c>
      <c r="F1020" t="s">
        <v>1578</v>
      </c>
      <c r="G1020" t="s">
        <v>1148</v>
      </c>
    </row>
    <row r="1021" spans="1:7">
      <c r="A1021" t="s">
        <v>2624</v>
      </c>
      <c r="B1021" s="2">
        <v>45720</v>
      </c>
      <c r="C1021" t="s">
        <v>97</v>
      </c>
      <c r="D1021" t="s">
        <v>1629</v>
      </c>
      <c r="E1021">
        <v>117.3</v>
      </c>
      <c r="F1021" t="s">
        <v>1578</v>
      </c>
      <c r="G1021" t="s">
        <v>1148</v>
      </c>
    </row>
    <row r="1022" spans="1:7">
      <c r="A1022" t="s">
        <v>2625</v>
      </c>
      <c r="B1022" s="2">
        <v>45720</v>
      </c>
      <c r="C1022" t="s">
        <v>110</v>
      </c>
      <c r="D1022" t="s">
        <v>1629</v>
      </c>
      <c r="E1022">
        <v>117.3</v>
      </c>
      <c r="F1022" t="s">
        <v>1578</v>
      </c>
      <c r="G1022" t="s">
        <v>1148</v>
      </c>
    </row>
    <row r="1023" spans="1:7">
      <c r="A1023" t="s">
        <v>2626</v>
      </c>
      <c r="B1023" s="2">
        <v>45720</v>
      </c>
      <c r="C1023" t="s">
        <v>114</v>
      </c>
      <c r="D1023" t="s">
        <v>1629</v>
      </c>
      <c r="E1023">
        <v>116.15</v>
      </c>
      <c r="F1023" t="s">
        <v>1578</v>
      </c>
      <c r="G1023" t="s">
        <v>1148</v>
      </c>
    </row>
    <row r="1024" spans="1:7">
      <c r="A1024" t="s">
        <v>2627</v>
      </c>
      <c r="B1024" s="2">
        <v>45720</v>
      </c>
      <c r="C1024" t="s">
        <v>117</v>
      </c>
      <c r="D1024" t="s">
        <v>1629</v>
      </c>
      <c r="E1024">
        <v>115.57</v>
      </c>
      <c r="F1024" t="s">
        <v>1578</v>
      </c>
      <c r="G1024" t="s">
        <v>1148</v>
      </c>
    </row>
    <row r="1025" spans="1:7">
      <c r="A1025" t="s">
        <v>2628</v>
      </c>
      <c r="B1025" s="2">
        <v>45720</v>
      </c>
      <c r="C1025" t="s">
        <v>119</v>
      </c>
      <c r="D1025" t="s">
        <v>1629</v>
      </c>
      <c r="E1025">
        <v>116.15</v>
      </c>
      <c r="F1025" t="s">
        <v>1578</v>
      </c>
      <c r="G1025" t="s">
        <v>1148</v>
      </c>
    </row>
    <row r="1026" spans="1:7">
      <c r="A1026" t="s">
        <v>2629</v>
      </c>
      <c r="B1026" s="2">
        <v>45720</v>
      </c>
      <c r="C1026" t="s">
        <v>61</v>
      </c>
      <c r="D1026" t="s">
        <v>1629</v>
      </c>
      <c r="E1026">
        <v>331.5</v>
      </c>
      <c r="F1026" t="s">
        <v>1578</v>
      </c>
      <c r="G1026" t="s">
        <v>1149</v>
      </c>
    </row>
    <row r="1027" spans="1:7">
      <c r="A1027" t="s">
        <v>2630</v>
      </c>
      <c r="B1027" s="2">
        <v>45720</v>
      </c>
      <c r="C1027" t="s">
        <v>65</v>
      </c>
      <c r="D1027" t="s">
        <v>1629</v>
      </c>
      <c r="E1027">
        <v>329.87</v>
      </c>
      <c r="F1027" t="s">
        <v>1578</v>
      </c>
      <c r="G1027" t="s">
        <v>1149</v>
      </c>
    </row>
    <row r="1028" spans="1:7">
      <c r="A1028" t="s">
        <v>2631</v>
      </c>
      <c r="B1028" s="2">
        <v>45720</v>
      </c>
      <c r="C1028" t="s">
        <v>68</v>
      </c>
      <c r="D1028" t="s">
        <v>1629</v>
      </c>
      <c r="E1028">
        <v>331.5</v>
      </c>
      <c r="F1028" t="s">
        <v>1578</v>
      </c>
      <c r="G1028" t="s">
        <v>1149</v>
      </c>
    </row>
    <row r="1029" spans="1:7">
      <c r="A1029" t="s">
        <v>2632</v>
      </c>
      <c r="B1029" s="2">
        <v>45720</v>
      </c>
      <c r="C1029" t="s">
        <v>70</v>
      </c>
      <c r="D1029" t="s">
        <v>1629</v>
      </c>
      <c r="E1029">
        <v>328.25</v>
      </c>
      <c r="F1029" t="s">
        <v>1578</v>
      </c>
      <c r="G1029" t="s">
        <v>1149</v>
      </c>
    </row>
    <row r="1030" spans="1:7">
      <c r="A1030" t="s">
        <v>2633</v>
      </c>
      <c r="B1030" s="2">
        <v>45720</v>
      </c>
      <c r="C1030" t="s">
        <v>73</v>
      </c>
      <c r="D1030" t="s">
        <v>1629</v>
      </c>
      <c r="E1030">
        <v>331.5</v>
      </c>
      <c r="F1030" t="s">
        <v>1578</v>
      </c>
      <c r="G1030" t="s">
        <v>1149</v>
      </c>
    </row>
    <row r="1031" spans="1:7">
      <c r="A1031" t="s">
        <v>2634</v>
      </c>
      <c r="B1031" s="2">
        <v>45720</v>
      </c>
      <c r="C1031" t="s">
        <v>75</v>
      </c>
      <c r="D1031" t="s">
        <v>1629</v>
      </c>
      <c r="E1031">
        <v>328.25</v>
      </c>
      <c r="F1031" t="s">
        <v>1578</v>
      </c>
      <c r="G1031" t="s">
        <v>1149</v>
      </c>
    </row>
    <row r="1032" spans="1:7">
      <c r="A1032" t="s">
        <v>2635</v>
      </c>
      <c r="B1032" s="2">
        <v>45720</v>
      </c>
      <c r="C1032" t="s">
        <v>77</v>
      </c>
      <c r="D1032" t="s">
        <v>1629</v>
      </c>
      <c r="E1032">
        <v>328.25</v>
      </c>
      <c r="F1032" t="s">
        <v>1578</v>
      </c>
      <c r="G1032" t="s">
        <v>1149</v>
      </c>
    </row>
    <row r="1033" spans="1:7">
      <c r="A1033" t="s">
        <v>2636</v>
      </c>
      <c r="B1033" s="2">
        <v>45720</v>
      </c>
      <c r="C1033" t="s">
        <v>79</v>
      </c>
      <c r="D1033" t="s">
        <v>1629</v>
      </c>
      <c r="E1033">
        <v>331.5</v>
      </c>
      <c r="F1033" t="s">
        <v>1578</v>
      </c>
      <c r="G1033" t="s">
        <v>1149</v>
      </c>
    </row>
    <row r="1034" spans="1:7">
      <c r="A1034" t="s">
        <v>2637</v>
      </c>
      <c r="B1034" s="2">
        <v>45720</v>
      </c>
      <c r="C1034" t="s">
        <v>81</v>
      </c>
      <c r="D1034" t="s">
        <v>1629</v>
      </c>
      <c r="E1034">
        <v>656.5</v>
      </c>
      <c r="F1034" t="s">
        <v>1578</v>
      </c>
      <c r="G1034" t="s">
        <v>1149</v>
      </c>
    </row>
    <row r="1035" spans="1:7">
      <c r="A1035" t="s">
        <v>2638</v>
      </c>
      <c r="B1035" s="2">
        <v>45720</v>
      </c>
      <c r="C1035" t="s">
        <v>108</v>
      </c>
      <c r="D1035" t="s">
        <v>1629</v>
      </c>
      <c r="E1035">
        <v>659.75</v>
      </c>
      <c r="F1035" t="s">
        <v>1578</v>
      </c>
      <c r="G1035" t="s">
        <v>1149</v>
      </c>
    </row>
    <row r="1036" spans="1:7">
      <c r="A1036" t="s">
        <v>2639</v>
      </c>
      <c r="B1036" s="2">
        <v>45720</v>
      </c>
      <c r="C1036" t="s">
        <v>110</v>
      </c>
      <c r="D1036" t="s">
        <v>1629</v>
      </c>
      <c r="E1036">
        <v>331.5</v>
      </c>
      <c r="F1036" t="s">
        <v>1578</v>
      </c>
      <c r="G1036" t="s">
        <v>1149</v>
      </c>
    </row>
    <row r="1037" spans="1:7">
      <c r="A1037" t="s">
        <v>2640</v>
      </c>
      <c r="B1037" s="2">
        <v>45720</v>
      </c>
      <c r="C1037" t="s">
        <v>114</v>
      </c>
      <c r="D1037" t="s">
        <v>1629</v>
      </c>
      <c r="E1037">
        <v>328.25</v>
      </c>
      <c r="F1037" t="s">
        <v>1578</v>
      </c>
      <c r="G1037" t="s">
        <v>1149</v>
      </c>
    </row>
    <row r="1038" spans="1:7">
      <c r="A1038" t="s">
        <v>2641</v>
      </c>
      <c r="B1038" s="2">
        <v>45720</v>
      </c>
      <c r="C1038" t="s">
        <v>117</v>
      </c>
      <c r="D1038" t="s">
        <v>1629</v>
      </c>
      <c r="E1038">
        <v>326.62</v>
      </c>
      <c r="F1038" t="s">
        <v>1578</v>
      </c>
      <c r="G1038" t="s">
        <v>1149</v>
      </c>
    </row>
    <row r="1039" spans="1:7">
      <c r="A1039" t="s">
        <v>2642</v>
      </c>
      <c r="B1039" s="2">
        <v>45720</v>
      </c>
      <c r="C1039" t="s">
        <v>119</v>
      </c>
      <c r="D1039" t="s">
        <v>1629</v>
      </c>
      <c r="E1039">
        <v>328.25</v>
      </c>
      <c r="F1039" t="s">
        <v>1578</v>
      </c>
      <c r="G1039" t="s">
        <v>1149</v>
      </c>
    </row>
    <row r="1040" spans="1:7">
      <c r="A1040" t="s">
        <v>2643</v>
      </c>
      <c r="B1040" s="2">
        <v>45720</v>
      </c>
      <c r="C1040" t="s">
        <v>95</v>
      </c>
      <c r="D1040" t="s">
        <v>1683</v>
      </c>
      <c r="E1040">
        <v>110</v>
      </c>
      <c r="F1040" t="s">
        <v>1578</v>
      </c>
      <c r="G1040" t="s">
        <v>489</v>
      </c>
    </row>
    <row r="1041" spans="1:7">
      <c r="A1041" t="s">
        <v>2644</v>
      </c>
      <c r="B1041" s="2">
        <v>45721</v>
      </c>
      <c r="C1041" t="s">
        <v>61</v>
      </c>
      <c r="D1041" t="s">
        <v>1629</v>
      </c>
      <c r="E1041">
        <v>268.26</v>
      </c>
      <c r="F1041" t="s">
        <v>1578</v>
      </c>
      <c r="G1041" t="s">
        <v>1150</v>
      </c>
    </row>
    <row r="1042" spans="1:7">
      <c r="A1042" t="s">
        <v>2645</v>
      </c>
      <c r="B1042" s="2">
        <v>45721</v>
      </c>
      <c r="C1042" t="s">
        <v>65</v>
      </c>
      <c r="D1042" t="s">
        <v>1629</v>
      </c>
      <c r="E1042">
        <v>266.94</v>
      </c>
      <c r="F1042" t="s">
        <v>1578</v>
      </c>
      <c r="G1042" t="s">
        <v>1150</v>
      </c>
    </row>
    <row r="1043" spans="1:7">
      <c r="A1043" t="s">
        <v>2646</v>
      </c>
      <c r="B1043" s="2">
        <v>45721</v>
      </c>
      <c r="C1043" t="s">
        <v>68</v>
      </c>
      <c r="D1043" t="s">
        <v>1629</v>
      </c>
      <c r="E1043">
        <v>268.26</v>
      </c>
      <c r="F1043" t="s">
        <v>1578</v>
      </c>
      <c r="G1043" t="s">
        <v>1150</v>
      </c>
    </row>
    <row r="1044" spans="1:7">
      <c r="A1044" t="s">
        <v>2647</v>
      </c>
      <c r="B1044" s="2">
        <v>45721</v>
      </c>
      <c r="C1044" t="s">
        <v>70</v>
      </c>
      <c r="D1044" t="s">
        <v>1629</v>
      </c>
      <c r="E1044">
        <v>265.63</v>
      </c>
      <c r="F1044" t="s">
        <v>1578</v>
      </c>
      <c r="G1044" t="s">
        <v>1150</v>
      </c>
    </row>
    <row r="1045" spans="1:7">
      <c r="A1045" t="s">
        <v>2648</v>
      </c>
      <c r="B1045" s="2">
        <v>45721</v>
      </c>
      <c r="C1045" t="s">
        <v>73</v>
      </c>
      <c r="D1045" t="s">
        <v>1629</v>
      </c>
      <c r="E1045">
        <v>268.26</v>
      </c>
      <c r="F1045" t="s">
        <v>1578</v>
      </c>
      <c r="G1045" t="s">
        <v>1150</v>
      </c>
    </row>
    <row r="1046" spans="1:7">
      <c r="A1046" t="s">
        <v>2649</v>
      </c>
      <c r="B1046" s="2">
        <v>45721</v>
      </c>
      <c r="C1046" t="s">
        <v>75</v>
      </c>
      <c r="D1046" t="s">
        <v>1629</v>
      </c>
      <c r="E1046">
        <v>265.63</v>
      </c>
      <c r="F1046" t="s">
        <v>1578</v>
      </c>
      <c r="G1046" t="s">
        <v>1150</v>
      </c>
    </row>
    <row r="1047" spans="1:7">
      <c r="A1047" t="s">
        <v>2650</v>
      </c>
      <c r="B1047" s="2">
        <v>45721</v>
      </c>
      <c r="C1047" t="s">
        <v>77</v>
      </c>
      <c r="D1047" t="s">
        <v>1629</v>
      </c>
      <c r="E1047">
        <v>265.63</v>
      </c>
      <c r="F1047" t="s">
        <v>1578</v>
      </c>
      <c r="G1047" t="s">
        <v>1150</v>
      </c>
    </row>
    <row r="1048" spans="1:7">
      <c r="A1048" t="s">
        <v>2651</v>
      </c>
      <c r="B1048" s="2">
        <v>45721</v>
      </c>
      <c r="C1048" t="s">
        <v>79</v>
      </c>
      <c r="D1048" t="s">
        <v>1629</v>
      </c>
      <c r="E1048">
        <v>268.26</v>
      </c>
      <c r="F1048" t="s">
        <v>1578</v>
      </c>
      <c r="G1048" t="s">
        <v>1150</v>
      </c>
    </row>
    <row r="1049" spans="1:7">
      <c r="A1049" t="s">
        <v>2652</v>
      </c>
      <c r="B1049" s="2">
        <v>45721</v>
      </c>
      <c r="C1049" t="s">
        <v>81</v>
      </c>
      <c r="D1049" t="s">
        <v>1629</v>
      </c>
      <c r="E1049">
        <v>531.26</v>
      </c>
      <c r="F1049" t="s">
        <v>1578</v>
      </c>
      <c r="G1049" t="s">
        <v>1150</v>
      </c>
    </row>
    <row r="1050" spans="1:7">
      <c r="A1050" t="s">
        <v>2653</v>
      </c>
      <c r="B1050" s="2">
        <v>45721</v>
      </c>
      <c r="C1050" t="s">
        <v>108</v>
      </c>
      <c r="D1050" t="s">
        <v>1629</v>
      </c>
      <c r="E1050">
        <v>533.89</v>
      </c>
      <c r="F1050" t="s">
        <v>1578</v>
      </c>
      <c r="G1050" t="s">
        <v>1150</v>
      </c>
    </row>
    <row r="1051" spans="1:7">
      <c r="A1051" t="s">
        <v>2654</v>
      </c>
      <c r="B1051" s="2">
        <v>45721</v>
      </c>
      <c r="C1051" t="s">
        <v>110</v>
      </c>
      <c r="D1051" t="s">
        <v>1629</v>
      </c>
      <c r="E1051">
        <v>268.26</v>
      </c>
      <c r="F1051" t="s">
        <v>1578</v>
      </c>
      <c r="G1051" t="s">
        <v>1150</v>
      </c>
    </row>
    <row r="1052" spans="1:7">
      <c r="A1052" t="s">
        <v>2655</v>
      </c>
      <c r="B1052" s="2">
        <v>45721</v>
      </c>
      <c r="C1052" t="s">
        <v>114</v>
      </c>
      <c r="D1052" t="s">
        <v>1629</v>
      </c>
      <c r="E1052">
        <v>265.63</v>
      </c>
      <c r="F1052" t="s">
        <v>1578</v>
      </c>
      <c r="G1052" t="s">
        <v>1150</v>
      </c>
    </row>
    <row r="1053" spans="1:7">
      <c r="A1053" t="s">
        <v>2656</v>
      </c>
      <c r="B1053" s="2">
        <v>45721</v>
      </c>
      <c r="C1053" t="s">
        <v>117</v>
      </c>
      <c r="D1053" t="s">
        <v>1629</v>
      </c>
      <c r="E1053">
        <v>264.32</v>
      </c>
      <c r="F1053" t="s">
        <v>1578</v>
      </c>
      <c r="G1053" t="s">
        <v>1150</v>
      </c>
    </row>
    <row r="1054" spans="1:7">
      <c r="A1054" t="s">
        <v>2657</v>
      </c>
      <c r="B1054" s="2">
        <v>45721</v>
      </c>
      <c r="C1054" t="s">
        <v>119</v>
      </c>
      <c r="D1054" t="s">
        <v>1629</v>
      </c>
      <c r="E1054">
        <v>265.63</v>
      </c>
      <c r="F1054" t="s">
        <v>1578</v>
      </c>
      <c r="G1054" t="s">
        <v>1150</v>
      </c>
    </row>
    <row r="1055" spans="1:7">
      <c r="A1055" t="s">
        <v>2658</v>
      </c>
      <c r="B1055" s="2">
        <v>45721</v>
      </c>
      <c r="C1055" t="s">
        <v>75</v>
      </c>
      <c r="D1055" t="s">
        <v>1629</v>
      </c>
      <c r="E1055">
        <v>342.39</v>
      </c>
      <c r="F1055" t="s">
        <v>1578</v>
      </c>
      <c r="G1055" t="s">
        <v>1151</v>
      </c>
    </row>
    <row r="1056" spans="1:7">
      <c r="A1056" t="s">
        <v>2659</v>
      </c>
      <c r="B1056" s="2">
        <v>45721</v>
      </c>
      <c r="C1056" t="s">
        <v>104</v>
      </c>
      <c r="D1056" t="s">
        <v>1629</v>
      </c>
      <c r="E1056">
        <v>698.34</v>
      </c>
      <c r="F1056" t="s">
        <v>1578</v>
      </c>
      <c r="G1056" t="s">
        <v>1151</v>
      </c>
    </row>
    <row r="1057" spans="1:7">
      <c r="A1057" t="s">
        <v>2660</v>
      </c>
      <c r="B1057" s="2">
        <v>45721</v>
      </c>
      <c r="C1057" t="s">
        <v>108</v>
      </c>
      <c r="D1057" t="s">
        <v>1629</v>
      </c>
      <c r="E1057">
        <v>688.17</v>
      </c>
      <c r="F1057" t="s">
        <v>1578</v>
      </c>
      <c r="G1057" t="s">
        <v>1151</v>
      </c>
    </row>
    <row r="1058" spans="1:7">
      <c r="A1058" t="s">
        <v>2661</v>
      </c>
      <c r="B1058" s="2">
        <v>45721</v>
      </c>
      <c r="C1058" t="s">
        <v>110</v>
      </c>
      <c r="D1058" t="s">
        <v>1629</v>
      </c>
      <c r="E1058">
        <v>345.78</v>
      </c>
      <c r="F1058" t="s">
        <v>1578</v>
      </c>
      <c r="G1058" t="s">
        <v>1151</v>
      </c>
    </row>
    <row r="1059" spans="1:7">
      <c r="A1059" t="s">
        <v>2662</v>
      </c>
      <c r="B1059" s="2">
        <v>45721</v>
      </c>
      <c r="C1059" t="s">
        <v>114</v>
      </c>
      <c r="D1059" t="s">
        <v>1629</v>
      </c>
      <c r="E1059">
        <v>342.39</v>
      </c>
      <c r="F1059" t="s">
        <v>1578</v>
      </c>
      <c r="G1059" t="s">
        <v>1151</v>
      </c>
    </row>
    <row r="1060" spans="1:7">
      <c r="A1060" t="s">
        <v>2663</v>
      </c>
      <c r="B1060" s="2">
        <v>45721</v>
      </c>
      <c r="C1060" t="s">
        <v>117</v>
      </c>
      <c r="D1060" t="s">
        <v>1629</v>
      </c>
      <c r="E1060">
        <v>340.69</v>
      </c>
      <c r="F1060" t="s">
        <v>1578</v>
      </c>
      <c r="G1060" t="s">
        <v>1151</v>
      </c>
    </row>
    <row r="1061" spans="1:7">
      <c r="A1061" t="s">
        <v>2664</v>
      </c>
      <c r="B1061" s="2">
        <v>45721</v>
      </c>
      <c r="C1061" t="s">
        <v>119</v>
      </c>
      <c r="D1061" t="s">
        <v>1629</v>
      </c>
      <c r="E1061">
        <v>342.39</v>
      </c>
      <c r="F1061" t="s">
        <v>1578</v>
      </c>
      <c r="G1061" t="s">
        <v>1151</v>
      </c>
    </row>
    <row r="1062" spans="1:7">
      <c r="A1062" t="s">
        <v>2665</v>
      </c>
      <c r="B1062" s="2">
        <v>45722</v>
      </c>
      <c r="C1062" t="s">
        <v>61</v>
      </c>
      <c r="D1062" t="s">
        <v>1629</v>
      </c>
      <c r="E1062">
        <v>459</v>
      </c>
      <c r="F1062" t="s">
        <v>1578</v>
      </c>
      <c r="G1062" t="s">
        <v>1152</v>
      </c>
    </row>
    <row r="1063" spans="1:7">
      <c r="A1063" t="s">
        <v>2666</v>
      </c>
      <c r="B1063" s="2">
        <v>45722</v>
      </c>
      <c r="C1063" t="s">
        <v>65</v>
      </c>
      <c r="D1063" t="s">
        <v>1629</v>
      </c>
      <c r="E1063">
        <v>456.75</v>
      </c>
      <c r="F1063" t="s">
        <v>1578</v>
      </c>
      <c r="G1063" t="s">
        <v>1152</v>
      </c>
    </row>
    <row r="1064" spans="1:7">
      <c r="A1064" t="s">
        <v>2667</v>
      </c>
      <c r="B1064" s="2">
        <v>45722</v>
      </c>
      <c r="C1064" t="s">
        <v>68</v>
      </c>
      <c r="D1064" t="s">
        <v>1629</v>
      </c>
      <c r="E1064">
        <v>459</v>
      </c>
      <c r="F1064" t="s">
        <v>1578</v>
      </c>
      <c r="G1064" t="s">
        <v>1152</v>
      </c>
    </row>
    <row r="1065" spans="1:7">
      <c r="A1065" t="s">
        <v>2668</v>
      </c>
      <c r="B1065" s="2">
        <v>45722</v>
      </c>
      <c r="C1065" t="s">
        <v>75</v>
      </c>
      <c r="D1065" t="s">
        <v>1629</v>
      </c>
      <c r="E1065">
        <v>454.5</v>
      </c>
      <c r="F1065" t="s">
        <v>1578</v>
      </c>
      <c r="G1065" t="s">
        <v>1152</v>
      </c>
    </row>
    <row r="1066" spans="1:7">
      <c r="A1066" t="s">
        <v>2669</v>
      </c>
      <c r="B1066" s="2">
        <v>45722</v>
      </c>
      <c r="C1066" t="s">
        <v>79</v>
      </c>
      <c r="D1066" t="s">
        <v>1629</v>
      </c>
      <c r="E1066">
        <v>459</v>
      </c>
      <c r="F1066" t="s">
        <v>1578</v>
      </c>
      <c r="G1066" t="s">
        <v>1152</v>
      </c>
    </row>
    <row r="1067" spans="1:7">
      <c r="A1067" t="s">
        <v>2670</v>
      </c>
      <c r="B1067" s="2">
        <v>45722</v>
      </c>
      <c r="C1067" t="s">
        <v>81</v>
      </c>
      <c r="D1067" t="s">
        <v>1629</v>
      </c>
      <c r="E1067">
        <v>909</v>
      </c>
      <c r="F1067" t="s">
        <v>1578</v>
      </c>
      <c r="G1067" t="s">
        <v>1152</v>
      </c>
    </row>
    <row r="1068" spans="1:7">
      <c r="A1068" t="s">
        <v>2671</v>
      </c>
      <c r="B1068" s="2">
        <v>45722</v>
      </c>
      <c r="C1068" t="s">
        <v>97</v>
      </c>
      <c r="D1068" t="s">
        <v>1629</v>
      </c>
      <c r="E1068">
        <v>459</v>
      </c>
      <c r="F1068" t="s">
        <v>1578</v>
      </c>
      <c r="G1068" t="s">
        <v>1152</v>
      </c>
    </row>
    <row r="1069" spans="1:7">
      <c r="A1069" t="s">
        <v>2672</v>
      </c>
      <c r="B1069" s="2">
        <v>45722</v>
      </c>
      <c r="C1069" t="s">
        <v>110</v>
      </c>
      <c r="D1069" t="s">
        <v>1629</v>
      </c>
      <c r="E1069">
        <v>459</v>
      </c>
      <c r="F1069" t="s">
        <v>1578</v>
      </c>
      <c r="G1069" t="s">
        <v>1152</v>
      </c>
    </row>
    <row r="1070" spans="1:7">
      <c r="A1070" t="s">
        <v>2673</v>
      </c>
      <c r="B1070" s="2">
        <v>45722</v>
      </c>
      <c r="C1070" t="s">
        <v>114</v>
      </c>
      <c r="D1070" t="s">
        <v>1629</v>
      </c>
      <c r="E1070">
        <v>454.5</v>
      </c>
      <c r="F1070" t="s">
        <v>1578</v>
      </c>
      <c r="G1070" t="s">
        <v>1152</v>
      </c>
    </row>
    <row r="1071" spans="1:7">
      <c r="A1071" t="s">
        <v>2674</v>
      </c>
      <c r="B1071" s="2">
        <v>45722</v>
      </c>
      <c r="C1071" t="s">
        <v>117</v>
      </c>
      <c r="D1071" t="s">
        <v>1629</v>
      </c>
      <c r="E1071">
        <v>452.25</v>
      </c>
      <c r="F1071" t="s">
        <v>1578</v>
      </c>
      <c r="G1071" t="s">
        <v>1152</v>
      </c>
    </row>
    <row r="1072" spans="1:7">
      <c r="A1072" t="s">
        <v>2675</v>
      </c>
      <c r="B1072" s="2">
        <v>45722</v>
      </c>
      <c r="C1072" t="s">
        <v>119</v>
      </c>
      <c r="D1072" t="s">
        <v>1629</v>
      </c>
      <c r="E1072">
        <v>454.5</v>
      </c>
      <c r="F1072" t="s">
        <v>1578</v>
      </c>
      <c r="G1072" t="s">
        <v>1152</v>
      </c>
    </row>
    <row r="1073" spans="1:7">
      <c r="A1073" t="s">
        <v>2676</v>
      </c>
      <c r="B1073" s="2">
        <v>45722</v>
      </c>
      <c r="C1073" t="s">
        <v>99</v>
      </c>
      <c r="D1073" t="s">
        <v>1683</v>
      </c>
      <c r="E1073">
        <v>226</v>
      </c>
      <c r="F1073" t="s">
        <v>1578</v>
      </c>
      <c r="G1073" t="s">
        <v>491</v>
      </c>
    </row>
    <row r="1074" spans="1:7">
      <c r="A1074" t="s">
        <v>2677</v>
      </c>
      <c r="B1074" s="2">
        <v>45722</v>
      </c>
      <c r="C1074" t="s">
        <v>102</v>
      </c>
      <c r="D1074" t="s">
        <v>1683</v>
      </c>
      <c r="E1074">
        <v>175</v>
      </c>
      <c r="F1074" t="s">
        <v>1578</v>
      </c>
      <c r="G1074" t="s">
        <v>492</v>
      </c>
    </row>
    <row r="1075" spans="1:7">
      <c r="A1075" t="s">
        <v>2678</v>
      </c>
      <c r="B1075" s="2">
        <v>45723</v>
      </c>
      <c r="C1075" t="s">
        <v>61</v>
      </c>
      <c r="D1075" t="s">
        <v>1629</v>
      </c>
      <c r="E1075">
        <v>194.82</v>
      </c>
      <c r="F1075" t="s">
        <v>1578</v>
      </c>
      <c r="G1075" t="s">
        <v>1153</v>
      </c>
    </row>
    <row r="1076" spans="1:7">
      <c r="A1076" t="s">
        <v>2679</v>
      </c>
      <c r="B1076" s="2">
        <v>45723</v>
      </c>
      <c r="C1076" t="s">
        <v>65</v>
      </c>
      <c r="D1076" t="s">
        <v>1629</v>
      </c>
      <c r="E1076">
        <v>193.86</v>
      </c>
      <c r="F1076" t="s">
        <v>1578</v>
      </c>
      <c r="G1076" t="s">
        <v>1153</v>
      </c>
    </row>
    <row r="1077" spans="1:7">
      <c r="A1077" t="s">
        <v>2680</v>
      </c>
      <c r="B1077" s="2">
        <v>45723</v>
      </c>
      <c r="C1077" t="s">
        <v>68</v>
      </c>
      <c r="D1077" t="s">
        <v>1629</v>
      </c>
      <c r="E1077">
        <v>194.82</v>
      </c>
      <c r="F1077" t="s">
        <v>1578</v>
      </c>
      <c r="G1077" t="s">
        <v>1153</v>
      </c>
    </row>
    <row r="1078" spans="1:7">
      <c r="A1078" t="s">
        <v>2681</v>
      </c>
      <c r="B1078" s="2">
        <v>45723</v>
      </c>
      <c r="C1078" t="s">
        <v>70</v>
      </c>
      <c r="D1078" t="s">
        <v>1629</v>
      </c>
      <c r="E1078">
        <v>192.91</v>
      </c>
      <c r="F1078" t="s">
        <v>1578</v>
      </c>
      <c r="G1078" t="s">
        <v>1153</v>
      </c>
    </row>
    <row r="1079" spans="1:7">
      <c r="A1079" t="s">
        <v>2682</v>
      </c>
      <c r="B1079" s="2">
        <v>45723</v>
      </c>
      <c r="C1079" t="s">
        <v>75</v>
      </c>
      <c r="D1079" t="s">
        <v>1629</v>
      </c>
      <c r="E1079">
        <v>192.91</v>
      </c>
      <c r="F1079" t="s">
        <v>1578</v>
      </c>
      <c r="G1079" t="s">
        <v>1153</v>
      </c>
    </row>
    <row r="1080" spans="1:7">
      <c r="A1080" t="s">
        <v>2683</v>
      </c>
      <c r="B1080" s="2">
        <v>45723</v>
      </c>
      <c r="C1080" t="s">
        <v>77</v>
      </c>
      <c r="D1080" t="s">
        <v>1629</v>
      </c>
      <c r="E1080">
        <v>192.91</v>
      </c>
      <c r="F1080" t="s">
        <v>1578</v>
      </c>
      <c r="G1080" t="s">
        <v>1153</v>
      </c>
    </row>
    <row r="1081" spans="1:7">
      <c r="A1081" t="s">
        <v>2684</v>
      </c>
      <c r="B1081" s="2">
        <v>45723</v>
      </c>
      <c r="C1081" t="s">
        <v>79</v>
      </c>
      <c r="D1081" t="s">
        <v>1629</v>
      </c>
      <c r="E1081">
        <v>194.82</v>
      </c>
      <c r="F1081" t="s">
        <v>1578</v>
      </c>
      <c r="G1081" t="s">
        <v>1153</v>
      </c>
    </row>
    <row r="1082" spans="1:7">
      <c r="A1082" t="s">
        <v>2685</v>
      </c>
      <c r="B1082" s="2">
        <v>45723</v>
      </c>
      <c r="C1082" t="s">
        <v>81</v>
      </c>
      <c r="D1082" t="s">
        <v>1629</v>
      </c>
      <c r="E1082">
        <v>385.82</v>
      </c>
      <c r="F1082" t="s">
        <v>1578</v>
      </c>
      <c r="G1082" t="s">
        <v>1153</v>
      </c>
    </row>
    <row r="1083" spans="1:7">
      <c r="A1083" t="s">
        <v>2686</v>
      </c>
      <c r="B1083" s="2">
        <v>45723</v>
      </c>
      <c r="C1083" t="s">
        <v>110</v>
      </c>
      <c r="D1083" t="s">
        <v>1629</v>
      </c>
      <c r="E1083">
        <v>194.82</v>
      </c>
      <c r="F1083" t="s">
        <v>1578</v>
      </c>
      <c r="G1083" t="s">
        <v>1153</v>
      </c>
    </row>
    <row r="1084" spans="1:7">
      <c r="A1084" t="s">
        <v>2687</v>
      </c>
      <c r="B1084" s="2">
        <v>45723</v>
      </c>
      <c r="C1084" t="s">
        <v>114</v>
      </c>
      <c r="D1084" t="s">
        <v>1629</v>
      </c>
      <c r="E1084">
        <v>192.91</v>
      </c>
      <c r="F1084" t="s">
        <v>1578</v>
      </c>
      <c r="G1084" t="s">
        <v>1153</v>
      </c>
    </row>
    <row r="1085" spans="1:7">
      <c r="A1085" t="s">
        <v>2688</v>
      </c>
      <c r="B1085" s="2">
        <v>45723</v>
      </c>
      <c r="C1085" t="s">
        <v>117</v>
      </c>
      <c r="D1085" t="s">
        <v>1629</v>
      </c>
      <c r="E1085">
        <v>191.96</v>
      </c>
      <c r="F1085" t="s">
        <v>1578</v>
      </c>
      <c r="G1085" t="s">
        <v>1153</v>
      </c>
    </row>
    <row r="1086" spans="1:7">
      <c r="A1086" t="s">
        <v>2689</v>
      </c>
      <c r="B1086" s="2">
        <v>45723</v>
      </c>
      <c r="C1086" t="s">
        <v>119</v>
      </c>
      <c r="D1086" t="s">
        <v>1629</v>
      </c>
      <c r="E1086">
        <v>192.91</v>
      </c>
      <c r="F1086" t="s">
        <v>1578</v>
      </c>
      <c r="G1086" t="s">
        <v>1153</v>
      </c>
    </row>
    <row r="1087" spans="1:7">
      <c r="A1087" t="s">
        <v>2690</v>
      </c>
      <c r="B1087" s="2">
        <v>45723</v>
      </c>
      <c r="C1087" t="s">
        <v>75</v>
      </c>
      <c r="D1087" t="s">
        <v>1629</v>
      </c>
      <c r="E1087">
        <v>207.05</v>
      </c>
      <c r="F1087" t="s">
        <v>1578</v>
      </c>
      <c r="G1087" t="s">
        <v>1154</v>
      </c>
    </row>
    <row r="1088" spans="1:7">
      <c r="A1088" t="s">
        <v>2691</v>
      </c>
      <c r="B1088" s="2">
        <v>45723</v>
      </c>
      <c r="C1088" t="s">
        <v>91</v>
      </c>
      <c r="D1088" t="s">
        <v>1629</v>
      </c>
      <c r="E1088">
        <v>210.12</v>
      </c>
      <c r="F1088" t="s">
        <v>1578</v>
      </c>
      <c r="G1088" t="s">
        <v>1154</v>
      </c>
    </row>
    <row r="1089" spans="1:7">
      <c r="A1089" t="s">
        <v>2692</v>
      </c>
      <c r="B1089" s="2">
        <v>45723</v>
      </c>
      <c r="C1089" t="s">
        <v>93</v>
      </c>
      <c r="D1089" t="s">
        <v>1629</v>
      </c>
      <c r="E1089">
        <v>209.1</v>
      </c>
      <c r="F1089" t="s">
        <v>1578</v>
      </c>
      <c r="G1089" t="s">
        <v>1154</v>
      </c>
    </row>
    <row r="1090" spans="1:7">
      <c r="A1090" t="s">
        <v>2693</v>
      </c>
      <c r="B1090" s="2">
        <v>45723</v>
      </c>
      <c r="C1090" t="s">
        <v>95</v>
      </c>
      <c r="D1090" t="s">
        <v>1629</v>
      </c>
      <c r="E1090">
        <v>208.08</v>
      </c>
      <c r="F1090" t="s">
        <v>1578</v>
      </c>
      <c r="G1090" t="s">
        <v>1154</v>
      </c>
    </row>
    <row r="1091" spans="1:7">
      <c r="A1091" t="s">
        <v>2694</v>
      </c>
      <c r="B1091" s="2">
        <v>45723</v>
      </c>
      <c r="C1091" t="s">
        <v>97</v>
      </c>
      <c r="D1091" t="s">
        <v>1629</v>
      </c>
      <c r="E1091">
        <v>207.05</v>
      </c>
      <c r="F1091" t="s">
        <v>1578</v>
      </c>
      <c r="G1091" t="s">
        <v>1154</v>
      </c>
    </row>
    <row r="1092" spans="1:7">
      <c r="A1092" t="s">
        <v>2695</v>
      </c>
      <c r="B1092" s="2">
        <v>45723</v>
      </c>
      <c r="C1092" t="s">
        <v>99</v>
      </c>
      <c r="D1092" t="s">
        <v>1629</v>
      </c>
      <c r="E1092">
        <v>105.58</v>
      </c>
      <c r="F1092" t="s">
        <v>1578</v>
      </c>
      <c r="G1092" t="s">
        <v>1154</v>
      </c>
    </row>
    <row r="1093" spans="1:7">
      <c r="A1093" t="s">
        <v>2696</v>
      </c>
      <c r="B1093" s="2">
        <v>45723</v>
      </c>
      <c r="C1093" t="s">
        <v>102</v>
      </c>
      <c r="D1093" t="s">
        <v>1629</v>
      </c>
      <c r="E1093">
        <v>209.1</v>
      </c>
      <c r="F1093" t="s">
        <v>1578</v>
      </c>
      <c r="G1093" t="s">
        <v>1154</v>
      </c>
    </row>
    <row r="1094" spans="1:7">
      <c r="A1094" t="s">
        <v>2697</v>
      </c>
      <c r="B1094" s="2">
        <v>45723</v>
      </c>
      <c r="C1094" t="s">
        <v>108</v>
      </c>
      <c r="D1094" t="s">
        <v>1629</v>
      </c>
      <c r="E1094">
        <v>416.15</v>
      </c>
      <c r="F1094" t="s">
        <v>1578</v>
      </c>
      <c r="G1094" t="s">
        <v>1154</v>
      </c>
    </row>
    <row r="1095" spans="1:7">
      <c r="A1095" t="s">
        <v>2698</v>
      </c>
      <c r="B1095" s="2">
        <v>45723</v>
      </c>
      <c r="C1095" t="s">
        <v>110</v>
      </c>
      <c r="D1095" t="s">
        <v>1629</v>
      </c>
      <c r="E1095">
        <v>209.1</v>
      </c>
      <c r="F1095" t="s">
        <v>1578</v>
      </c>
      <c r="G1095" t="s">
        <v>1154</v>
      </c>
    </row>
    <row r="1096" spans="1:7">
      <c r="A1096" t="s">
        <v>2699</v>
      </c>
      <c r="B1096" s="2">
        <v>45723</v>
      </c>
      <c r="C1096" t="s">
        <v>114</v>
      </c>
      <c r="D1096" t="s">
        <v>1629</v>
      </c>
      <c r="E1096">
        <v>207.05</v>
      </c>
      <c r="F1096" t="s">
        <v>1578</v>
      </c>
      <c r="G1096" t="s">
        <v>1154</v>
      </c>
    </row>
    <row r="1097" spans="1:7">
      <c r="A1097" t="s">
        <v>2700</v>
      </c>
      <c r="B1097" s="2">
        <v>45723</v>
      </c>
      <c r="C1097" t="s">
        <v>117</v>
      </c>
      <c r="D1097" t="s">
        <v>1629</v>
      </c>
      <c r="E1097">
        <v>206.02</v>
      </c>
      <c r="F1097" t="s">
        <v>1578</v>
      </c>
      <c r="G1097" t="s">
        <v>1154</v>
      </c>
    </row>
    <row r="1098" spans="1:7">
      <c r="A1098" t="s">
        <v>2701</v>
      </c>
      <c r="B1098" s="2">
        <v>45723</v>
      </c>
      <c r="C1098" t="s">
        <v>119</v>
      </c>
      <c r="D1098" t="s">
        <v>1629</v>
      </c>
      <c r="E1098">
        <v>207.05</v>
      </c>
      <c r="F1098" t="s">
        <v>1578</v>
      </c>
      <c r="G1098" t="s">
        <v>1154</v>
      </c>
    </row>
    <row r="1099" spans="1:7">
      <c r="A1099" t="s">
        <v>2702</v>
      </c>
      <c r="B1099" s="2">
        <v>45724</v>
      </c>
      <c r="C1099" t="s">
        <v>61</v>
      </c>
      <c r="D1099" t="s">
        <v>1629</v>
      </c>
      <c r="E1099">
        <v>224.4</v>
      </c>
      <c r="F1099" t="s">
        <v>1578</v>
      </c>
      <c r="G1099" t="s">
        <v>1155</v>
      </c>
    </row>
    <row r="1100" spans="1:7">
      <c r="A1100" t="s">
        <v>2703</v>
      </c>
      <c r="B1100" s="2">
        <v>45724</v>
      </c>
      <c r="C1100" t="s">
        <v>65</v>
      </c>
      <c r="D1100" t="s">
        <v>1629</v>
      </c>
      <c r="E1100">
        <v>223.3</v>
      </c>
      <c r="F1100" t="s">
        <v>1578</v>
      </c>
      <c r="G1100" t="s">
        <v>1155</v>
      </c>
    </row>
    <row r="1101" spans="1:7">
      <c r="A1101" t="s">
        <v>2704</v>
      </c>
      <c r="B1101" s="2">
        <v>45724</v>
      </c>
      <c r="C1101" t="s">
        <v>68</v>
      </c>
      <c r="D1101" t="s">
        <v>1629</v>
      </c>
      <c r="E1101">
        <v>224.4</v>
      </c>
      <c r="F1101" t="s">
        <v>1578</v>
      </c>
      <c r="G1101" t="s">
        <v>1155</v>
      </c>
    </row>
    <row r="1102" spans="1:7">
      <c r="A1102" t="s">
        <v>2705</v>
      </c>
      <c r="B1102" s="2">
        <v>45724</v>
      </c>
      <c r="C1102" t="s">
        <v>70</v>
      </c>
      <c r="D1102" t="s">
        <v>1629</v>
      </c>
      <c r="E1102">
        <v>222.2</v>
      </c>
      <c r="F1102" t="s">
        <v>1578</v>
      </c>
      <c r="G1102" t="s">
        <v>1155</v>
      </c>
    </row>
    <row r="1103" spans="1:7">
      <c r="A1103" t="s">
        <v>2706</v>
      </c>
      <c r="B1103" s="2">
        <v>45724</v>
      </c>
      <c r="C1103" t="s">
        <v>73</v>
      </c>
      <c r="D1103" t="s">
        <v>1629</v>
      </c>
      <c r="E1103">
        <v>224.4</v>
      </c>
      <c r="F1103" t="s">
        <v>1578</v>
      </c>
      <c r="G1103" t="s">
        <v>1155</v>
      </c>
    </row>
    <row r="1104" spans="1:7">
      <c r="A1104" t="s">
        <v>2707</v>
      </c>
      <c r="B1104" s="2">
        <v>45724</v>
      </c>
      <c r="C1104" t="s">
        <v>75</v>
      </c>
      <c r="D1104" t="s">
        <v>1629</v>
      </c>
      <c r="E1104">
        <v>222.2</v>
      </c>
      <c r="F1104" t="s">
        <v>1578</v>
      </c>
      <c r="G1104" t="s">
        <v>1155</v>
      </c>
    </row>
    <row r="1105" spans="1:7">
      <c r="A1105" t="s">
        <v>2708</v>
      </c>
      <c r="B1105" s="2">
        <v>45724</v>
      </c>
      <c r="C1105" t="s">
        <v>77</v>
      </c>
      <c r="D1105" t="s">
        <v>1629</v>
      </c>
      <c r="E1105">
        <v>222.2</v>
      </c>
      <c r="F1105" t="s">
        <v>1578</v>
      </c>
      <c r="G1105" t="s">
        <v>1155</v>
      </c>
    </row>
    <row r="1106" spans="1:7">
      <c r="A1106" t="s">
        <v>2709</v>
      </c>
      <c r="B1106" s="2">
        <v>45724</v>
      </c>
      <c r="C1106" t="s">
        <v>79</v>
      </c>
      <c r="D1106" t="s">
        <v>1629</v>
      </c>
      <c r="E1106">
        <v>224.4</v>
      </c>
      <c r="F1106" t="s">
        <v>1578</v>
      </c>
      <c r="G1106" t="s">
        <v>1155</v>
      </c>
    </row>
    <row r="1107" spans="1:7">
      <c r="A1107" t="s">
        <v>2710</v>
      </c>
      <c r="B1107" s="2">
        <v>45724</v>
      </c>
      <c r="C1107" t="s">
        <v>81</v>
      </c>
      <c r="D1107" t="s">
        <v>1629</v>
      </c>
      <c r="E1107">
        <v>444.4</v>
      </c>
      <c r="F1107" t="s">
        <v>1578</v>
      </c>
      <c r="G1107" t="s">
        <v>1155</v>
      </c>
    </row>
    <row r="1108" spans="1:7">
      <c r="A1108" t="s">
        <v>2711</v>
      </c>
      <c r="B1108" s="2">
        <v>45724</v>
      </c>
      <c r="C1108" t="s">
        <v>108</v>
      </c>
      <c r="D1108" t="s">
        <v>1629</v>
      </c>
      <c r="E1108">
        <v>446.6</v>
      </c>
      <c r="F1108" t="s">
        <v>1578</v>
      </c>
      <c r="G1108" t="s">
        <v>1155</v>
      </c>
    </row>
    <row r="1109" spans="1:7">
      <c r="A1109" t="s">
        <v>2712</v>
      </c>
      <c r="B1109" s="2">
        <v>45724</v>
      </c>
      <c r="C1109" t="s">
        <v>110</v>
      </c>
      <c r="D1109" t="s">
        <v>1629</v>
      </c>
      <c r="E1109">
        <v>224.4</v>
      </c>
      <c r="F1109" t="s">
        <v>1578</v>
      </c>
      <c r="G1109" t="s">
        <v>1155</v>
      </c>
    </row>
    <row r="1110" spans="1:7">
      <c r="A1110" t="s">
        <v>2713</v>
      </c>
      <c r="B1110" s="2">
        <v>45724</v>
      </c>
      <c r="C1110" t="s">
        <v>114</v>
      </c>
      <c r="D1110" t="s">
        <v>1629</v>
      </c>
      <c r="E1110">
        <v>222.2</v>
      </c>
      <c r="F1110" t="s">
        <v>1578</v>
      </c>
      <c r="G1110" t="s">
        <v>1155</v>
      </c>
    </row>
    <row r="1111" spans="1:7">
      <c r="A1111" t="s">
        <v>2714</v>
      </c>
      <c r="B1111" s="2">
        <v>45724</v>
      </c>
      <c r="C1111" t="s">
        <v>117</v>
      </c>
      <c r="D1111" t="s">
        <v>1629</v>
      </c>
      <c r="E1111">
        <v>221.1</v>
      </c>
      <c r="F1111" t="s">
        <v>1578</v>
      </c>
      <c r="G1111" t="s">
        <v>1155</v>
      </c>
    </row>
    <row r="1112" spans="1:7">
      <c r="A1112" t="s">
        <v>2715</v>
      </c>
      <c r="B1112" s="2">
        <v>45724</v>
      </c>
      <c r="C1112" t="s">
        <v>119</v>
      </c>
      <c r="D1112" t="s">
        <v>1629</v>
      </c>
      <c r="E1112">
        <v>222.2</v>
      </c>
      <c r="F1112" t="s">
        <v>1578</v>
      </c>
      <c r="G1112" t="s">
        <v>1155</v>
      </c>
    </row>
    <row r="1113" spans="1:7">
      <c r="A1113" t="s">
        <v>2716</v>
      </c>
      <c r="B1113" s="2">
        <v>45724</v>
      </c>
      <c r="C1113" t="s">
        <v>75</v>
      </c>
      <c r="D1113" t="s">
        <v>1629</v>
      </c>
      <c r="E1113">
        <v>359.56</v>
      </c>
      <c r="F1113" t="s">
        <v>1578</v>
      </c>
      <c r="G1113" t="s">
        <v>1156</v>
      </c>
    </row>
    <row r="1114" spans="1:7">
      <c r="A1114" t="s">
        <v>2717</v>
      </c>
      <c r="B1114" s="2">
        <v>45724</v>
      </c>
      <c r="C1114" t="s">
        <v>91</v>
      </c>
      <c r="D1114" t="s">
        <v>1629</v>
      </c>
      <c r="E1114">
        <v>364.9</v>
      </c>
      <c r="F1114" t="s">
        <v>1578</v>
      </c>
      <c r="G1114" t="s">
        <v>1156</v>
      </c>
    </row>
    <row r="1115" spans="1:7">
      <c r="A1115" t="s">
        <v>2718</v>
      </c>
      <c r="B1115" s="2">
        <v>45724</v>
      </c>
      <c r="C1115" t="s">
        <v>93</v>
      </c>
      <c r="D1115" t="s">
        <v>1629</v>
      </c>
      <c r="E1115">
        <v>363.12</v>
      </c>
      <c r="F1115" t="s">
        <v>1578</v>
      </c>
      <c r="G1115" t="s">
        <v>1156</v>
      </c>
    </row>
    <row r="1116" spans="1:7">
      <c r="A1116" t="s">
        <v>2719</v>
      </c>
      <c r="B1116" s="2">
        <v>45724</v>
      </c>
      <c r="C1116" t="s">
        <v>95</v>
      </c>
      <c r="D1116" t="s">
        <v>1629</v>
      </c>
      <c r="E1116">
        <v>361.34</v>
      </c>
      <c r="F1116" t="s">
        <v>1578</v>
      </c>
      <c r="G1116" t="s">
        <v>1156</v>
      </c>
    </row>
    <row r="1117" spans="1:7">
      <c r="A1117" t="s">
        <v>2720</v>
      </c>
      <c r="B1117" s="2">
        <v>45724</v>
      </c>
      <c r="C1117" t="s">
        <v>97</v>
      </c>
      <c r="D1117" t="s">
        <v>1629</v>
      </c>
      <c r="E1117">
        <v>359.56</v>
      </c>
      <c r="F1117" t="s">
        <v>1578</v>
      </c>
      <c r="G1117" t="s">
        <v>1156</v>
      </c>
    </row>
    <row r="1118" spans="1:7">
      <c r="A1118" t="s">
        <v>2721</v>
      </c>
      <c r="B1118" s="2">
        <v>45724</v>
      </c>
      <c r="C1118" t="s">
        <v>99</v>
      </c>
      <c r="D1118" t="s">
        <v>1629</v>
      </c>
      <c r="E1118">
        <v>440.02</v>
      </c>
      <c r="F1118" t="s">
        <v>1578</v>
      </c>
      <c r="G1118" t="s">
        <v>1156</v>
      </c>
    </row>
    <row r="1119" spans="1:7">
      <c r="A1119" t="s">
        <v>2722</v>
      </c>
      <c r="B1119" s="2">
        <v>45724</v>
      </c>
      <c r="C1119" t="s">
        <v>102</v>
      </c>
      <c r="D1119" t="s">
        <v>1629</v>
      </c>
      <c r="E1119">
        <v>363.12</v>
      </c>
      <c r="F1119" t="s">
        <v>1578</v>
      </c>
      <c r="G1119" t="s">
        <v>1156</v>
      </c>
    </row>
    <row r="1120" spans="1:7">
      <c r="A1120" t="s">
        <v>2723</v>
      </c>
      <c r="B1120" s="2">
        <v>45724</v>
      </c>
      <c r="C1120" t="s">
        <v>108</v>
      </c>
      <c r="D1120" t="s">
        <v>1629</v>
      </c>
      <c r="E1120">
        <v>722.68</v>
      </c>
      <c r="F1120" t="s">
        <v>1578</v>
      </c>
      <c r="G1120" t="s">
        <v>1156</v>
      </c>
    </row>
    <row r="1121" spans="1:7">
      <c r="A1121" t="s">
        <v>2724</v>
      </c>
      <c r="B1121" s="2">
        <v>45724</v>
      </c>
      <c r="C1121" t="s">
        <v>110</v>
      </c>
      <c r="D1121" t="s">
        <v>1629</v>
      </c>
      <c r="E1121">
        <v>363.12</v>
      </c>
      <c r="F1121" t="s">
        <v>1578</v>
      </c>
      <c r="G1121" t="s">
        <v>1156</v>
      </c>
    </row>
    <row r="1122" spans="1:7">
      <c r="A1122" t="s">
        <v>2725</v>
      </c>
      <c r="B1122" s="2">
        <v>45724</v>
      </c>
      <c r="C1122" t="s">
        <v>114</v>
      </c>
      <c r="D1122" t="s">
        <v>1629</v>
      </c>
      <c r="E1122">
        <v>359.56</v>
      </c>
      <c r="F1122" t="s">
        <v>1578</v>
      </c>
      <c r="G1122" t="s">
        <v>1156</v>
      </c>
    </row>
    <row r="1123" spans="1:7">
      <c r="A1123" t="s">
        <v>2726</v>
      </c>
      <c r="B1123" s="2">
        <v>45724</v>
      </c>
      <c r="C1123" t="s">
        <v>117</v>
      </c>
      <c r="D1123" t="s">
        <v>1629</v>
      </c>
      <c r="E1123">
        <v>357.78</v>
      </c>
      <c r="F1123" t="s">
        <v>1578</v>
      </c>
      <c r="G1123" t="s">
        <v>1156</v>
      </c>
    </row>
    <row r="1124" spans="1:7">
      <c r="A1124" t="s">
        <v>2727</v>
      </c>
      <c r="B1124" s="2">
        <v>45724</v>
      </c>
      <c r="C1124" t="s">
        <v>119</v>
      </c>
      <c r="D1124" t="s">
        <v>1629</v>
      </c>
      <c r="E1124">
        <v>359.56</v>
      </c>
      <c r="F1124" t="s">
        <v>1578</v>
      </c>
      <c r="G1124" t="s">
        <v>1156</v>
      </c>
    </row>
    <row r="1125" spans="1:7">
      <c r="A1125" t="s">
        <v>2728</v>
      </c>
      <c r="B1125" s="2">
        <v>45725</v>
      </c>
      <c r="C1125" t="s">
        <v>75</v>
      </c>
      <c r="D1125" t="s">
        <v>1683</v>
      </c>
      <c r="E1125">
        <v>162</v>
      </c>
      <c r="F1125" t="s">
        <v>1578</v>
      </c>
      <c r="G1125" t="s">
        <v>494</v>
      </c>
    </row>
    <row r="1126" spans="1:7">
      <c r="A1126" t="s">
        <v>2729</v>
      </c>
      <c r="B1126" s="2">
        <v>45725</v>
      </c>
      <c r="C1126" t="s">
        <v>61</v>
      </c>
      <c r="D1126" t="s">
        <v>1683</v>
      </c>
      <c r="E1126">
        <v>925</v>
      </c>
      <c r="F1126" t="s">
        <v>1578</v>
      </c>
      <c r="G1126" t="s">
        <v>495</v>
      </c>
    </row>
    <row r="1127" spans="1:7">
      <c r="A1127" t="s">
        <v>2730</v>
      </c>
      <c r="B1127" s="2">
        <v>45726</v>
      </c>
      <c r="C1127" t="s">
        <v>75</v>
      </c>
      <c r="D1127" t="s">
        <v>1629</v>
      </c>
      <c r="E1127">
        <v>408.04</v>
      </c>
      <c r="F1127" t="s">
        <v>1578</v>
      </c>
      <c r="G1127" t="s">
        <v>1157</v>
      </c>
    </row>
    <row r="1128" spans="1:7">
      <c r="A1128" t="s">
        <v>2731</v>
      </c>
      <c r="B1128" s="2">
        <v>45726</v>
      </c>
      <c r="C1128" t="s">
        <v>104</v>
      </c>
      <c r="D1128" t="s">
        <v>1629</v>
      </c>
      <c r="E1128">
        <v>832.24</v>
      </c>
      <c r="F1128" t="s">
        <v>1578</v>
      </c>
      <c r="G1128" t="s">
        <v>1157</v>
      </c>
    </row>
    <row r="1129" spans="1:7">
      <c r="A1129" t="s">
        <v>2732</v>
      </c>
      <c r="B1129" s="2">
        <v>45726</v>
      </c>
      <c r="C1129" t="s">
        <v>108</v>
      </c>
      <c r="D1129" t="s">
        <v>1629</v>
      </c>
      <c r="E1129">
        <v>820.12</v>
      </c>
      <c r="F1129" t="s">
        <v>1578</v>
      </c>
      <c r="G1129" t="s">
        <v>1157</v>
      </c>
    </row>
    <row r="1130" spans="1:7">
      <c r="A1130" t="s">
        <v>2733</v>
      </c>
      <c r="B1130" s="2">
        <v>45726</v>
      </c>
      <c r="C1130" t="s">
        <v>110</v>
      </c>
      <c r="D1130" t="s">
        <v>1629</v>
      </c>
      <c r="E1130">
        <v>412.08</v>
      </c>
      <c r="F1130" t="s">
        <v>1578</v>
      </c>
      <c r="G1130" t="s">
        <v>1157</v>
      </c>
    </row>
    <row r="1131" spans="1:7">
      <c r="A1131" t="s">
        <v>2734</v>
      </c>
      <c r="B1131" s="2">
        <v>45726</v>
      </c>
      <c r="C1131" t="s">
        <v>114</v>
      </c>
      <c r="D1131" t="s">
        <v>1629</v>
      </c>
      <c r="E1131">
        <v>408.04</v>
      </c>
      <c r="F1131" t="s">
        <v>1578</v>
      </c>
      <c r="G1131" t="s">
        <v>1157</v>
      </c>
    </row>
    <row r="1132" spans="1:7">
      <c r="A1132" t="s">
        <v>2735</v>
      </c>
      <c r="B1132" s="2">
        <v>45726</v>
      </c>
      <c r="C1132" t="s">
        <v>117</v>
      </c>
      <c r="D1132" t="s">
        <v>1629</v>
      </c>
      <c r="E1132">
        <v>406.02</v>
      </c>
      <c r="F1132" t="s">
        <v>1578</v>
      </c>
      <c r="G1132" t="s">
        <v>1157</v>
      </c>
    </row>
    <row r="1133" spans="1:7">
      <c r="A1133" t="s">
        <v>2736</v>
      </c>
      <c r="B1133" s="2">
        <v>45726</v>
      </c>
      <c r="C1133" t="s">
        <v>119</v>
      </c>
      <c r="D1133" t="s">
        <v>1629</v>
      </c>
      <c r="E1133">
        <v>408.04</v>
      </c>
      <c r="F1133" t="s">
        <v>1578</v>
      </c>
      <c r="G1133" t="s">
        <v>1157</v>
      </c>
    </row>
    <row r="1134" spans="1:7">
      <c r="A1134" t="s">
        <v>2737</v>
      </c>
      <c r="B1134" s="2">
        <v>45726</v>
      </c>
      <c r="C1134" t="s">
        <v>61</v>
      </c>
      <c r="D1134" t="s">
        <v>1629</v>
      </c>
      <c r="E1134">
        <v>311.10000000000002</v>
      </c>
      <c r="F1134" t="s">
        <v>1578</v>
      </c>
      <c r="G1134" t="s">
        <v>1158</v>
      </c>
    </row>
    <row r="1135" spans="1:7">
      <c r="A1135" t="s">
        <v>2738</v>
      </c>
      <c r="B1135" s="2">
        <v>45726</v>
      </c>
      <c r="C1135" t="s">
        <v>65</v>
      </c>
      <c r="D1135" t="s">
        <v>1629</v>
      </c>
      <c r="E1135">
        <v>309.58</v>
      </c>
      <c r="F1135" t="s">
        <v>1578</v>
      </c>
      <c r="G1135" t="s">
        <v>1158</v>
      </c>
    </row>
    <row r="1136" spans="1:7">
      <c r="A1136" t="s">
        <v>2739</v>
      </c>
      <c r="B1136" s="2">
        <v>45726</v>
      </c>
      <c r="C1136" t="s">
        <v>68</v>
      </c>
      <c r="D1136" t="s">
        <v>1629</v>
      </c>
      <c r="E1136">
        <v>311.10000000000002</v>
      </c>
      <c r="F1136" t="s">
        <v>1578</v>
      </c>
      <c r="G1136" t="s">
        <v>1158</v>
      </c>
    </row>
    <row r="1137" spans="1:7">
      <c r="A1137" t="s">
        <v>2740</v>
      </c>
      <c r="B1137" s="2">
        <v>45726</v>
      </c>
      <c r="C1137" t="s">
        <v>70</v>
      </c>
      <c r="D1137" t="s">
        <v>1629</v>
      </c>
      <c r="E1137">
        <v>308.05</v>
      </c>
      <c r="F1137" t="s">
        <v>1578</v>
      </c>
      <c r="G1137" t="s">
        <v>1158</v>
      </c>
    </row>
    <row r="1138" spans="1:7">
      <c r="A1138" t="s">
        <v>2741</v>
      </c>
      <c r="B1138" s="2">
        <v>45726</v>
      </c>
      <c r="C1138" t="s">
        <v>75</v>
      </c>
      <c r="D1138" t="s">
        <v>1629</v>
      </c>
      <c r="E1138">
        <v>308.05</v>
      </c>
      <c r="F1138" t="s">
        <v>1578</v>
      </c>
      <c r="G1138" t="s">
        <v>1158</v>
      </c>
    </row>
    <row r="1139" spans="1:7">
      <c r="A1139" t="s">
        <v>2742</v>
      </c>
      <c r="B1139" s="2">
        <v>45726</v>
      </c>
      <c r="C1139" t="s">
        <v>77</v>
      </c>
      <c r="D1139" t="s">
        <v>1629</v>
      </c>
      <c r="E1139">
        <v>308.05</v>
      </c>
      <c r="F1139" t="s">
        <v>1578</v>
      </c>
      <c r="G1139" t="s">
        <v>1158</v>
      </c>
    </row>
    <row r="1140" spans="1:7">
      <c r="A1140" t="s">
        <v>2743</v>
      </c>
      <c r="B1140" s="2">
        <v>45726</v>
      </c>
      <c r="C1140" t="s">
        <v>79</v>
      </c>
      <c r="D1140" t="s">
        <v>1629</v>
      </c>
      <c r="E1140">
        <v>311.10000000000002</v>
      </c>
      <c r="F1140" t="s">
        <v>1578</v>
      </c>
      <c r="G1140" t="s">
        <v>1158</v>
      </c>
    </row>
    <row r="1141" spans="1:7">
      <c r="A1141" t="s">
        <v>2744</v>
      </c>
      <c r="B1141" s="2">
        <v>45726</v>
      </c>
      <c r="C1141" t="s">
        <v>81</v>
      </c>
      <c r="D1141" t="s">
        <v>1629</v>
      </c>
      <c r="E1141">
        <v>616.1</v>
      </c>
      <c r="F1141" t="s">
        <v>1578</v>
      </c>
      <c r="G1141" t="s">
        <v>1158</v>
      </c>
    </row>
    <row r="1142" spans="1:7">
      <c r="A1142" t="s">
        <v>2745</v>
      </c>
      <c r="B1142" s="2">
        <v>45726</v>
      </c>
      <c r="C1142" t="s">
        <v>110</v>
      </c>
      <c r="D1142" t="s">
        <v>1629</v>
      </c>
      <c r="E1142">
        <v>311.10000000000002</v>
      </c>
      <c r="F1142" t="s">
        <v>1578</v>
      </c>
      <c r="G1142" t="s">
        <v>1158</v>
      </c>
    </row>
    <row r="1143" spans="1:7">
      <c r="A1143" t="s">
        <v>2746</v>
      </c>
      <c r="B1143" s="2">
        <v>45726</v>
      </c>
      <c r="C1143" t="s">
        <v>114</v>
      </c>
      <c r="D1143" t="s">
        <v>1629</v>
      </c>
      <c r="E1143">
        <v>308.05</v>
      </c>
      <c r="F1143" t="s">
        <v>1578</v>
      </c>
      <c r="G1143" t="s">
        <v>1158</v>
      </c>
    </row>
    <row r="1144" spans="1:7">
      <c r="A1144" t="s">
        <v>2747</v>
      </c>
      <c r="B1144" s="2">
        <v>45726</v>
      </c>
      <c r="C1144" t="s">
        <v>117</v>
      </c>
      <c r="D1144" t="s">
        <v>1629</v>
      </c>
      <c r="E1144">
        <v>306.52</v>
      </c>
      <c r="F1144" t="s">
        <v>1578</v>
      </c>
      <c r="G1144" t="s">
        <v>1158</v>
      </c>
    </row>
    <row r="1145" spans="1:7">
      <c r="A1145" t="s">
        <v>2748</v>
      </c>
      <c r="B1145" s="2">
        <v>45726</v>
      </c>
      <c r="C1145" t="s">
        <v>119</v>
      </c>
      <c r="D1145" t="s">
        <v>1629</v>
      </c>
      <c r="E1145">
        <v>308.05</v>
      </c>
      <c r="F1145" t="s">
        <v>1578</v>
      </c>
      <c r="G1145" t="s">
        <v>1158</v>
      </c>
    </row>
    <row r="1146" spans="1:7">
      <c r="A1146" t="s">
        <v>2749</v>
      </c>
      <c r="B1146" s="2">
        <v>45726</v>
      </c>
      <c r="C1146" t="s">
        <v>61</v>
      </c>
      <c r="D1146" t="s">
        <v>1629</v>
      </c>
      <c r="E1146">
        <v>222.36</v>
      </c>
      <c r="F1146" t="s">
        <v>1578</v>
      </c>
      <c r="G1146" t="s">
        <v>1159</v>
      </c>
    </row>
    <row r="1147" spans="1:7">
      <c r="A1147" t="s">
        <v>2750</v>
      </c>
      <c r="B1147" s="2">
        <v>45726</v>
      </c>
      <c r="C1147" t="s">
        <v>65</v>
      </c>
      <c r="D1147" t="s">
        <v>1629</v>
      </c>
      <c r="E1147">
        <v>221.27</v>
      </c>
      <c r="F1147" t="s">
        <v>1578</v>
      </c>
      <c r="G1147" t="s">
        <v>1159</v>
      </c>
    </row>
    <row r="1148" spans="1:7">
      <c r="A1148" t="s">
        <v>2751</v>
      </c>
      <c r="B1148" s="2">
        <v>45726</v>
      </c>
      <c r="C1148" t="s">
        <v>75</v>
      </c>
      <c r="D1148" t="s">
        <v>1629</v>
      </c>
      <c r="E1148">
        <v>220.18</v>
      </c>
      <c r="F1148" t="s">
        <v>1578</v>
      </c>
      <c r="G1148" t="s">
        <v>1159</v>
      </c>
    </row>
    <row r="1149" spans="1:7">
      <c r="A1149" t="s">
        <v>2752</v>
      </c>
      <c r="B1149" s="2">
        <v>45726</v>
      </c>
      <c r="C1149" t="s">
        <v>79</v>
      </c>
      <c r="D1149" t="s">
        <v>1629</v>
      </c>
      <c r="E1149">
        <v>222.36</v>
      </c>
      <c r="F1149" t="s">
        <v>1578</v>
      </c>
      <c r="G1149" t="s">
        <v>1159</v>
      </c>
    </row>
    <row r="1150" spans="1:7">
      <c r="A1150" t="s">
        <v>2753</v>
      </c>
      <c r="B1150" s="2">
        <v>45726</v>
      </c>
      <c r="C1150" t="s">
        <v>81</v>
      </c>
      <c r="D1150" t="s">
        <v>1629</v>
      </c>
      <c r="E1150">
        <v>440.36</v>
      </c>
      <c r="F1150" t="s">
        <v>1578</v>
      </c>
      <c r="G1150" t="s">
        <v>1159</v>
      </c>
    </row>
    <row r="1151" spans="1:7">
      <c r="A1151" t="s">
        <v>2754</v>
      </c>
      <c r="B1151" s="2">
        <v>45726</v>
      </c>
      <c r="C1151" t="s">
        <v>84</v>
      </c>
      <c r="D1151" t="s">
        <v>1629</v>
      </c>
      <c r="E1151">
        <v>78.59</v>
      </c>
      <c r="F1151" t="s">
        <v>1578</v>
      </c>
      <c r="G1151" t="s">
        <v>1159</v>
      </c>
    </row>
    <row r="1152" spans="1:7">
      <c r="A1152" t="s">
        <v>2755</v>
      </c>
      <c r="B1152" s="2">
        <v>45726</v>
      </c>
      <c r="C1152" t="s">
        <v>89</v>
      </c>
      <c r="D1152" t="s">
        <v>1629</v>
      </c>
      <c r="E1152">
        <v>335.17</v>
      </c>
      <c r="F1152" t="s">
        <v>1578</v>
      </c>
      <c r="G1152" t="s">
        <v>1159</v>
      </c>
    </row>
    <row r="1153" spans="1:7">
      <c r="A1153" t="s">
        <v>2756</v>
      </c>
      <c r="B1153" s="2">
        <v>45726</v>
      </c>
      <c r="C1153" t="s">
        <v>110</v>
      </c>
      <c r="D1153" t="s">
        <v>1629</v>
      </c>
      <c r="E1153">
        <v>222.36</v>
      </c>
      <c r="F1153" t="s">
        <v>1578</v>
      </c>
      <c r="G1153" t="s">
        <v>1159</v>
      </c>
    </row>
    <row r="1154" spans="1:7">
      <c r="A1154" t="s">
        <v>2757</v>
      </c>
      <c r="B1154" s="2">
        <v>45726</v>
      </c>
      <c r="C1154" t="s">
        <v>114</v>
      </c>
      <c r="D1154" t="s">
        <v>1629</v>
      </c>
      <c r="E1154">
        <v>220.18</v>
      </c>
      <c r="F1154" t="s">
        <v>1578</v>
      </c>
      <c r="G1154" t="s">
        <v>1159</v>
      </c>
    </row>
    <row r="1155" spans="1:7">
      <c r="A1155" t="s">
        <v>2758</v>
      </c>
      <c r="B1155" s="2">
        <v>45726</v>
      </c>
      <c r="C1155" t="s">
        <v>117</v>
      </c>
      <c r="D1155" t="s">
        <v>1629</v>
      </c>
      <c r="E1155">
        <v>219.09</v>
      </c>
      <c r="F1155" t="s">
        <v>1578</v>
      </c>
      <c r="G1155" t="s">
        <v>1159</v>
      </c>
    </row>
    <row r="1156" spans="1:7">
      <c r="A1156" t="s">
        <v>2759</v>
      </c>
      <c r="B1156" s="2">
        <v>45726</v>
      </c>
      <c r="C1156" t="s">
        <v>119</v>
      </c>
      <c r="D1156" t="s">
        <v>1629</v>
      </c>
      <c r="E1156">
        <v>220.18</v>
      </c>
      <c r="F1156" t="s">
        <v>1578</v>
      </c>
      <c r="G1156" t="s">
        <v>1159</v>
      </c>
    </row>
    <row r="1157" spans="1:7">
      <c r="A1157" t="s">
        <v>2760</v>
      </c>
      <c r="B1157" s="2">
        <v>45726</v>
      </c>
      <c r="C1157" t="s">
        <v>75</v>
      </c>
      <c r="D1157" t="s">
        <v>1629</v>
      </c>
      <c r="E1157">
        <v>283.81</v>
      </c>
      <c r="F1157" t="s">
        <v>1578</v>
      </c>
      <c r="G1157" t="s">
        <v>1160</v>
      </c>
    </row>
    <row r="1158" spans="1:7">
      <c r="A1158" t="s">
        <v>2761</v>
      </c>
      <c r="B1158" s="2">
        <v>45726</v>
      </c>
      <c r="C1158" t="s">
        <v>104</v>
      </c>
      <c r="D1158" t="s">
        <v>1629</v>
      </c>
      <c r="E1158">
        <v>578.86</v>
      </c>
      <c r="F1158" t="s">
        <v>1578</v>
      </c>
      <c r="G1158" t="s">
        <v>1160</v>
      </c>
    </row>
    <row r="1159" spans="1:7">
      <c r="A1159" t="s">
        <v>2762</v>
      </c>
      <c r="B1159" s="2">
        <v>45726</v>
      </c>
      <c r="C1159" t="s">
        <v>108</v>
      </c>
      <c r="D1159" t="s">
        <v>1629</v>
      </c>
      <c r="E1159">
        <v>570.42999999999995</v>
      </c>
      <c r="F1159" t="s">
        <v>1578</v>
      </c>
      <c r="G1159" t="s">
        <v>1160</v>
      </c>
    </row>
    <row r="1160" spans="1:7">
      <c r="A1160" t="s">
        <v>2763</v>
      </c>
      <c r="B1160" s="2">
        <v>45726</v>
      </c>
      <c r="C1160" t="s">
        <v>110</v>
      </c>
      <c r="D1160" t="s">
        <v>1629</v>
      </c>
      <c r="E1160">
        <v>286.62</v>
      </c>
      <c r="F1160" t="s">
        <v>1578</v>
      </c>
      <c r="G1160" t="s">
        <v>1160</v>
      </c>
    </row>
    <row r="1161" spans="1:7">
      <c r="A1161" t="s">
        <v>2764</v>
      </c>
      <c r="B1161" s="2">
        <v>45726</v>
      </c>
      <c r="C1161" t="s">
        <v>114</v>
      </c>
      <c r="D1161" t="s">
        <v>1629</v>
      </c>
      <c r="E1161">
        <v>283.81</v>
      </c>
      <c r="F1161" t="s">
        <v>1578</v>
      </c>
      <c r="G1161" t="s">
        <v>1160</v>
      </c>
    </row>
    <row r="1162" spans="1:7">
      <c r="A1162" t="s">
        <v>2765</v>
      </c>
      <c r="B1162" s="2">
        <v>45726</v>
      </c>
      <c r="C1162" t="s">
        <v>117</v>
      </c>
      <c r="D1162" t="s">
        <v>1629</v>
      </c>
      <c r="E1162">
        <v>282.39999999999998</v>
      </c>
      <c r="F1162" t="s">
        <v>1578</v>
      </c>
      <c r="G1162" t="s">
        <v>1160</v>
      </c>
    </row>
    <row r="1163" spans="1:7">
      <c r="A1163" t="s">
        <v>2766</v>
      </c>
      <c r="B1163" s="2">
        <v>45726</v>
      </c>
      <c r="C1163" t="s">
        <v>119</v>
      </c>
      <c r="D1163" t="s">
        <v>1629</v>
      </c>
      <c r="E1163">
        <v>283.81</v>
      </c>
      <c r="F1163" t="s">
        <v>1578</v>
      </c>
      <c r="G1163" t="s">
        <v>1160</v>
      </c>
    </row>
    <row r="1164" spans="1:7">
      <c r="A1164" t="s">
        <v>2767</v>
      </c>
      <c r="B1164" s="2">
        <v>45726</v>
      </c>
      <c r="C1164" t="s">
        <v>61</v>
      </c>
      <c r="D1164" t="s">
        <v>1629</v>
      </c>
      <c r="E1164">
        <v>136.68</v>
      </c>
      <c r="F1164" t="s">
        <v>1578</v>
      </c>
      <c r="G1164" t="s">
        <v>1161</v>
      </c>
    </row>
    <row r="1165" spans="1:7">
      <c r="A1165" t="s">
        <v>2768</v>
      </c>
      <c r="B1165" s="2">
        <v>45726</v>
      </c>
      <c r="C1165" t="s">
        <v>65</v>
      </c>
      <c r="D1165" t="s">
        <v>1629</v>
      </c>
      <c r="E1165">
        <v>136.01</v>
      </c>
      <c r="F1165" t="s">
        <v>1578</v>
      </c>
      <c r="G1165" t="s">
        <v>1161</v>
      </c>
    </row>
    <row r="1166" spans="1:7">
      <c r="A1166" t="s">
        <v>2769</v>
      </c>
      <c r="B1166" s="2">
        <v>45726</v>
      </c>
      <c r="C1166" t="s">
        <v>68</v>
      </c>
      <c r="D1166" t="s">
        <v>1629</v>
      </c>
      <c r="E1166">
        <v>136.68</v>
      </c>
      <c r="F1166" t="s">
        <v>1578</v>
      </c>
      <c r="G1166" t="s">
        <v>1161</v>
      </c>
    </row>
    <row r="1167" spans="1:7">
      <c r="A1167" t="s">
        <v>2770</v>
      </c>
      <c r="B1167" s="2">
        <v>45726</v>
      </c>
      <c r="C1167" t="s">
        <v>70</v>
      </c>
      <c r="D1167" t="s">
        <v>1629</v>
      </c>
      <c r="E1167">
        <v>135.34</v>
      </c>
      <c r="F1167" t="s">
        <v>1578</v>
      </c>
      <c r="G1167" t="s">
        <v>1161</v>
      </c>
    </row>
    <row r="1168" spans="1:7">
      <c r="A1168" t="s">
        <v>2771</v>
      </c>
      <c r="B1168" s="2">
        <v>45726</v>
      </c>
      <c r="C1168" t="s">
        <v>75</v>
      </c>
      <c r="D1168" t="s">
        <v>1629</v>
      </c>
      <c r="E1168">
        <v>135.34</v>
      </c>
      <c r="F1168" t="s">
        <v>1578</v>
      </c>
      <c r="G1168" t="s">
        <v>1161</v>
      </c>
    </row>
    <row r="1169" spans="1:7">
      <c r="A1169" t="s">
        <v>2772</v>
      </c>
      <c r="B1169" s="2">
        <v>45726</v>
      </c>
      <c r="C1169" t="s">
        <v>77</v>
      </c>
      <c r="D1169" t="s">
        <v>1629</v>
      </c>
      <c r="E1169">
        <v>135.34</v>
      </c>
      <c r="F1169" t="s">
        <v>1578</v>
      </c>
      <c r="G1169" t="s">
        <v>1161</v>
      </c>
    </row>
    <row r="1170" spans="1:7">
      <c r="A1170" t="s">
        <v>2773</v>
      </c>
      <c r="B1170" s="2">
        <v>45726</v>
      </c>
      <c r="C1170" t="s">
        <v>79</v>
      </c>
      <c r="D1170" t="s">
        <v>1629</v>
      </c>
      <c r="E1170">
        <v>136.68</v>
      </c>
      <c r="F1170" t="s">
        <v>1578</v>
      </c>
      <c r="G1170" t="s">
        <v>1161</v>
      </c>
    </row>
    <row r="1171" spans="1:7">
      <c r="A1171" t="s">
        <v>2774</v>
      </c>
      <c r="B1171" s="2">
        <v>45726</v>
      </c>
      <c r="C1171" t="s">
        <v>81</v>
      </c>
      <c r="D1171" t="s">
        <v>1629</v>
      </c>
      <c r="E1171">
        <v>270.68</v>
      </c>
      <c r="F1171" t="s">
        <v>1578</v>
      </c>
      <c r="G1171" t="s">
        <v>1161</v>
      </c>
    </row>
    <row r="1172" spans="1:7">
      <c r="A1172" t="s">
        <v>2775</v>
      </c>
      <c r="B1172" s="2">
        <v>45726</v>
      </c>
      <c r="C1172" t="s">
        <v>110</v>
      </c>
      <c r="D1172" t="s">
        <v>1629</v>
      </c>
      <c r="E1172">
        <v>136.68</v>
      </c>
      <c r="F1172" t="s">
        <v>1578</v>
      </c>
      <c r="G1172" t="s">
        <v>1161</v>
      </c>
    </row>
    <row r="1173" spans="1:7">
      <c r="A1173" t="s">
        <v>2776</v>
      </c>
      <c r="B1173" s="2">
        <v>45726</v>
      </c>
      <c r="C1173" t="s">
        <v>114</v>
      </c>
      <c r="D1173" t="s">
        <v>1629</v>
      </c>
      <c r="E1173">
        <v>135.34</v>
      </c>
      <c r="F1173" t="s">
        <v>1578</v>
      </c>
      <c r="G1173" t="s">
        <v>1161</v>
      </c>
    </row>
    <row r="1174" spans="1:7">
      <c r="A1174" t="s">
        <v>2777</v>
      </c>
      <c r="B1174" s="2">
        <v>45726</v>
      </c>
      <c r="C1174" t="s">
        <v>117</v>
      </c>
      <c r="D1174" t="s">
        <v>1629</v>
      </c>
      <c r="E1174">
        <v>134.66999999999999</v>
      </c>
      <c r="F1174" t="s">
        <v>1578</v>
      </c>
      <c r="G1174" t="s">
        <v>1161</v>
      </c>
    </row>
    <row r="1175" spans="1:7">
      <c r="A1175" t="s">
        <v>2778</v>
      </c>
      <c r="B1175" s="2">
        <v>45726</v>
      </c>
      <c r="C1175" t="s">
        <v>119</v>
      </c>
      <c r="D1175" t="s">
        <v>1629</v>
      </c>
      <c r="E1175">
        <v>135.34</v>
      </c>
      <c r="F1175" t="s">
        <v>1578</v>
      </c>
      <c r="G1175" t="s">
        <v>1161</v>
      </c>
    </row>
    <row r="1176" spans="1:7">
      <c r="A1176" t="s">
        <v>2779</v>
      </c>
      <c r="B1176" s="2">
        <v>45726</v>
      </c>
      <c r="C1176" t="s">
        <v>119</v>
      </c>
      <c r="D1176" t="s">
        <v>1683</v>
      </c>
      <c r="E1176">
        <v>327</v>
      </c>
      <c r="F1176" t="s">
        <v>1578</v>
      </c>
      <c r="G1176" t="s">
        <v>496</v>
      </c>
    </row>
    <row r="1177" spans="1:7">
      <c r="A1177" t="s">
        <v>2780</v>
      </c>
      <c r="B1177" s="2">
        <v>45726</v>
      </c>
      <c r="C1177" t="s">
        <v>108</v>
      </c>
      <c r="D1177" t="s">
        <v>1683</v>
      </c>
      <c r="E1177">
        <v>203</v>
      </c>
      <c r="F1177" t="s">
        <v>1578</v>
      </c>
      <c r="G1177" t="s">
        <v>497</v>
      </c>
    </row>
    <row r="1178" spans="1:7">
      <c r="A1178" t="s">
        <v>2781</v>
      </c>
      <c r="B1178" s="2">
        <v>45726</v>
      </c>
      <c r="C1178" t="s">
        <v>68</v>
      </c>
      <c r="D1178" t="s">
        <v>1683</v>
      </c>
      <c r="E1178">
        <v>119</v>
      </c>
      <c r="F1178" t="s">
        <v>1578</v>
      </c>
      <c r="G1178" t="s">
        <v>498</v>
      </c>
    </row>
    <row r="1179" spans="1:7">
      <c r="A1179" t="s">
        <v>2782</v>
      </c>
      <c r="B1179" s="2">
        <v>45726</v>
      </c>
      <c r="C1179" t="s">
        <v>119</v>
      </c>
      <c r="D1179" t="s">
        <v>1683</v>
      </c>
      <c r="E1179">
        <v>100</v>
      </c>
      <c r="F1179" t="s">
        <v>1578</v>
      </c>
      <c r="G1179" t="s">
        <v>499</v>
      </c>
    </row>
    <row r="1180" spans="1:7">
      <c r="A1180" t="s">
        <v>2783</v>
      </c>
      <c r="B1180" s="2">
        <v>45726</v>
      </c>
      <c r="C1180" t="s">
        <v>73</v>
      </c>
      <c r="D1180" t="s">
        <v>1683</v>
      </c>
      <c r="E1180">
        <v>260</v>
      </c>
      <c r="F1180" t="s">
        <v>1578</v>
      </c>
      <c r="G1180" t="s">
        <v>500</v>
      </c>
    </row>
    <row r="1181" spans="1:7">
      <c r="A1181" t="s">
        <v>2784</v>
      </c>
      <c r="B1181" s="2">
        <v>45726</v>
      </c>
      <c r="C1181" t="s">
        <v>106</v>
      </c>
      <c r="D1181" t="s">
        <v>1683</v>
      </c>
      <c r="E1181">
        <v>100</v>
      </c>
      <c r="F1181" t="s">
        <v>1578</v>
      </c>
      <c r="G1181" t="s">
        <v>501</v>
      </c>
    </row>
    <row r="1182" spans="1:7">
      <c r="A1182" t="s">
        <v>2785</v>
      </c>
      <c r="B1182" s="2">
        <v>45727</v>
      </c>
      <c r="C1182" t="s">
        <v>61</v>
      </c>
      <c r="D1182" t="s">
        <v>1629</v>
      </c>
      <c r="E1182">
        <v>180.54</v>
      </c>
      <c r="F1182" t="s">
        <v>1578</v>
      </c>
      <c r="G1182" t="s">
        <v>1162</v>
      </c>
    </row>
    <row r="1183" spans="1:7">
      <c r="A1183" t="s">
        <v>2786</v>
      </c>
      <c r="B1183" s="2">
        <v>45727</v>
      </c>
      <c r="C1183" t="s">
        <v>65</v>
      </c>
      <c r="D1183" t="s">
        <v>1629</v>
      </c>
      <c r="E1183">
        <v>179.65</v>
      </c>
      <c r="F1183" t="s">
        <v>1578</v>
      </c>
      <c r="G1183" t="s">
        <v>1162</v>
      </c>
    </row>
    <row r="1184" spans="1:7">
      <c r="A1184" t="s">
        <v>2787</v>
      </c>
      <c r="B1184" s="2">
        <v>45727</v>
      </c>
      <c r="C1184" t="s">
        <v>68</v>
      </c>
      <c r="D1184" t="s">
        <v>1629</v>
      </c>
      <c r="E1184">
        <v>180.54</v>
      </c>
      <c r="F1184" t="s">
        <v>1578</v>
      </c>
      <c r="G1184" t="s">
        <v>1162</v>
      </c>
    </row>
    <row r="1185" spans="1:7">
      <c r="A1185" t="s">
        <v>2788</v>
      </c>
      <c r="B1185" s="2">
        <v>45727</v>
      </c>
      <c r="C1185" t="s">
        <v>70</v>
      </c>
      <c r="D1185" t="s">
        <v>1629</v>
      </c>
      <c r="E1185">
        <v>178.77</v>
      </c>
      <c r="F1185" t="s">
        <v>1578</v>
      </c>
      <c r="G1185" t="s">
        <v>1162</v>
      </c>
    </row>
    <row r="1186" spans="1:7">
      <c r="A1186" t="s">
        <v>2789</v>
      </c>
      <c r="B1186" s="2">
        <v>45727</v>
      </c>
      <c r="C1186" t="s">
        <v>75</v>
      </c>
      <c r="D1186" t="s">
        <v>1629</v>
      </c>
      <c r="E1186">
        <v>178.77</v>
      </c>
      <c r="F1186" t="s">
        <v>1578</v>
      </c>
      <c r="G1186" t="s">
        <v>1162</v>
      </c>
    </row>
    <row r="1187" spans="1:7">
      <c r="A1187" t="s">
        <v>2790</v>
      </c>
      <c r="B1187" s="2">
        <v>45727</v>
      </c>
      <c r="C1187" t="s">
        <v>77</v>
      </c>
      <c r="D1187" t="s">
        <v>1629</v>
      </c>
      <c r="E1187">
        <v>178.77</v>
      </c>
      <c r="F1187" t="s">
        <v>1578</v>
      </c>
      <c r="G1187" t="s">
        <v>1162</v>
      </c>
    </row>
    <row r="1188" spans="1:7">
      <c r="A1188" t="s">
        <v>2791</v>
      </c>
      <c r="B1188" s="2">
        <v>45727</v>
      </c>
      <c r="C1188" t="s">
        <v>79</v>
      </c>
      <c r="D1188" t="s">
        <v>1629</v>
      </c>
      <c r="E1188">
        <v>180.54</v>
      </c>
      <c r="F1188" t="s">
        <v>1578</v>
      </c>
      <c r="G1188" t="s">
        <v>1162</v>
      </c>
    </row>
    <row r="1189" spans="1:7">
      <c r="A1189" t="s">
        <v>2792</v>
      </c>
      <c r="B1189" s="2">
        <v>45727</v>
      </c>
      <c r="C1189" t="s">
        <v>81</v>
      </c>
      <c r="D1189" t="s">
        <v>1629</v>
      </c>
      <c r="E1189">
        <v>357.54</v>
      </c>
      <c r="F1189" t="s">
        <v>1578</v>
      </c>
      <c r="G1189" t="s">
        <v>1162</v>
      </c>
    </row>
    <row r="1190" spans="1:7">
      <c r="A1190" t="s">
        <v>2793</v>
      </c>
      <c r="B1190" s="2">
        <v>45727</v>
      </c>
      <c r="C1190" t="s">
        <v>110</v>
      </c>
      <c r="D1190" t="s">
        <v>1629</v>
      </c>
      <c r="E1190">
        <v>180.54</v>
      </c>
      <c r="F1190" t="s">
        <v>1578</v>
      </c>
      <c r="G1190" t="s">
        <v>1162</v>
      </c>
    </row>
    <row r="1191" spans="1:7">
      <c r="A1191" t="s">
        <v>2794</v>
      </c>
      <c r="B1191" s="2">
        <v>45727</v>
      </c>
      <c r="C1191" t="s">
        <v>114</v>
      </c>
      <c r="D1191" t="s">
        <v>1629</v>
      </c>
      <c r="E1191">
        <v>178.77</v>
      </c>
      <c r="F1191" t="s">
        <v>1578</v>
      </c>
      <c r="G1191" t="s">
        <v>1162</v>
      </c>
    </row>
    <row r="1192" spans="1:7">
      <c r="A1192" t="s">
        <v>2795</v>
      </c>
      <c r="B1192" s="2">
        <v>45727</v>
      </c>
      <c r="C1192" t="s">
        <v>117</v>
      </c>
      <c r="D1192" t="s">
        <v>1629</v>
      </c>
      <c r="E1192">
        <v>177.88</v>
      </c>
      <c r="F1192" t="s">
        <v>1578</v>
      </c>
      <c r="G1192" t="s">
        <v>1162</v>
      </c>
    </row>
    <row r="1193" spans="1:7">
      <c r="A1193" t="s">
        <v>2796</v>
      </c>
      <c r="B1193" s="2">
        <v>45727</v>
      </c>
      <c r="C1193" t="s">
        <v>119</v>
      </c>
      <c r="D1193" t="s">
        <v>1629</v>
      </c>
      <c r="E1193">
        <v>178.77</v>
      </c>
      <c r="F1193" t="s">
        <v>1578</v>
      </c>
      <c r="G1193" t="s">
        <v>1162</v>
      </c>
    </row>
    <row r="1194" spans="1:7">
      <c r="A1194" t="s">
        <v>2797</v>
      </c>
      <c r="B1194" s="2">
        <v>45727</v>
      </c>
      <c r="C1194" t="s">
        <v>61</v>
      </c>
      <c r="D1194" t="s">
        <v>1629</v>
      </c>
      <c r="E1194">
        <v>169.32</v>
      </c>
      <c r="F1194" t="s">
        <v>1578</v>
      </c>
      <c r="G1194" t="s">
        <v>1163</v>
      </c>
    </row>
    <row r="1195" spans="1:7">
      <c r="A1195" t="s">
        <v>2798</v>
      </c>
      <c r="B1195" s="2">
        <v>45727</v>
      </c>
      <c r="C1195" t="s">
        <v>65</v>
      </c>
      <c r="D1195" t="s">
        <v>1629</v>
      </c>
      <c r="E1195">
        <v>168.49</v>
      </c>
      <c r="F1195" t="s">
        <v>1578</v>
      </c>
      <c r="G1195" t="s">
        <v>1163</v>
      </c>
    </row>
    <row r="1196" spans="1:7">
      <c r="A1196" t="s">
        <v>2799</v>
      </c>
      <c r="B1196" s="2">
        <v>45727</v>
      </c>
      <c r="C1196" t="s">
        <v>68</v>
      </c>
      <c r="D1196" t="s">
        <v>1629</v>
      </c>
      <c r="E1196">
        <v>169.32</v>
      </c>
      <c r="F1196" t="s">
        <v>1578</v>
      </c>
      <c r="G1196" t="s">
        <v>1163</v>
      </c>
    </row>
    <row r="1197" spans="1:7">
      <c r="A1197" t="s">
        <v>2800</v>
      </c>
      <c r="B1197" s="2">
        <v>45727</v>
      </c>
      <c r="C1197" t="s">
        <v>70</v>
      </c>
      <c r="D1197" t="s">
        <v>1629</v>
      </c>
      <c r="E1197">
        <v>167.66</v>
      </c>
      <c r="F1197" t="s">
        <v>1578</v>
      </c>
      <c r="G1197" t="s">
        <v>1163</v>
      </c>
    </row>
    <row r="1198" spans="1:7">
      <c r="A1198" t="s">
        <v>2801</v>
      </c>
      <c r="B1198" s="2">
        <v>45727</v>
      </c>
      <c r="C1198" t="s">
        <v>73</v>
      </c>
      <c r="D1198" t="s">
        <v>1629</v>
      </c>
      <c r="E1198">
        <v>169.32</v>
      </c>
      <c r="F1198" t="s">
        <v>1578</v>
      </c>
      <c r="G1198" t="s">
        <v>1163</v>
      </c>
    </row>
    <row r="1199" spans="1:7">
      <c r="A1199" t="s">
        <v>2802</v>
      </c>
      <c r="B1199" s="2">
        <v>45727</v>
      </c>
      <c r="C1199" t="s">
        <v>75</v>
      </c>
      <c r="D1199" t="s">
        <v>1629</v>
      </c>
      <c r="E1199">
        <v>167.66</v>
      </c>
      <c r="F1199" t="s">
        <v>1578</v>
      </c>
      <c r="G1199" t="s">
        <v>1163</v>
      </c>
    </row>
    <row r="1200" spans="1:7">
      <c r="A1200" t="s">
        <v>2803</v>
      </c>
      <c r="B1200" s="2">
        <v>45727</v>
      </c>
      <c r="C1200" t="s">
        <v>77</v>
      </c>
      <c r="D1200" t="s">
        <v>1629</v>
      </c>
      <c r="E1200">
        <v>167.66</v>
      </c>
      <c r="F1200" t="s">
        <v>1578</v>
      </c>
      <c r="G1200" t="s">
        <v>1163</v>
      </c>
    </row>
    <row r="1201" spans="1:7">
      <c r="A1201" t="s">
        <v>2804</v>
      </c>
      <c r="B1201" s="2">
        <v>45727</v>
      </c>
      <c r="C1201" t="s">
        <v>79</v>
      </c>
      <c r="D1201" t="s">
        <v>1629</v>
      </c>
      <c r="E1201">
        <v>169.32</v>
      </c>
      <c r="F1201" t="s">
        <v>1578</v>
      </c>
      <c r="G1201" t="s">
        <v>1163</v>
      </c>
    </row>
    <row r="1202" spans="1:7">
      <c r="A1202" t="s">
        <v>2805</v>
      </c>
      <c r="B1202" s="2">
        <v>45727</v>
      </c>
      <c r="C1202" t="s">
        <v>81</v>
      </c>
      <c r="D1202" t="s">
        <v>1629</v>
      </c>
      <c r="E1202">
        <v>335.32</v>
      </c>
      <c r="F1202" t="s">
        <v>1578</v>
      </c>
      <c r="G1202" t="s">
        <v>1163</v>
      </c>
    </row>
    <row r="1203" spans="1:7">
      <c r="A1203" t="s">
        <v>2806</v>
      </c>
      <c r="B1203" s="2">
        <v>45727</v>
      </c>
      <c r="C1203" t="s">
        <v>108</v>
      </c>
      <c r="D1203" t="s">
        <v>1629</v>
      </c>
      <c r="E1203">
        <v>336.98</v>
      </c>
      <c r="F1203" t="s">
        <v>1578</v>
      </c>
      <c r="G1203" t="s">
        <v>1163</v>
      </c>
    </row>
    <row r="1204" spans="1:7">
      <c r="A1204" t="s">
        <v>2807</v>
      </c>
      <c r="B1204" s="2">
        <v>45727</v>
      </c>
      <c r="C1204" t="s">
        <v>110</v>
      </c>
      <c r="D1204" t="s">
        <v>1629</v>
      </c>
      <c r="E1204">
        <v>169.32</v>
      </c>
      <c r="F1204" t="s">
        <v>1578</v>
      </c>
      <c r="G1204" t="s">
        <v>1163</v>
      </c>
    </row>
    <row r="1205" spans="1:7">
      <c r="A1205" t="s">
        <v>2808</v>
      </c>
      <c r="B1205" s="2">
        <v>45727</v>
      </c>
      <c r="C1205" t="s">
        <v>114</v>
      </c>
      <c r="D1205" t="s">
        <v>1629</v>
      </c>
      <c r="E1205">
        <v>167.66</v>
      </c>
      <c r="F1205" t="s">
        <v>1578</v>
      </c>
      <c r="G1205" t="s">
        <v>1163</v>
      </c>
    </row>
    <row r="1206" spans="1:7">
      <c r="A1206" t="s">
        <v>2809</v>
      </c>
      <c r="B1206" s="2">
        <v>45727</v>
      </c>
      <c r="C1206" t="s">
        <v>117</v>
      </c>
      <c r="D1206" t="s">
        <v>1629</v>
      </c>
      <c r="E1206">
        <v>166.83</v>
      </c>
      <c r="F1206" t="s">
        <v>1578</v>
      </c>
      <c r="G1206" t="s">
        <v>1163</v>
      </c>
    </row>
    <row r="1207" spans="1:7">
      <c r="A1207" t="s">
        <v>2810</v>
      </c>
      <c r="B1207" s="2">
        <v>45727</v>
      </c>
      <c r="C1207" t="s">
        <v>119</v>
      </c>
      <c r="D1207" t="s">
        <v>1629</v>
      </c>
      <c r="E1207">
        <v>167.66</v>
      </c>
      <c r="F1207" t="s">
        <v>1578</v>
      </c>
      <c r="G1207" t="s">
        <v>1163</v>
      </c>
    </row>
    <row r="1208" spans="1:7">
      <c r="A1208" t="s">
        <v>2811</v>
      </c>
      <c r="B1208" s="2">
        <v>45727</v>
      </c>
      <c r="C1208" t="s">
        <v>110</v>
      </c>
      <c r="D1208" t="s">
        <v>1683</v>
      </c>
      <c r="E1208">
        <v>105</v>
      </c>
      <c r="F1208" t="s">
        <v>1578</v>
      </c>
      <c r="G1208" t="s">
        <v>502</v>
      </c>
    </row>
    <row r="1209" spans="1:7">
      <c r="A1209" t="s">
        <v>2812</v>
      </c>
      <c r="B1209" s="2">
        <v>45727</v>
      </c>
      <c r="C1209" t="s">
        <v>91</v>
      </c>
      <c r="D1209" t="s">
        <v>1683</v>
      </c>
      <c r="E1209">
        <v>436</v>
      </c>
      <c r="F1209" t="s">
        <v>1578</v>
      </c>
      <c r="G1209" t="s">
        <v>503</v>
      </c>
    </row>
    <row r="1210" spans="1:7">
      <c r="A1210" t="s">
        <v>2813</v>
      </c>
      <c r="B1210" s="2">
        <v>45728</v>
      </c>
      <c r="C1210" t="s">
        <v>61</v>
      </c>
      <c r="D1210" t="s">
        <v>1629</v>
      </c>
      <c r="E1210">
        <v>86.7</v>
      </c>
      <c r="F1210" t="s">
        <v>1578</v>
      </c>
      <c r="G1210" t="s">
        <v>1164</v>
      </c>
    </row>
    <row r="1211" spans="1:7">
      <c r="A1211" t="s">
        <v>2814</v>
      </c>
      <c r="B1211" s="2">
        <v>45728</v>
      </c>
      <c r="C1211" t="s">
        <v>65</v>
      </c>
      <c r="D1211" t="s">
        <v>1629</v>
      </c>
      <c r="E1211">
        <v>86.28</v>
      </c>
      <c r="F1211" t="s">
        <v>1578</v>
      </c>
      <c r="G1211" t="s">
        <v>1164</v>
      </c>
    </row>
    <row r="1212" spans="1:7">
      <c r="A1212" t="s">
        <v>2815</v>
      </c>
      <c r="B1212" s="2">
        <v>45728</v>
      </c>
      <c r="C1212" t="s">
        <v>68</v>
      </c>
      <c r="D1212" t="s">
        <v>1629</v>
      </c>
      <c r="E1212">
        <v>86.7</v>
      </c>
      <c r="F1212" t="s">
        <v>1578</v>
      </c>
      <c r="G1212" t="s">
        <v>1164</v>
      </c>
    </row>
    <row r="1213" spans="1:7">
      <c r="A1213" t="s">
        <v>2816</v>
      </c>
      <c r="B1213" s="2">
        <v>45728</v>
      </c>
      <c r="C1213" t="s">
        <v>70</v>
      </c>
      <c r="D1213" t="s">
        <v>1629</v>
      </c>
      <c r="E1213">
        <v>85.85</v>
      </c>
      <c r="F1213" t="s">
        <v>1578</v>
      </c>
      <c r="G1213" t="s">
        <v>1164</v>
      </c>
    </row>
    <row r="1214" spans="1:7">
      <c r="A1214" t="s">
        <v>2817</v>
      </c>
      <c r="B1214" s="2">
        <v>45728</v>
      </c>
      <c r="C1214" t="s">
        <v>75</v>
      </c>
      <c r="D1214" t="s">
        <v>1629</v>
      </c>
      <c r="E1214">
        <v>85.85</v>
      </c>
      <c r="F1214" t="s">
        <v>1578</v>
      </c>
      <c r="G1214" t="s">
        <v>1164</v>
      </c>
    </row>
    <row r="1215" spans="1:7">
      <c r="A1215" t="s">
        <v>2818</v>
      </c>
      <c r="B1215" s="2">
        <v>45728</v>
      </c>
      <c r="C1215" t="s">
        <v>77</v>
      </c>
      <c r="D1215" t="s">
        <v>1629</v>
      </c>
      <c r="E1215">
        <v>85.85</v>
      </c>
      <c r="F1215" t="s">
        <v>1578</v>
      </c>
      <c r="G1215" t="s">
        <v>1164</v>
      </c>
    </row>
    <row r="1216" spans="1:7">
      <c r="A1216" t="s">
        <v>2819</v>
      </c>
      <c r="B1216" s="2">
        <v>45728</v>
      </c>
      <c r="C1216" t="s">
        <v>79</v>
      </c>
      <c r="D1216" t="s">
        <v>1629</v>
      </c>
      <c r="E1216">
        <v>86.7</v>
      </c>
      <c r="F1216" t="s">
        <v>1578</v>
      </c>
      <c r="G1216" t="s">
        <v>1164</v>
      </c>
    </row>
    <row r="1217" spans="1:7">
      <c r="A1217" t="s">
        <v>2820</v>
      </c>
      <c r="B1217" s="2">
        <v>45728</v>
      </c>
      <c r="C1217" t="s">
        <v>81</v>
      </c>
      <c r="D1217" t="s">
        <v>1629</v>
      </c>
      <c r="E1217">
        <v>171.7</v>
      </c>
      <c r="F1217" t="s">
        <v>1578</v>
      </c>
      <c r="G1217" t="s">
        <v>1164</v>
      </c>
    </row>
    <row r="1218" spans="1:7">
      <c r="A1218" t="s">
        <v>2821</v>
      </c>
      <c r="B1218" s="2">
        <v>45728</v>
      </c>
      <c r="C1218" t="s">
        <v>110</v>
      </c>
      <c r="D1218" t="s">
        <v>1629</v>
      </c>
      <c r="E1218">
        <v>86.7</v>
      </c>
      <c r="F1218" t="s">
        <v>1578</v>
      </c>
      <c r="G1218" t="s">
        <v>1164</v>
      </c>
    </row>
    <row r="1219" spans="1:7">
      <c r="A1219" t="s">
        <v>2822</v>
      </c>
      <c r="B1219" s="2">
        <v>45728</v>
      </c>
      <c r="C1219" t="s">
        <v>114</v>
      </c>
      <c r="D1219" t="s">
        <v>1629</v>
      </c>
      <c r="E1219">
        <v>85.85</v>
      </c>
      <c r="F1219" t="s">
        <v>1578</v>
      </c>
      <c r="G1219" t="s">
        <v>1164</v>
      </c>
    </row>
    <row r="1220" spans="1:7">
      <c r="A1220" t="s">
        <v>2823</v>
      </c>
      <c r="B1220" s="2">
        <v>45728</v>
      </c>
      <c r="C1220" t="s">
        <v>117</v>
      </c>
      <c r="D1220" t="s">
        <v>1629</v>
      </c>
      <c r="E1220">
        <v>85.42</v>
      </c>
      <c r="F1220" t="s">
        <v>1578</v>
      </c>
      <c r="G1220" t="s">
        <v>1164</v>
      </c>
    </row>
    <row r="1221" spans="1:7">
      <c r="A1221" t="s">
        <v>2824</v>
      </c>
      <c r="B1221" s="2">
        <v>45728</v>
      </c>
      <c r="C1221" t="s">
        <v>119</v>
      </c>
      <c r="D1221" t="s">
        <v>1629</v>
      </c>
      <c r="E1221">
        <v>85.85</v>
      </c>
      <c r="F1221" t="s">
        <v>1578</v>
      </c>
      <c r="G1221" t="s">
        <v>1164</v>
      </c>
    </row>
    <row r="1222" spans="1:7">
      <c r="A1222" t="s">
        <v>2825</v>
      </c>
      <c r="B1222" s="2">
        <v>45728</v>
      </c>
      <c r="C1222" t="s">
        <v>106</v>
      </c>
      <c r="D1222" t="s">
        <v>1683</v>
      </c>
      <c r="E1222">
        <v>97</v>
      </c>
      <c r="F1222" t="s">
        <v>1578</v>
      </c>
      <c r="G1222" t="s">
        <v>504</v>
      </c>
    </row>
    <row r="1223" spans="1:7">
      <c r="A1223" t="s">
        <v>2826</v>
      </c>
      <c r="B1223" s="2">
        <v>45728</v>
      </c>
      <c r="C1223" t="s">
        <v>114</v>
      </c>
      <c r="D1223" t="s">
        <v>1683</v>
      </c>
      <c r="E1223">
        <v>191</v>
      </c>
      <c r="F1223" t="s">
        <v>1578</v>
      </c>
      <c r="G1223" t="s">
        <v>505</v>
      </c>
    </row>
    <row r="1224" spans="1:7">
      <c r="A1224" t="s">
        <v>2827</v>
      </c>
      <c r="B1224" s="2">
        <v>45729</v>
      </c>
      <c r="C1224" t="s">
        <v>61</v>
      </c>
      <c r="D1224" t="s">
        <v>1629</v>
      </c>
      <c r="E1224">
        <v>438.6</v>
      </c>
      <c r="F1224" t="s">
        <v>1578</v>
      </c>
      <c r="G1224" t="s">
        <v>1165</v>
      </c>
    </row>
    <row r="1225" spans="1:7">
      <c r="A1225" t="s">
        <v>2828</v>
      </c>
      <c r="B1225" s="2">
        <v>45729</v>
      </c>
      <c r="C1225" t="s">
        <v>65</v>
      </c>
      <c r="D1225" t="s">
        <v>1629</v>
      </c>
      <c r="E1225">
        <v>436.45</v>
      </c>
      <c r="F1225" t="s">
        <v>1578</v>
      </c>
      <c r="G1225" t="s">
        <v>1165</v>
      </c>
    </row>
    <row r="1226" spans="1:7">
      <c r="A1226" t="s">
        <v>2829</v>
      </c>
      <c r="B1226" s="2">
        <v>45729</v>
      </c>
      <c r="C1226" t="s">
        <v>68</v>
      </c>
      <c r="D1226" t="s">
        <v>1629</v>
      </c>
      <c r="E1226">
        <v>438.6</v>
      </c>
      <c r="F1226" t="s">
        <v>1578</v>
      </c>
      <c r="G1226" t="s">
        <v>1165</v>
      </c>
    </row>
    <row r="1227" spans="1:7">
      <c r="A1227" t="s">
        <v>2830</v>
      </c>
      <c r="B1227" s="2">
        <v>45729</v>
      </c>
      <c r="C1227" t="s">
        <v>70</v>
      </c>
      <c r="D1227" t="s">
        <v>1629</v>
      </c>
      <c r="E1227">
        <v>434.3</v>
      </c>
      <c r="F1227" t="s">
        <v>1578</v>
      </c>
      <c r="G1227" t="s">
        <v>1165</v>
      </c>
    </row>
    <row r="1228" spans="1:7">
      <c r="A1228" t="s">
        <v>2831</v>
      </c>
      <c r="B1228" s="2">
        <v>45729</v>
      </c>
      <c r="C1228" t="s">
        <v>75</v>
      </c>
      <c r="D1228" t="s">
        <v>1629</v>
      </c>
      <c r="E1228">
        <v>434.3</v>
      </c>
      <c r="F1228" t="s">
        <v>1578</v>
      </c>
      <c r="G1228" t="s">
        <v>1165</v>
      </c>
    </row>
    <row r="1229" spans="1:7">
      <c r="A1229" t="s">
        <v>2832</v>
      </c>
      <c r="B1229" s="2">
        <v>45729</v>
      </c>
      <c r="C1229" t="s">
        <v>77</v>
      </c>
      <c r="D1229" t="s">
        <v>1629</v>
      </c>
      <c r="E1229">
        <v>434.3</v>
      </c>
      <c r="F1229" t="s">
        <v>1578</v>
      </c>
      <c r="G1229" t="s">
        <v>1165</v>
      </c>
    </row>
    <row r="1230" spans="1:7">
      <c r="A1230" t="s">
        <v>2833</v>
      </c>
      <c r="B1230" s="2">
        <v>45729</v>
      </c>
      <c r="C1230" t="s">
        <v>79</v>
      </c>
      <c r="D1230" t="s">
        <v>1629</v>
      </c>
      <c r="E1230">
        <v>438.6</v>
      </c>
      <c r="F1230" t="s">
        <v>1578</v>
      </c>
      <c r="G1230" t="s">
        <v>1165</v>
      </c>
    </row>
    <row r="1231" spans="1:7">
      <c r="A1231" t="s">
        <v>2834</v>
      </c>
      <c r="B1231" s="2">
        <v>45729</v>
      </c>
      <c r="C1231" t="s">
        <v>81</v>
      </c>
      <c r="D1231" t="s">
        <v>1629</v>
      </c>
      <c r="E1231">
        <v>868.6</v>
      </c>
      <c r="F1231" t="s">
        <v>1578</v>
      </c>
      <c r="G1231" t="s">
        <v>1165</v>
      </c>
    </row>
    <row r="1232" spans="1:7">
      <c r="A1232" t="s">
        <v>2835</v>
      </c>
      <c r="B1232" s="2">
        <v>45729</v>
      </c>
      <c r="C1232" t="s">
        <v>110</v>
      </c>
      <c r="D1232" t="s">
        <v>1629</v>
      </c>
      <c r="E1232">
        <v>438.6</v>
      </c>
      <c r="F1232" t="s">
        <v>1578</v>
      </c>
      <c r="G1232" t="s">
        <v>1165</v>
      </c>
    </row>
    <row r="1233" spans="1:7">
      <c r="A1233" t="s">
        <v>2836</v>
      </c>
      <c r="B1233" s="2">
        <v>45729</v>
      </c>
      <c r="C1233" t="s">
        <v>114</v>
      </c>
      <c r="D1233" t="s">
        <v>1629</v>
      </c>
      <c r="E1233">
        <v>434.3</v>
      </c>
      <c r="F1233" t="s">
        <v>1578</v>
      </c>
      <c r="G1233" t="s">
        <v>1165</v>
      </c>
    </row>
    <row r="1234" spans="1:7">
      <c r="A1234" t="s">
        <v>2837</v>
      </c>
      <c r="B1234" s="2">
        <v>45729</v>
      </c>
      <c r="C1234" t="s">
        <v>117</v>
      </c>
      <c r="D1234" t="s">
        <v>1629</v>
      </c>
      <c r="E1234">
        <v>432.15</v>
      </c>
      <c r="F1234" t="s">
        <v>1578</v>
      </c>
      <c r="G1234" t="s">
        <v>1165</v>
      </c>
    </row>
    <row r="1235" spans="1:7">
      <c r="A1235" t="s">
        <v>2838</v>
      </c>
      <c r="B1235" s="2">
        <v>45729</v>
      </c>
      <c r="C1235" t="s">
        <v>119</v>
      </c>
      <c r="D1235" t="s">
        <v>1629</v>
      </c>
      <c r="E1235">
        <v>434.3</v>
      </c>
      <c r="F1235" t="s">
        <v>1578</v>
      </c>
      <c r="G1235" t="s">
        <v>1165</v>
      </c>
    </row>
    <row r="1236" spans="1:7">
      <c r="A1236" t="s">
        <v>2839</v>
      </c>
      <c r="B1236" s="2">
        <v>45729</v>
      </c>
      <c r="C1236" t="s">
        <v>114</v>
      </c>
      <c r="D1236" t="s">
        <v>1683</v>
      </c>
      <c r="E1236">
        <v>284</v>
      </c>
      <c r="F1236" t="s">
        <v>1578</v>
      </c>
      <c r="G1236" t="s">
        <v>506</v>
      </c>
    </row>
    <row r="1237" spans="1:7">
      <c r="A1237" t="s">
        <v>2840</v>
      </c>
      <c r="B1237" s="2">
        <v>45729</v>
      </c>
      <c r="C1237" t="s">
        <v>73</v>
      </c>
      <c r="D1237" t="s">
        <v>1683</v>
      </c>
      <c r="E1237">
        <v>115</v>
      </c>
      <c r="F1237" t="s">
        <v>1578</v>
      </c>
      <c r="G1237" t="s">
        <v>507</v>
      </c>
    </row>
    <row r="1238" spans="1:7">
      <c r="A1238" t="s">
        <v>2841</v>
      </c>
      <c r="B1238" s="2">
        <v>45731</v>
      </c>
      <c r="C1238" t="s">
        <v>75</v>
      </c>
      <c r="D1238" t="s">
        <v>1629</v>
      </c>
      <c r="E1238">
        <v>193.92</v>
      </c>
      <c r="F1238" t="s">
        <v>1578</v>
      </c>
      <c r="G1238" t="s">
        <v>1166</v>
      </c>
    </row>
    <row r="1239" spans="1:7">
      <c r="A1239" t="s">
        <v>2842</v>
      </c>
      <c r="B1239" s="2">
        <v>45731</v>
      </c>
      <c r="C1239" t="s">
        <v>106</v>
      </c>
      <c r="D1239" t="s">
        <v>1629</v>
      </c>
      <c r="E1239">
        <v>197.76</v>
      </c>
      <c r="F1239" t="s">
        <v>1578</v>
      </c>
      <c r="G1239" t="s">
        <v>1166</v>
      </c>
    </row>
    <row r="1240" spans="1:7">
      <c r="A1240" t="s">
        <v>2843</v>
      </c>
      <c r="B1240" s="2">
        <v>45731</v>
      </c>
      <c r="C1240" t="s">
        <v>108</v>
      </c>
      <c r="D1240" t="s">
        <v>1629</v>
      </c>
      <c r="E1240">
        <v>389.76</v>
      </c>
      <c r="F1240" t="s">
        <v>1578</v>
      </c>
      <c r="G1240" t="s">
        <v>1166</v>
      </c>
    </row>
    <row r="1241" spans="1:7">
      <c r="A1241" t="s">
        <v>2844</v>
      </c>
      <c r="B1241" s="2">
        <v>45731</v>
      </c>
      <c r="C1241" t="s">
        <v>110</v>
      </c>
      <c r="D1241" t="s">
        <v>1629</v>
      </c>
      <c r="E1241">
        <v>195.84</v>
      </c>
      <c r="F1241" t="s">
        <v>1578</v>
      </c>
      <c r="G1241" t="s">
        <v>1166</v>
      </c>
    </row>
    <row r="1242" spans="1:7">
      <c r="A1242" t="s">
        <v>2845</v>
      </c>
      <c r="B1242" s="2">
        <v>45731</v>
      </c>
      <c r="C1242" t="s">
        <v>114</v>
      </c>
      <c r="D1242" t="s">
        <v>1629</v>
      </c>
      <c r="E1242">
        <v>193.92</v>
      </c>
      <c r="F1242" t="s">
        <v>1578</v>
      </c>
      <c r="G1242" t="s">
        <v>1166</v>
      </c>
    </row>
    <row r="1243" spans="1:7">
      <c r="A1243" t="s">
        <v>2846</v>
      </c>
      <c r="B1243" s="2">
        <v>45731</v>
      </c>
      <c r="C1243" t="s">
        <v>117</v>
      </c>
      <c r="D1243" t="s">
        <v>1629</v>
      </c>
      <c r="E1243">
        <v>192.96</v>
      </c>
      <c r="F1243" t="s">
        <v>1578</v>
      </c>
      <c r="G1243" t="s">
        <v>1166</v>
      </c>
    </row>
    <row r="1244" spans="1:7">
      <c r="A1244" t="s">
        <v>2847</v>
      </c>
      <c r="B1244" s="2">
        <v>45731</v>
      </c>
      <c r="C1244" t="s">
        <v>119</v>
      </c>
      <c r="D1244" t="s">
        <v>1629</v>
      </c>
      <c r="E1244">
        <v>193.92</v>
      </c>
      <c r="F1244" t="s">
        <v>1578</v>
      </c>
      <c r="G1244" t="s">
        <v>1166</v>
      </c>
    </row>
    <row r="1245" spans="1:7">
      <c r="A1245" t="s">
        <v>2848</v>
      </c>
      <c r="B1245" s="2">
        <v>45731</v>
      </c>
      <c r="C1245" t="s">
        <v>61</v>
      </c>
      <c r="D1245" t="s">
        <v>1629</v>
      </c>
      <c r="E1245">
        <v>278.45999999999998</v>
      </c>
      <c r="F1245" t="s">
        <v>1578</v>
      </c>
      <c r="G1245" t="s">
        <v>1167</v>
      </c>
    </row>
    <row r="1246" spans="1:7">
      <c r="A1246" t="s">
        <v>2849</v>
      </c>
      <c r="B1246" s="2">
        <v>45731</v>
      </c>
      <c r="C1246" t="s">
        <v>65</v>
      </c>
      <c r="D1246" t="s">
        <v>1629</v>
      </c>
      <c r="E1246">
        <v>277.08999999999997</v>
      </c>
      <c r="F1246" t="s">
        <v>1578</v>
      </c>
      <c r="G1246" t="s">
        <v>1167</v>
      </c>
    </row>
    <row r="1247" spans="1:7">
      <c r="A1247" t="s">
        <v>2850</v>
      </c>
      <c r="B1247" s="2">
        <v>45731</v>
      </c>
      <c r="C1247" t="s">
        <v>75</v>
      </c>
      <c r="D1247" t="s">
        <v>1629</v>
      </c>
      <c r="E1247">
        <v>275.73</v>
      </c>
      <c r="F1247" t="s">
        <v>1578</v>
      </c>
      <c r="G1247" t="s">
        <v>1167</v>
      </c>
    </row>
    <row r="1248" spans="1:7">
      <c r="A1248" t="s">
        <v>2851</v>
      </c>
      <c r="B1248" s="2">
        <v>45731</v>
      </c>
      <c r="C1248" t="s">
        <v>79</v>
      </c>
      <c r="D1248" t="s">
        <v>1629</v>
      </c>
      <c r="E1248">
        <v>278.45999999999998</v>
      </c>
      <c r="F1248" t="s">
        <v>1578</v>
      </c>
      <c r="G1248" t="s">
        <v>1167</v>
      </c>
    </row>
    <row r="1249" spans="1:7">
      <c r="A1249" t="s">
        <v>2852</v>
      </c>
      <c r="B1249" s="2">
        <v>45731</v>
      </c>
      <c r="C1249" t="s">
        <v>81</v>
      </c>
      <c r="D1249" t="s">
        <v>1629</v>
      </c>
      <c r="E1249">
        <v>551.46</v>
      </c>
      <c r="F1249" t="s">
        <v>1578</v>
      </c>
      <c r="G1249" t="s">
        <v>1167</v>
      </c>
    </row>
    <row r="1250" spans="1:7">
      <c r="A1250" t="s">
        <v>2853</v>
      </c>
      <c r="B1250" s="2">
        <v>45731</v>
      </c>
      <c r="C1250" t="s">
        <v>84</v>
      </c>
      <c r="D1250" t="s">
        <v>1629</v>
      </c>
      <c r="E1250">
        <v>98.42</v>
      </c>
      <c r="F1250" t="s">
        <v>1578</v>
      </c>
      <c r="G1250" t="s">
        <v>1167</v>
      </c>
    </row>
    <row r="1251" spans="1:7">
      <c r="A1251" t="s">
        <v>2854</v>
      </c>
      <c r="B1251" s="2">
        <v>45731</v>
      </c>
      <c r="C1251" t="s">
        <v>89</v>
      </c>
      <c r="D1251" t="s">
        <v>1629</v>
      </c>
      <c r="E1251">
        <v>419.74</v>
      </c>
      <c r="F1251" t="s">
        <v>1578</v>
      </c>
      <c r="G1251" t="s">
        <v>1167</v>
      </c>
    </row>
    <row r="1252" spans="1:7">
      <c r="A1252" t="s">
        <v>2855</v>
      </c>
      <c r="B1252" s="2">
        <v>45731</v>
      </c>
      <c r="C1252" t="s">
        <v>110</v>
      </c>
      <c r="D1252" t="s">
        <v>1629</v>
      </c>
      <c r="E1252">
        <v>278.45999999999998</v>
      </c>
      <c r="F1252" t="s">
        <v>1578</v>
      </c>
      <c r="G1252" t="s">
        <v>1167</v>
      </c>
    </row>
    <row r="1253" spans="1:7">
      <c r="A1253" t="s">
        <v>2856</v>
      </c>
      <c r="B1253" s="2">
        <v>45731</v>
      </c>
      <c r="C1253" t="s">
        <v>114</v>
      </c>
      <c r="D1253" t="s">
        <v>1629</v>
      </c>
      <c r="E1253">
        <v>275.73</v>
      </c>
      <c r="F1253" t="s">
        <v>1578</v>
      </c>
      <c r="G1253" t="s">
        <v>1167</v>
      </c>
    </row>
    <row r="1254" spans="1:7">
      <c r="A1254" t="s">
        <v>2857</v>
      </c>
      <c r="B1254" s="2">
        <v>45731</v>
      </c>
      <c r="C1254" t="s">
        <v>117</v>
      </c>
      <c r="D1254" t="s">
        <v>1629</v>
      </c>
      <c r="E1254">
        <v>274.36</v>
      </c>
      <c r="F1254" t="s">
        <v>1578</v>
      </c>
      <c r="G1254" t="s">
        <v>1167</v>
      </c>
    </row>
    <row r="1255" spans="1:7">
      <c r="A1255" t="s">
        <v>2858</v>
      </c>
      <c r="B1255" s="2">
        <v>45731</v>
      </c>
      <c r="C1255" t="s">
        <v>119</v>
      </c>
      <c r="D1255" t="s">
        <v>1629</v>
      </c>
      <c r="E1255">
        <v>275.73</v>
      </c>
      <c r="F1255" t="s">
        <v>1578</v>
      </c>
      <c r="G1255" t="s">
        <v>1167</v>
      </c>
    </row>
    <row r="1256" spans="1:7">
      <c r="A1256" t="s">
        <v>2859</v>
      </c>
      <c r="B1256" s="2">
        <v>45731</v>
      </c>
      <c r="C1256" t="s">
        <v>87</v>
      </c>
      <c r="D1256" t="s">
        <v>1683</v>
      </c>
      <c r="E1256">
        <v>423</v>
      </c>
      <c r="F1256" t="s">
        <v>1578</v>
      </c>
      <c r="G1256" t="s">
        <v>508</v>
      </c>
    </row>
    <row r="1257" spans="1:7">
      <c r="A1257" t="s">
        <v>2860</v>
      </c>
      <c r="B1257" s="2">
        <v>45731</v>
      </c>
      <c r="C1257" t="s">
        <v>93</v>
      </c>
      <c r="D1257" t="s">
        <v>1683</v>
      </c>
      <c r="E1257">
        <v>435</v>
      </c>
      <c r="F1257" t="s">
        <v>1578</v>
      </c>
      <c r="G1257" t="s">
        <v>509</v>
      </c>
    </row>
    <row r="1258" spans="1:7">
      <c r="A1258" t="s">
        <v>2861</v>
      </c>
      <c r="B1258" s="2">
        <v>45732</v>
      </c>
      <c r="C1258" t="s">
        <v>93</v>
      </c>
      <c r="D1258" t="s">
        <v>1683</v>
      </c>
      <c r="E1258">
        <v>239</v>
      </c>
      <c r="F1258" t="s">
        <v>1578</v>
      </c>
      <c r="G1258" t="s">
        <v>512</v>
      </c>
    </row>
    <row r="1259" spans="1:7">
      <c r="A1259" t="s">
        <v>2862</v>
      </c>
      <c r="B1259" s="2">
        <v>45733</v>
      </c>
      <c r="C1259" t="s">
        <v>61</v>
      </c>
      <c r="D1259" t="s">
        <v>1629</v>
      </c>
      <c r="E1259">
        <v>174.42</v>
      </c>
      <c r="F1259" t="s">
        <v>1578</v>
      </c>
      <c r="G1259" t="s">
        <v>1168</v>
      </c>
    </row>
    <row r="1260" spans="1:7">
      <c r="A1260" t="s">
        <v>2863</v>
      </c>
      <c r="B1260" s="2">
        <v>45733</v>
      </c>
      <c r="C1260" t="s">
        <v>65</v>
      </c>
      <c r="D1260" t="s">
        <v>1629</v>
      </c>
      <c r="E1260">
        <v>173.56</v>
      </c>
      <c r="F1260" t="s">
        <v>1578</v>
      </c>
      <c r="G1260" t="s">
        <v>1168</v>
      </c>
    </row>
    <row r="1261" spans="1:7">
      <c r="A1261" t="s">
        <v>2864</v>
      </c>
      <c r="B1261" s="2">
        <v>45733</v>
      </c>
      <c r="C1261" t="s">
        <v>68</v>
      </c>
      <c r="D1261" t="s">
        <v>1629</v>
      </c>
      <c r="E1261">
        <v>174.42</v>
      </c>
      <c r="F1261" t="s">
        <v>1578</v>
      </c>
      <c r="G1261" t="s">
        <v>1168</v>
      </c>
    </row>
    <row r="1262" spans="1:7">
      <c r="A1262" t="s">
        <v>2865</v>
      </c>
      <c r="B1262" s="2">
        <v>45733</v>
      </c>
      <c r="C1262" t="s">
        <v>70</v>
      </c>
      <c r="D1262" t="s">
        <v>1629</v>
      </c>
      <c r="E1262">
        <v>172.71</v>
      </c>
      <c r="F1262" t="s">
        <v>1578</v>
      </c>
      <c r="G1262" t="s">
        <v>1168</v>
      </c>
    </row>
    <row r="1263" spans="1:7">
      <c r="A1263" t="s">
        <v>2866</v>
      </c>
      <c r="B1263" s="2">
        <v>45733</v>
      </c>
      <c r="C1263" t="s">
        <v>75</v>
      </c>
      <c r="D1263" t="s">
        <v>1629</v>
      </c>
      <c r="E1263">
        <v>172.71</v>
      </c>
      <c r="F1263" t="s">
        <v>1578</v>
      </c>
      <c r="G1263" t="s">
        <v>1168</v>
      </c>
    </row>
    <row r="1264" spans="1:7">
      <c r="A1264" t="s">
        <v>2867</v>
      </c>
      <c r="B1264" s="2">
        <v>45733</v>
      </c>
      <c r="C1264" t="s">
        <v>77</v>
      </c>
      <c r="D1264" t="s">
        <v>1629</v>
      </c>
      <c r="E1264">
        <v>172.71</v>
      </c>
      <c r="F1264" t="s">
        <v>1578</v>
      </c>
      <c r="G1264" t="s">
        <v>1168</v>
      </c>
    </row>
    <row r="1265" spans="1:7">
      <c r="A1265" t="s">
        <v>2868</v>
      </c>
      <c r="B1265" s="2">
        <v>45733</v>
      </c>
      <c r="C1265" t="s">
        <v>79</v>
      </c>
      <c r="D1265" t="s">
        <v>1629</v>
      </c>
      <c r="E1265">
        <v>174.42</v>
      </c>
      <c r="F1265" t="s">
        <v>1578</v>
      </c>
      <c r="G1265" t="s">
        <v>1168</v>
      </c>
    </row>
    <row r="1266" spans="1:7">
      <c r="A1266" t="s">
        <v>2869</v>
      </c>
      <c r="B1266" s="2">
        <v>45733</v>
      </c>
      <c r="C1266" t="s">
        <v>81</v>
      </c>
      <c r="D1266" t="s">
        <v>1629</v>
      </c>
      <c r="E1266">
        <v>345.42</v>
      </c>
      <c r="F1266" t="s">
        <v>1578</v>
      </c>
      <c r="G1266" t="s">
        <v>1168</v>
      </c>
    </row>
    <row r="1267" spans="1:7">
      <c r="A1267" t="s">
        <v>2870</v>
      </c>
      <c r="B1267" s="2">
        <v>45733</v>
      </c>
      <c r="C1267" t="s">
        <v>108</v>
      </c>
      <c r="D1267" t="s">
        <v>1629</v>
      </c>
      <c r="E1267">
        <v>347.13</v>
      </c>
      <c r="F1267" t="s">
        <v>1578</v>
      </c>
      <c r="G1267" t="s">
        <v>1168</v>
      </c>
    </row>
    <row r="1268" spans="1:7">
      <c r="A1268" t="s">
        <v>2871</v>
      </c>
      <c r="B1268" s="2">
        <v>45733</v>
      </c>
      <c r="C1268" t="s">
        <v>110</v>
      </c>
      <c r="D1268" t="s">
        <v>1629</v>
      </c>
      <c r="E1268">
        <v>174.42</v>
      </c>
      <c r="F1268" t="s">
        <v>1578</v>
      </c>
      <c r="G1268" t="s">
        <v>1168</v>
      </c>
    </row>
    <row r="1269" spans="1:7">
      <c r="A1269" t="s">
        <v>2872</v>
      </c>
      <c r="B1269" s="2">
        <v>45733</v>
      </c>
      <c r="C1269" t="s">
        <v>114</v>
      </c>
      <c r="D1269" t="s">
        <v>1629</v>
      </c>
      <c r="E1269">
        <v>172.71</v>
      </c>
      <c r="F1269" t="s">
        <v>1578</v>
      </c>
      <c r="G1269" t="s">
        <v>1168</v>
      </c>
    </row>
    <row r="1270" spans="1:7">
      <c r="A1270" t="s">
        <v>2873</v>
      </c>
      <c r="B1270" s="2">
        <v>45733</v>
      </c>
      <c r="C1270" t="s">
        <v>117</v>
      </c>
      <c r="D1270" t="s">
        <v>1629</v>
      </c>
      <c r="E1270">
        <v>171.86</v>
      </c>
      <c r="F1270" t="s">
        <v>1578</v>
      </c>
      <c r="G1270" t="s">
        <v>1168</v>
      </c>
    </row>
    <row r="1271" spans="1:7">
      <c r="A1271" t="s">
        <v>2874</v>
      </c>
      <c r="B1271" s="2">
        <v>45733</v>
      </c>
      <c r="C1271" t="s">
        <v>119</v>
      </c>
      <c r="D1271" t="s">
        <v>1629</v>
      </c>
      <c r="E1271">
        <v>172.71</v>
      </c>
      <c r="F1271" t="s">
        <v>1578</v>
      </c>
      <c r="G1271" t="s">
        <v>1168</v>
      </c>
    </row>
    <row r="1272" spans="1:7">
      <c r="A1272" t="s">
        <v>2875</v>
      </c>
      <c r="B1272" s="2">
        <v>45733</v>
      </c>
      <c r="C1272" t="s">
        <v>61</v>
      </c>
      <c r="D1272" t="s">
        <v>1629</v>
      </c>
      <c r="E1272">
        <v>326.39999999999998</v>
      </c>
      <c r="F1272" t="s">
        <v>1578</v>
      </c>
      <c r="G1272" t="s">
        <v>1169</v>
      </c>
    </row>
    <row r="1273" spans="1:7">
      <c r="A1273" t="s">
        <v>2876</v>
      </c>
      <c r="B1273" s="2">
        <v>45733</v>
      </c>
      <c r="C1273" t="s">
        <v>65</v>
      </c>
      <c r="D1273" t="s">
        <v>1629</v>
      </c>
      <c r="E1273">
        <v>324.8</v>
      </c>
      <c r="F1273" t="s">
        <v>1578</v>
      </c>
      <c r="G1273" t="s">
        <v>1169</v>
      </c>
    </row>
    <row r="1274" spans="1:7">
      <c r="A1274" t="s">
        <v>2877</v>
      </c>
      <c r="B1274" s="2">
        <v>45733</v>
      </c>
      <c r="C1274" t="s">
        <v>68</v>
      </c>
      <c r="D1274" t="s">
        <v>1629</v>
      </c>
      <c r="E1274">
        <v>326.39999999999998</v>
      </c>
      <c r="F1274" t="s">
        <v>1578</v>
      </c>
      <c r="G1274" t="s">
        <v>1169</v>
      </c>
    </row>
    <row r="1275" spans="1:7">
      <c r="A1275" t="s">
        <v>2878</v>
      </c>
      <c r="B1275" s="2">
        <v>45733</v>
      </c>
      <c r="C1275" t="s">
        <v>70</v>
      </c>
      <c r="D1275" t="s">
        <v>1629</v>
      </c>
      <c r="E1275">
        <v>323.2</v>
      </c>
      <c r="F1275" t="s">
        <v>1578</v>
      </c>
      <c r="G1275" t="s">
        <v>1169</v>
      </c>
    </row>
    <row r="1276" spans="1:7">
      <c r="A1276" t="s">
        <v>2879</v>
      </c>
      <c r="B1276" s="2">
        <v>45733</v>
      </c>
      <c r="C1276" t="s">
        <v>75</v>
      </c>
      <c r="D1276" t="s">
        <v>1629</v>
      </c>
      <c r="E1276">
        <v>323.2</v>
      </c>
      <c r="F1276" t="s">
        <v>1578</v>
      </c>
      <c r="G1276" t="s">
        <v>1169</v>
      </c>
    </row>
    <row r="1277" spans="1:7">
      <c r="A1277" t="s">
        <v>2880</v>
      </c>
      <c r="B1277" s="2">
        <v>45733</v>
      </c>
      <c r="C1277" t="s">
        <v>77</v>
      </c>
      <c r="D1277" t="s">
        <v>1629</v>
      </c>
      <c r="E1277">
        <v>323.2</v>
      </c>
      <c r="F1277" t="s">
        <v>1578</v>
      </c>
      <c r="G1277" t="s">
        <v>1169</v>
      </c>
    </row>
    <row r="1278" spans="1:7">
      <c r="A1278" t="s">
        <v>2881</v>
      </c>
      <c r="B1278" s="2">
        <v>45733</v>
      </c>
      <c r="C1278" t="s">
        <v>79</v>
      </c>
      <c r="D1278" t="s">
        <v>1629</v>
      </c>
      <c r="E1278">
        <v>326.39999999999998</v>
      </c>
      <c r="F1278" t="s">
        <v>1578</v>
      </c>
      <c r="G1278" t="s">
        <v>1169</v>
      </c>
    </row>
    <row r="1279" spans="1:7">
      <c r="A1279" t="s">
        <v>2882</v>
      </c>
      <c r="B1279" s="2">
        <v>45733</v>
      </c>
      <c r="C1279" t="s">
        <v>81</v>
      </c>
      <c r="D1279" t="s">
        <v>1629</v>
      </c>
      <c r="E1279">
        <v>646.4</v>
      </c>
      <c r="F1279" t="s">
        <v>1578</v>
      </c>
      <c r="G1279" t="s">
        <v>1169</v>
      </c>
    </row>
    <row r="1280" spans="1:7">
      <c r="A1280" t="s">
        <v>2883</v>
      </c>
      <c r="B1280" s="2">
        <v>45733</v>
      </c>
      <c r="C1280" t="s">
        <v>110</v>
      </c>
      <c r="D1280" t="s">
        <v>1629</v>
      </c>
      <c r="E1280">
        <v>326.39999999999998</v>
      </c>
      <c r="F1280" t="s">
        <v>1578</v>
      </c>
      <c r="G1280" t="s">
        <v>1169</v>
      </c>
    </row>
    <row r="1281" spans="1:7">
      <c r="A1281" t="s">
        <v>2884</v>
      </c>
      <c r="B1281" s="2">
        <v>45733</v>
      </c>
      <c r="C1281" t="s">
        <v>114</v>
      </c>
      <c r="D1281" t="s">
        <v>1629</v>
      </c>
      <c r="E1281">
        <v>323.2</v>
      </c>
      <c r="F1281" t="s">
        <v>1578</v>
      </c>
      <c r="G1281" t="s">
        <v>1169</v>
      </c>
    </row>
    <row r="1282" spans="1:7">
      <c r="A1282" t="s">
        <v>2885</v>
      </c>
      <c r="B1282" s="2">
        <v>45733</v>
      </c>
      <c r="C1282" t="s">
        <v>117</v>
      </c>
      <c r="D1282" t="s">
        <v>1629</v>
      </c>
      <c r="E1282">
        <v>321.60000000000002</v>
      </c>
      <c r="F1282" t="s">
        <v>1578</v>
      </c>
      <c r="G1282" t="s">
        <v>1169</v>
      </c>
    </row>
    <row r="1283" spans="1:7">
      <c r="A1283" t="s">
        <v>2886</v>
      </c>
      <c r="B1283" s="2">
        <v>45733</v>
      </c>
      <c r="C1283" t="s">
        <v>119</v>
      </c>
      <c r="D1283" t="s">
        <v>1629</v>
      </c>
      <c r="E1283">
        <v>323.2</v>
      </c>
      <c r="F1283" t="s">
        <v>1578</v>
      </c>
      <c r="G1283" t="s">
        <v>1169</v>
      </c>
    </row>
    <row r="1284" spans="1:7">
      <c r="A1284" t="s">
        <v>2887</v>
      </c>
      <c r="B1284" s="2">
        <v>45733</v>
      </c>
      <c r="C1284" t="s">
        <v>114</v>
      </c>
      <c r="D1284" t="s">
        <v>1683</v>
      </c>
      <c r="E1284">
        <v>760</v>
      </c>
      <c r="F1284" t="s">
        <v>1578</v>
      </c>
      <c r="G1284" t="s">
        <v>513</v>
      </c>
    </row>
    <row r="1285" spans="1:7">
      <c r="A1285" t="s">
        <v>2888</v>
      </c>
      <c r="B1285" s="2">
        <v>45733</v>
      </c>
      <c r="C1285" t="s">
        <v>114</v>
      </c>
      <c r="D1285" t="s">
        <v>1683</v>
      </c>
      <c r="E1285">
        <v>93</v>
      </c>
      <c r="F1285" t="s">
        <v>1578</v>
      </c>
      <c r="G1285" t="s">
        <v>515</v>
      </c>
    </row>
    <row r="1286" spans="1:7">
      <c r="A1286" t="s">
        <v>2889</v>
      </c>
      <c r="B1286" s="2">
        <v>45733</v>
      </c>
      <c r="C1286" t="s">
        <v>77</v>
      </c>
      <c r="D1286" t="s">
        <v>1683</v>
      </c>
      <c r="E1286">
        <v>120</v>
      </c>
      <c r="F1286" t="s">
        <v>1578</v>
      </c>
      <c r="G1286" t="s">
        <v>516</v>
      </c>
    </row>
    <row r="1287" spans="1:7">
      <c r="A1287" t="s">
        <v>2890</v>
      </c>
      <c r="B1287" s="2">
        <v>45734</v>
      </c>
      <c r="C1287" t="s">
        <v>106</v>
      </c>
      <c r="D1287" t="s">
        <v>1683</v>
      </c>
      <c r="E1287">
        <v>391</v>
      </c>
      <c r="F1287" t="s">
        <v>1578</v>
      </c>
      <c r="G1287" t="s">
        <v>517</v>
      </c>
    </row>
    <row r="1288" spans="1:7">
      <c r="A1288" t="s">
        <v>2891</v>
      </c>
      <c r="B1288" s="2">
        <v>45734</v>
      </c>
      <c r="C1288" t="s">
        <v>114</v>
      </c>
      <c r="D1288" t="s">
        <v>1683</v>
      </c>
      <c r="E1288">
        <v>456</v>
      </c>
      <c r="F1288" t="s">
        <v>1578</v>
      </c>
      <c r="G1288" t="s">
        <v>518</v>
      </c>
    </row>
    <row r="1289" spans="1:7">
      <c r="A1289" t="s">
        <v>2892</v>
      </c>
      <c r="B1289" s="2">
        <v>45734</v>
      </c>
      <c r="C1289" t="s">
        <v>95</v>
      </c>
      <c r="D1289" t="s">
        <v>1683</v>
      </c>
      <c r="E1289">
        <v>353</v>
      </c>
      <c r="F1289" t="s">
        <v>1578</v>
      </c>
      <c r="G1289" t="s">
        <v>519</v>
      </c>
    </row>
    <row r="1290" spans="1:7">
      <c r="A1290" t="s">
        <v>2893</v>
      </c>
      <c r="B1290" s="2">
        <v>45735</v>
      </c>
      <c r="C1290" t="s">
        <v>75</v>
      </c>
      <c r="D1290" t="s">
        <v>1629</v>
      </c>
      <c r="E1290">
        <v>167.66</v>
      </c>
      <c r="F1290" t="s">
        <v>1578</v>
      </c>
      <c r="G1290" t="s">
        <v>1170</v>
      </c>
    </row>
    <row r="1291" spans="1:7">
      <c r="A1291" t="s">
        <v>2894</v>
      </c>
      <c r="B1291" s="2">
        <v>45735</v>
      </c>
      <c r="C1291" t="s">
        <v>91</v>
      </c>
      <c r="D1291" t="s">
        <v>1629</v>
      </c>
      <c r="E1291">
        <v>170.15</v>
      </c>
      <c r="F1291" t="s">
        <v>1578</v>
      </c>
      <c r="G1291" t="s">
        <v>1170</v>
      </c>
    </row>
    <row r="1292" spans="1:7">
      <c r="A1292" t="s">
        <v>2895</v>
      </c>
      <c r="B1292" s="2">
        <v>45735</v>
      </c>
      <c r="C1292" t="s">
        <v>93</v>
      </c>
      <c r="D1292" t="s">
        <v>1629</v>
      </c>
      <c r="E1292">
        <v>169.32</v>
      </c>
      <c r="F1292" t="s">
        <v>1578</v>
      </c>
      <c r="G1292" t="s">
        <v>1170</v>
      </c>
    </row>
    <row r="1293" spans="1:7">
      <c r="A1293" t="s">
        <v>2896</v>
      </c>
      <c r="B1293" s="2">
        <v>45735</v>
      </c>
      <c r="C1293" t="s">
        <v>95</v>
      </c>
      <c r="D1293" t="s">
        <v>1629</v>
      </c>
      <c r="E1293">
        <v>168.49</v>
      </c>
      <c r="F1293" t="s">
        <v>1578</v>
      </c>
      <c r="G1293" t="s">
        <v>1170</v>
      </c>
    </row>
    <row r="1294" spans="1:7">
      <c r="A1294" t="s">
        <v>2897</v>
      </c>
      <c r="B1294" s="2">
        <v>45735</v>
      </c>
      <c r="C1294" t="s">
        <v>97</v>
      </c>
      <c r="D1294" t="s">
        <v>1629</v>
      </c>
      <c r="E1294">
        <v>167.66</v>
      </c>
      <c r="F1294" t="s">
        <v>1578</v>
      </c>
      <c r="G1294" t="s">
        <v>1170</v>
      </c>
    </row>
    <row r="1295" spans="1:7">
      <c r="A1295" t="s">
        <v>2898</v>
      </c>
      <c r="B1295" s="2">
        <v>45735</v>
      </c>
      <c r="C1295" t="s">
        <v>99</v>
      </c>
      <c r="D1295" t="s">
        <v>1629</v>
      </c>
      <c r="E1295">
        <v>85.49</v>
      </c>
      <c r="F1295" t="s">
        <v>1578</v>
      </c>
      <c r="G1295" t="s">
        <v>1170</v>
      </c>
    </row>
    <row r="1296" spans="1:7">
      <c r="A1296" t="s">
        <v>2899</v>
      </c>
      <c r="B1296" s="2">
        <v>45735</v>
      </c>
      <c r="C1296" t="s">
        <v>102</v>
      </c>
      <c r="D1296" t="s">
        <v>1629</v>
      </c>
      <c r="E1296">
        <v>169.32</v>
      </c>
      <c r="F1296" t="s">
        <v>1578</v>
      </c>
      <c r="G1296" t="s">
        <v>1170</v>
      </c>
    </row>
    <row r="1297" spans="1:7">
      <c r="A1297" t="s">
        <v>2900</v>
      </c>
      <c r="B1297" s="2">
        <v>45735</v>
      </c>
      <c r="C1297" t="s">
        <v>108</v>
      </c>
      <c r="D1297" t="s">
        <v>1629</v>
      </c>
      <c r="E1297">
        <v>336.98</v>
      </c>
      <c r="F1297" t="s">
        <v>1578</v>
      </c>
      <c r="G1297" t="s">
        <v>1170</v>
      </c>
    </row>
    <row r="1298" spans="1:7">
      <c r="A1298" t="s">
        <v>2901</v>
      </c>
      <c r="B1298" s="2">
        <v>45735</v>
      </c>
      <c r="C1298" t="s">
        <v>110</v>
      </c>
      <c r="D1298" t="s">
        <v>1629</v>
      </c>
      <c r="E1298">
        <v>169.32</v>
      </c>
      <c r="F1298" t="s">
        <v>1578</v>
      </c>
      <c r="G1298" t="s">
        <v>1170</v>
      </c>
    </row>
    <row r="1299" spans="1:7">
      <c r="A1299" t="s">
        <v>2902</v>
      </c>
      <c r="B1299" s="2">
        <v>45735</v>
      </c>
      <c r="C1299" t="s">
        <v>114</v>
      </c>
      <c r="D1299" t="s">
        <v>1629</v>
      </c>
      <c r="E1299">
        <v>167.66</v>
      </c>
      <c r="F1299" t="s">
        <v>1578</v>
      </c>
      <c r="G1299" t="s">
        <v>1170</v>
      </c>
    </row>
    <row r="1300" spans="1:7">
      <c r="A1300" t="s">
        <v>2903</v>
      </c>
      <c r="B1300" s="2">
        <v>45735</v>
      </c>
      <c r="C1300" t="s">
        <v>117</v>
      </c>
      <c r="D1300" t="s">
        <v>1629</v>
      </c>
      <c r="E1300">
        <v>166.83</v>
      </c>
      <c r="F1300" t="s">
        <v>1578</v>
      </c>
      <c r="G1300" t="s">
        <v>1170</v>
      </c>
    </row>
    <row r="1301" spans="1:7">
      <c r="A1301" t="s">
        <v>2904</v>
      </c>
      <c r="B1301" s="2">
        <v>45735</v>
      </c>
      <c r="C1301" t="s">
        <v>119</v>
      </c>
      <c r="D1301" t="s">
        <v>1629</v>
      </c>
      <c r="E1301">
        <v>167.66</v>
      </c>
      <c r="F1301" t="s">
        <v>1578</v>
      </c>
      <c r="G1301" t="s">
        <v>1170</v>
      </c>
    </row>
    <row r="1302" spans="1:7">
      <c r="A1302" t="s">
        <v>2905</v>
      </c>
      <c r="B1302" s="2">
        <v>45736</v>
      </c>
      <c r="C1302" t="s">
        <v>61</v>
      </c>
      <c r="D1302" t="s">
        <v>1629</v>
      </c>
      <c r="E1302">
        <v>252.96</v>
      </c>
      <c r="F1302" t="s">
        <v>1578</v>
      </c>
      <c r="G1302" t="s">
        <v>1171</v>
      </c>
    </row>
    <row r="1303" spans="1:7">
      <c r="A1303" t="s">
        <v>2906</v>
      </c>
      <c r="B1303" s="2">
        <v>45736</v>
      </c>
      <c r="C1303" t="s">
        <v>65</v>
      </c>
      <c r="D1303" t="s">
        <v>1629</v>
      </c>
      <c r="E1303">
        <v>251.72</v>
      </c>
      <c r="F1303" t="s">
        <v>1578</v>
      </c>
      <c r="G1303" t="s">
        <v>1171</v>
      </c>
    </row>
    <row r="1304" spans="1:7">
      <c r="A1304" t="s">
        <v>2907</v>
      </c>
      <c r="B1304" s="2">
        <v>45736</v>
      </c>
      <c r="C1304" t="s">
        <v>68</v>
      </c>
      <c r="D1304" t="s">
        <v>1629</v>
      </c>
      <c r="E1304">
        <v>252.96</v>
      </c>
      <c r="F1304" t="s">
        <v>1578</v>
      </c>
      <c r="G1304" t="s">
        <v>1171</v>
      </c>
    </row>
    <row r="1305" spans="1:7">
      <c r="A1305" t="s">
        <v>2908</v>
      </c>
      <c r="B1305" s="2">
        <v>45736</v>
      </c>
      <c r="C1305" t="s">
        <v>70</v>
      </c>
      <c r="D1305" t="s">
        <v>1629</v>
      </c>
      <c r="E1305">
        <v>250.48</v>
      </c>
      <c r="F1305" t="s">
        <v>1578</v>
      </c>
      <c r="G1305" t="s">
        <v>1171</v>
      </c>
    </row>
    <row r="1306" spans="1:7">
      <c r="A1306" t="s">
        <v>2909</v>
      </c>
      <c r="B1306" s="2">
        <v>45736</v>
      </c>
      <c r="C1306" t="s">
        <v>73</v>
      </c>
      <c r="D1306" t="s">
        <v>1629</v>
      </c>
      <c r="E1306">
        <v>252.96</v>
      </c>
      <c r="F1306" t="s">
        <v>1578</v>
      </c>
      <c r="G1306" t="s">
        <v>1171</v>
      </c>
    </row>
    <row r="1307" spans="1:7">
      <c r="A1307" t="s">
        <v>2910</v>
      </c>
      <c r="B1307" s="2">
        <v>45736</v>
      </c>
      <c r="C1307" t="s">
        <v>75</v>
      </c>
      <c r="D1307" t="s">
        <v>1629</v>
      </c>
      <c r="E1307">
        <v>250.48</v>
      </c>
      <c r="F1307" t="s">
        <v>1578</v>
      </c>
      <c r="G1307" t="s">
        <v>1171</v>
      </c>
    </row>
    <row r="1308" spans="1:7">
      <c r="A1308" t="s">
        <v>2911</v>
      </c>
      <c r="B1308" s="2">
        <v>45736</v>
      </c>
      <c r="C1308" t="s">
        <v>77</v>
      </c>
      <c r="D1308" t="s">
        <v>1629</v>
      </c>
      <c r="E1308">
        <v>250.48</v>
      </c>
      <c r="F1308" t="s">
        <v>1578</v>
      </c>
      <c r="G1308" t="s">
        <v>1171</v>
      </c>
    </row>
    <row r="1309" spans="1:7">
      <c r="A1309" t="s">
        <v>2912</v>
      </c>
      <c r="B1309" s="2">
        <v>45736</v>
      </c>
      <c r="C1309" t="s">
        <v>79</v>
      </c>
      <c r="D1309" t="s">
        <v>1629</v>
      </c>
      <c r="E1309">
        <v>252.96</v>
      </c>
      <c r="F1309" t="s">
        <v>1578</v>
      </c>
      <c r="G1309" t="s">
        <v>1171</v>
      </c>
    </row>
    <row r="1310" spans="1:7">
      <c r="A1310" t="s">
        <v>2913</v>
      </c>
      <c r="B1310" s="2">
        <v>45736</v>
      </c>
      <c r="C1310" t="s">
        <v>81</v>
      </c>
      <c r="D1310" t="s">
        <v>1629</v>
      </c>
      <c r="E1310">
        <v>500.96</v>
      </c>
      <c r="F1310" t="s">
        <v>1578</v>
      </c>
      <c r="G1310" t="s">
        <v>1171</v>
      </c>
    </row>
    <row r="1311" spans="1:7">
      <c r="A1311" t="s">
        <v>2914</v>
      </c>
      <c r="B1311" s="2">
        <v>45736</v>
      </c>
      <c r="C1311" t="s">
        <v>108</v>
      </c>
      <c r="D1311" t="s">
        <v>1629</v>
      </c>
      <c r="E1311">
        <v>503.44</v>
      </c>
      <c r="F1311" t="s">
        <v>1578</v>
      </c>
      <c r="G1311" t="s">
        <v>1171</v>
      </c>
    </row>
    <row r="1312" spans="1:7">
      <c r="A1312" t="s">
        <v>2915</v>
      </c>
      <c r="B1312" s="2">
        <v>45736</v>
      </c>
      <c r="C1312" t="s">
        <v>110</v>
      </c>
      <c r="D1312" t="s">
        <v>1629</v>
      </c>
      <c r="E1312">
        <v>252.96</v>
      </c>
      <c r="F1312" t="s">
        <v>1578</v>
      </c>
      <c r="G1312" t="s">
        <v>1171</v>
      </c>
    </row>
    <row r="1313" spans="1:7">
      <c r="A1313" t="s">
        <v>2916</v>
      </c>
      <c r="B1313" s="2">
        <v>45736</v>
      </c>
      <c r="C1313" t="s">
        <v>114</v>
      </c>
      <c r="D1313" t="s">
        <v>1629</v>
      </c>
      <c r="E1313">
        <v>250.48</v>
      </c>
      <c r="F1313" t="s">
        <v>1578</v>
      </c>
      <c r="G1313" t="s">
        <v>1171</v>
      </c>
    </row>
    <row r="1314" spans="1:7">
      <c r="A1314" t="s">
        <v>2917</v>
      </c>
      <c r="B1314" s="2">
        <v>45736</v>
      </c>
      <c r="C1314" t="s">
        <v>117</v>
      </c>
      <c r="D1314" t="s">
        <v>1629</v>
      </c>
      <c r="E1314">
        <v>249.24</v>
      </c>
      <c r="F1314" t="s">
        <v>1578</v>
      </c>
      <c r="G1314" t="s">
        <v>1171</v>
      </c>
    </row>
    <row r="1315" spans="1:7">
      <c r="A1315" t="s">
        <v>2918</v>
      </c>
      <c r="B1315" s="2">
        <v>45736</v>
      </c>
      <c r="C1315" t="s">
        <v>119</v>
      </c>
      <c r="D1315" t="s">
        <v>1629</v>
      </c>
      <c r="E1315">
        <v>250.48</v>
      </c>
      <c r="F1315" t="s">
        <v>1578</v>
      </c>
      <c r="G1315" t="s">
        <v>1171</v>
      </c>
    </row>
    <row r="1316" spans="1:7">
      <c r="A1316" t="s">
        <v>2919</v>
      </c>
      <c r="B1316" s="2">
        <v>45736</v>
      </c>
      <c r="C1316" t="s">
        <v>68</v>
      </c>
      <c r="D1316" t="s">
        <v>1683</v>
      </c>
      <c r="E1316">
        <v>125</v>
      </c>
      <c r="F1316" t="s">
        <v>1578</v>
      </c>
      <c r="G1316" t="s">
        <v>520</v>
      </c>
    </row>
    <row r="1317" spans="1:7">
      <c r="A1317" t="s">
        <v>2920</v>
      </c>
      <c r="B1317" s="2">
        <v>45739</v>
      </c>
      <c r="C1317" t="s">
        <v>75</v>
      </c>
      <c r="D1317" t="s">
        <v>1629</v>
      </c>
      <c r="E1317">
        <v>414.1</v>
      </c>
      <c r="F1317" t="s">
        <v>1578</v>
      </c>
      <c r="G1317" t="s">
        <v>1172</v>
      </c>
    </row>
    <row r="1318" spans="1:7">
      <c r="A1318" t="s">
        <v>2921</v>
      </c>
      <c r="B1318" s="2">
        <v>45739</v>
      </c>
      <c r="C1318" t="s">
        <v>91</v>
      </c>
      <c r="D1318" t="s">
        <v>1629</v>
      </c>
      <c r="E1318">
        <v>420.25</v>
      </c>
      <c r="F1318" t="s">
        <v>1578</v>
      </c>
      <c r="G1318" t="s">
        <v>1172</v>
      </c>
    </row>
    <row r="1319" spans="1:7">
      <c r="A1319" t="s">
        <v>2922</v>
      </c>
      <c r="B1319" s="2">
        <v>45739</v>
      </c>
      <c r="C1319" t="s">
        <v>93</v>
      </c>
      <c r="D1319" t="s">
        <v>1629</v>
      </c>
      <c r="E1319">
        <v>418.2</v>
      </c>
      <c r="F1319" t="s">
        <v>1578</v>
      </c>
      <c r="G1319" t="s">
        <v>1172</v>
      </c>
    </row>
    <row r="1320" spans="1:7">
      <c r="A1320" t="s">
        <v>2923</v>
      </c>
      <c r="B1320" s="2">
        <v>45739</v>
      </c>
      <c r="C1320" t="s">
        <v>95</v>
      </c>
      <c r="D1320" t="s">
        <v>1629</v>
      </c>
      <c r="E1320">
        <v>416.15</v>
      </c>
      <c r="F1320" t="s">
        <v>1578</v>
      </c>
      <c r="G1320" t="s">
        <v>1172</v>
      </c>
    </row>
    <row r="1321" spans="1:7">
      <c r="A1321" t="s">
        <v>2924</v>
      </c>
      <c r="B1321" s="2">
        <v>45739</v>
      </c>
      <c r="C1321" t="s">
        <v>97</v>
      </c>
      <c r="D1321" t="s">
        <v>1629</v>
      </c>
      <c r="E1321">
        <v>414.1</v>
      </c>
      <c r="F1321" t="s">
        <v>1578</v>
      </c>
      <c r="G1321" t="s">
        <v>1172</v>
      </c>
    </row>
    <row r="1322" spans="1:7">
      <c r="A1322" t="s">
        <v>2925</v>
      </c>
      <c r="B1322" s="2">
        <v>45739</v>
      </c>
      <c r="C1322" t="s">
        <v>99</v>
      </c>
      <c r="D1322" t="s">
        <v>1629</v>
      </c>
      <c r="E1322">
        <v>211.15</v>
      </c>
      <c r="F1322" t="s">
        <v>1578</v>
      </c>
      <c r="G1322" t="s">
        <v>1172</v>
      </c>
    </row>
    <row r="1323" spans="1:7">
      <c r="A1323" t="s">
        <v>2926</v>
      </c>
      <c r="B1323" s="2">
        <v>45739</v>
      </c>
      <c r="C1323" t="s">
        <v>102</v>
      </c>
      <c r="D1323" t="s">
        <v>1629</v>
      </c>
      <c r="E1323">
        <v>418.2</v>
      </c>
      <c r="F1323" t="s">
        <v>1578</v>
      </c>
      <c r="G1323" t="s">
        <v>1172</v>
      </c>
    </row>
    <row r="1324" spans="1:7">
      <c r="A1324" t="s">
        <v>2927</v>
      </c>
      <c r="B1324" s="2">
        <v>45739</v>
      </c>
      <c r="C1324" t="s">
        <v>108</v>
      </c>
      <c r="D1324" t="s">
        <v>1629</v>
      </c>
      <c r="E1324">
        <v>832.3</v>
      </c>
      <c r="F1324" t="s">
        <v>1578</v>
      </c>
      <c r="G1324" t="s">
        <v>1172</v>
      </c>
    </row>
    <row r="1325" spans="1:7">
      <c r="A1325" t="s">
        <v>2928</v>
      </c>
      <c r="B1325" s="2">
        <v>45739</v>
      </c>
      <c r="C1325" t="s">
        <v>110</v>
      </c>
      <c r="D1325" t="s">
        <v>1629</v>
      </c>
      <c r="E1325">
        <v>418.2</v>
      </c>
      <c r="F1325" t="s">
        <v>1578</v>
      </c>
      <c r="G1325" t="s">
        <v>1172</v>
      </c>
    </row>
    <row r="1326" spans="1:7">
      <c r="A1326" t="s">
        <v>2929</v>
      </c>
      <c r="B1326" s="2">
        <v>45739</v>
      </c>
      <c r="C1326" t="s">
        <v>114</v>
      </c>
      <c r="D1326" t="s">
        <v>1629</v>
      </c>
      <c r="E1326">
        <v>414.1</v>
      </c>
      <c r="F1326" t="s">
        <v>1578</v>
      </c>
      <c r="G1326" t="s">
        <v>1172</v>
      </c>
    </row>
    <row r="1327" spans="1:7">
      <c r="A1327" t="s">
        <v>2930</v>
      </c>
      <c r="B1327" s="2">
        <v>45739</v>
      </c>
      <c r="C1327" t="s">
        <v>117</v>
      </c>
      <c r="D1327" t="s">
        <v>1629</v>
      </c>
      <c r="E1327">
        <v>412.05</v>
      </c>
      <c r="F1327" t="s">
        <v>1578</v>
      </c>
      <c r="G1327" t="s">
        <v>1172</v>
      </c>
    </row>
    <row r="1328" spans="1:7">
      <c r="A1328" t="s">
        <v>2931</v>
      </c>
      <c r="B1328" s="2">
        <v>45739</v>
      </c>
      <c r="C1328" t="s">
        <v>119</v>
      </c>
      <c r="D1328" t="s">
        <v>1629</v>
      </c>
      <c r="E1328">
        <v>414.1</v>
      </c>
      <c r="F1328" t="s">
        <v>1578</v>
      </c>
      <c r="G1328" t="s">
        <v>1172</v>
      </c>
    </row>
    <row r="1329" spans="1:7">
      <c r="A1329" t="s">
        <v>2932</v>
      </c>
      <c r="B1329" s="2">
        <v>45739</v>
      </c>
      <c r="C1329" t="s">
        <v>104</v>
      </c>
      <c r="D1329" t="s">
        <v>1683</v>
      </c>
      <c r="E1329">
        <v>454</v>
      </c>
      <c r="F1329" t="s">
        <v>1578</v>
      </c>
      <c r="G1329" t="s">
        <v>522</v>
      </c>
    </row>
    <row r="1330" spans="1:7">
      <c r="A1330" t="s">
        <v>2933</v>
      </c>
      <c r="B1330" s="2">
        <v>45740</v>
      </c>
      <c r="C1330" t="s">
        <v>81</v>
      </c>
      <c r="D1330" t="s">
        <v>1683</v>
      </c>
      <c r="E1330">
        <v>148</v>
      </c>
      <c r="F1330" t="s">
        <v>1578</v>
      </c>
      <c r="G1330" t="s">
        <v>523</v>
      </c>
    </row>
    <row r="1331" spans="1:7">
      <c r="A1331" t="s">
        <v>2934</v>
      </c>
      <c r="B1331" s="2">
        <v>45741</v>
      </c>
      <c r="C1331" t="s">
        <v>61</v>
      </c>
      <c r="D1331" t="s">
        <v>1629</v>
      </c>
      <c r="E1331">
        <v>217.26</v>
      </c>
      <c r="F1331" t="s">
        <v>1578</v>
      </c>
      <c r="G1331" t="s">
        <v>1173</v>
      </c>
    </row>
    <row r="1332" spans="1:7">
      <c r="A1332" t="s">
        <v>2935</v>
      </c>
      <c r="B1332" s="2">
        <v>45741</v>
      </c>
      <c r="C1332" t="s">
        <v>65</v>
      </c>
      <c r="D1332" t="s">
        <v>1629</v>
      </c>
      <c r="E1332">
        <v>216.2</v>
      </c>
      <c r="F1332" t="s">
        <v>1578</v>
      </c>
      <c r="G1332" t="s">
        <v>1173</v>
      </c>
    </row>
    <row r="1333" spans="1:7">
      <c r="A1333" t="s">
        <v>2936</v>
      </c>
      <c r="B1333" s="2">
        <v>45741</v>
      </c>
      <c r="C1333" t="s">
        <v>75</v>
      </c>
      <c r="D1333" t="s">
        <v>1629</v>
      </c>
      <c r="E1333">
        <v>215.13</v>
      </c>
      <c r="F1333" t="s">
        <v>1578</v>
      </c>
      <c r="G1333" t="s">
        <v>1173</v>
      </c>
    </row>
    <row r="1334" spans="1:7">
      <c r="A1334" t="s">
        <v>2937</v>
      </c>
      <c r="B1334" s="2">
        <v>45741</v>
      </c>
      <c r="C1334" t="s">
        <v>79</v>
      </c>
      <c r="D1334" t="s">
        <v>1629</v>
      </c>
      <c r="E1334">
        <v>217.26</v>
      </c>
      <c r="F1334" t="s">
        <v>1578</v>
      </c>
      <c r="G1334" t="s">
        <v>1173</v>
      </c>
    </row>
    <row r="1335" spans="1:7">
      <c r="A1335" t="s">
        <v>2938</v>
      </c>
      <c r="B1335" s="2">
        <v>45741</v>
      </c>
      <c r="C1335" t="s">
        <v>81</v>
      </c>
      <c r="D1335" t="s">
        <v>1629</v>
      </c>
      <c r="E1335">
        <v>430.26</v>
      </c>
      <c r="F1335" t="s">
        <v>1578</v>
      </c>
      <c r="G1335" t="s">
        <v>1173</v>
      </c>
    </row>
    <row r="1336" spans="1:7">
      <c r="A1336" t="s">
        <v>2939</v>
      </c>
      <c r="B1336" s="2">
        <v>45741</v>
      </c>
      <c r="C1336" t="s">
        <v>84</v>
      </c>
      <c r="D1336" t="s">
        <v>1629</v>
      </c>
      <c r="E1336">
        <v>76.790000000000006</v>
      </c>
      <c r="F1336" t="s">
        <v>1578</v>
      </c>
      <c r="G1336" t="s">
        <v>1173</v>
      </c>
    </row>
    <row r="1337" spans="1:7">
      <c r="A1337" t="s">
        <v>2940</v>
      </c>
      <c r="B1337" s="2">
        <v>45741</v>
      </c>
      <c r="C1337" t="s">
        <v>89</v>
      </c>
      <c r="D1337" t="s">
        <v>1629</v>
      </c>
      <c r="E1337">
        <v>327.49</v>
      </c>
      <c r="F1337" t="s">
        <v>1578</v>
      </c>
      <c r="G1337" t="s">
        <v>1173</v>
      </c>
    </row>
    <row r="1338" spans="1:7">
      <c r="A1338" t="s">
        <v>2941</v>
      </c>
      <c r="B1338" s="2">
        <v>45741</v>
      </c>
      <c r="C1338" t="s">
        <v>110</v>
      </c>
      <c r="D1338" t="s">
        <v>1629</v>
      </c>
      <c r="E1338">
        <v>217.26</v>
      </c>
      <c r="F1338" t="s">
        <v>1578</v>
      </c>
      <c r="G1338" t="s">
        <v>1173</v>
      </c>
    </row>
    <row r="1339" spans="1:7">
      <c r="A1339" t="s">
        <v>2942</v>
      </c>
      <c r="B1339" s="2">
        <v>45741</v>
      </c>
      <c r="C1339" t="s">
        <v>114</v>
      </c>
      <c r="D1339" t="s">
        <v>1629</v>
      </c>
      <c r="E1339">
        <v>215.13</v>
      </c>
      <c r="F1339" t="s">
        <v>1578</v>
      </c>
      <c r="G1339" t="s">
        <v>1173</v>
      </c>
    </row>
    <row r="1340" spans="1:7">
      <c r="A1340" t="s">
        <v>2943</v>
      </c>
      <c r="B1340" s="2">
        <v>45741</v>
      </c>
      <c r="C1340" t="s">
        <v>117</v>
      </c>
      <c r="D1340" t="s">
        <v>1629</v>
      </c>
      <c r="E1340">
        <v>214.06</v>
      </c>
      <c r="F1340" t="s">
        <v>1578</v>
      </c>
      <c r="G1340" t="s">
        <v>1173</v>
      </c>
    </row>
    <row r="1341" spans="1:7">
      <c r="A1341" t="s">
        <v>2944</v>
      </c>
      <c r="B1341" s="2">
        <v>45741</v>
      </c>
      <c r="C1341" t="s">
        <v>119</v>
      </c>
      <c r="D1341" t="s">
        <v>1629</v>
      </c>
      <c r="E1341">
        <v>215.13</v>
      </c>
      <c r="F1341" t="s">
        <v>1578</v>
      </c>
      <c r="G1341" t="s">
        <v>1173</v>
      </c>
    </row>
    <row r="1342" spans="1:7">
      <c r="A1342" t="s">
        <v>2945</v>
      </c>
      <c r="B1342" s="2">
        <v>45741</v>
      </c>
      <c r="C1342" t="s">
        <v>93</v>
      </c>
      <c r="D1342" t="s">
        <v>1683</v>
      </c>
      <c r="E1342">
        <v>373</v>
      </c>
      <c r="F1342" t="s">
        <v>1578</v>
      </c>
      <c r="G1342" t="s">
        <v>524</v>
      </c>
    </row>
    <row r="1343" spans="1:7">
      <c r="A1343" t="s">
        <v>2946</v>
      </c>
      <c r="B1343" s="2">
        <v>45742</v>
      </c>
      <c r="C1343" t="s">
        <v>61</v>
      </c>
      <c r="D1343" t="s">
        <v>1629</v>
      </c>
      <c r="E1343">
        <v>467.16</v>
      </c>
      <c r="F1343" t="s">
        <v>1578</v>
      </c>
      <c r="G1343" t="s">
        <v>1174</v>
      </c>
    </row>
    <row r="1344" spans="1:7">
      <c r="A1344" t="s">
        <v>2947</v>
      </c>
      <c r="B1344" s="2">
        <v>45742</v>
      </c>
      <c r="C1344" t="s">
        <v>65</v>
      </c>
      <c r="D1344" t="s">
        <v>1629</v>
      </c>
      <c r="E1344">
        <v>464.87</v>
      </c>
      <c r="F1344" t="s">
        <v>1578</v>
      </c>
      <c r="G1344" t="s">
        <v>1174</v>
      </c>
    </row>
    <row r="1345" spans="1:7">
      <c r="A1345" t="s">
        <v>2948</v>
      </c>
      <c r="B1345" s="2">
        <v>45742</v>
      </c>
      <c r="C1345" t="s">
        <v>68</v>
      </c>
      <c r="D1345" t="s">
        <v>1629</v>
      </c>
      <c r="E1345">
        <v>467.16</v>
      </c>
      <c r="F1345" t="s">
        <v>1578</v>
      </c>
      <c r="G1345" t="s">
        <v>1174</v>
      </c>
    </row>
    <row r="1346" spans="1:7">
      <c r="A1346" t="s">
        <v>2949</v>
      </c>
      <c r="B1346" s="2">
        <v>45742</v>
      </c>
      <c r="C1346" t="s">
        <v>70</v>
      </c>
      <c r="D1346" t="s">
        <v>1629</v>
      </c>
      <c r="E1346">
        <v>462.58</v>
      </c>
      <c r="F1346" t="s">
        <v>1578</v>
      </c>
      <c r="G1346" t="s">
        <v>1174</v>
      </c>
    </row>
    <row r="1347" spans="1:7">
      <c r="A1347" t="s">
        <v>2950</v>
      </c>
      <c r="B1347" s="2">
        <v>45742</v>
      </c>
      <c r="C1347" t="s">
        <v>75</v>
      </c>
      <c r="D1347" t="s">
        <v>1629</v>
      </c>
      <c r="E1347">
        <v>462.58</v>
      </c>
      <c r="F1347" t="s">
        <v>1578</v>
      </c>
      <c r="G1347" t="s">
        <v>1174</v>
      </c>
    </row>
    <row r="1348" spans="1:7">
      <c r="A1348" t="s">
        <v>2951</v>
      </c>
      <c r="B1348" s="2">
        <v>45742</v>
      </c>
      <c r="C1348" t="s">
        <v>77</v>
      </c>
      <c r="D1348" t="s">
        <v>1629</v>
      </c>
      <c r="E1348">
        <v>462.58</v>
      </c>
      <c r="F1348" t="s">
        <v>1578</v>
      </c>
      <c r="G1348" t="s">
        <v>1174</v>
      </c>
    </row>
    <row r="1349" spans="1:7">
      <c r="A1349" t="s">
        <v>2952</v>
      </c>
      <c r="B1349" s="2">
        <v>45742</v>
      </c>
      <c r="C1349" t="s">
        <v>79</v>
      </c>
      <c r="D1349" t="s">
        <v>1629</v>
      </c>
      <c r="E1349">
        <v>467.16</v>
      </c>
      <c r="F1349" t="s">
        <v>1578</v>
      </c>
      <c r="G1349" t="s">
        <v>1174</v>
      </c>
    </row>
    <row r="1350" spans="1:7">
      <c r="A1350" t="s">
        <v>2953</v>
      </c>
      <c r="B1350" s="2">
        <v>45742</v>
      </c>
      <c r="C1350" t="s">
        <v>81</v>
      </c>
      <c r="D1350" t="s">
        <v>1629</v>
      </c>
      <c r="E1350">
        <v>925.16</v>
      </c>
      <c r="F1350" t="s">
        <v>1578</v>
      </c>
      <c r="G1350" t="s">
        <v>1174</v>
      </c>
    </row>
    <row r="1351" spans="1:7">
      <c r="A1351" t="s">
        <v>2954</v>
      </c>
      <c r="B1351" s="2">
        <v>45742</v>
      </c>
      <c r="C1351" t="s">
        <v>110</v>
      </c>
      <c r="D1351" t="s">
        <v>1629</v>
      </c>
      <c r="E1351">
        <v>467.16</v>
      </c>
      <c r="F1351" t="s">
        <v>1578</v>
      </c>
      <c r="G1351" t="s">
        <v>1174</v>
      </c>
    </row>
    <row r="1352" spans="1:7">
      <c r="A1352" t="s">
        <v>2955</v>
      </c>
      <c r="B1352" s="2">
        <v>45742</v>
      </c>
      <c r="C1352" t="s">
        <v>114</v>
      </c>
      <c r="D1352" t="s">
        <v>1629</v>
      </c>
      <c r="E1352">
        <v>462.58</v>
      </c>
      <c r="F1352" t="s">
        <v>1578</v>
      </c>
      <c r="G1352" t="s">
        <v>1174</v>
      </c>
    </row>
    <row r="1353" spans="1:7">
      <c r="A1353" t="s">
        <v>2956</v>
      </c>
      <c r="B1353" s="2">
        <v>45742</v>
      </c>
      <c r="C1353" t="s">
        <v>117</v>
      </c>
      <c r="D1353" t="s">
        <v>1629</v>
      </c>
      <c r="E1353">
        <v>460.29</v>
      </c>
      <c r="F1353" t="s">
        <v>1578</v>
      </c>
      <c r="G1353" t="s">
        <v>1174</v>
      </c>
    </row>
    <row r="1354" spans="1:7">
      <c r="A1354" t="s">
        <v>2957</v>
      </c>
      <c r="B1354" s="2">
        <v>45742</v>
      </c>
      <c r="C1354" t="s">
        <v>119</v>
      </c>
      <c r="D1354" t="s">
        <v>1629</v>
      </c>
      <c r="E1354">
        <v>462.58</v>
      </c>
      <c r="F1354" t="s">
        <v>1578</v>
      </c>
      <c r="G1354" t="s">
        <v>1174</v>
      </c>
    </row>
    <row r="1355" spans="1:7">
      <c r="A1355" t="s">
        <v>2958</v>
      </c>
      <c r="B1355" s="2">
        <v>45743</v>
      </c>
      <c r="C1355" t="s">
        <v>61</v>
      </c>
      <c r="D1355" t="s">
        <v>1629</v>
      </c>
      <c r="E1355">
        <v>448.8</v>
      </c>
      <c r="F1355" t="s">
        <v>1578</v>
      </c>
      <c r="G1355" t="s">
        <v>1175</v>
      </c>
    </row>
    <row r="1356" spans="1:7">
      <c r="A1356" t="s">
        <v>2959</v>
      </c>
      <c r="B1356" s="2">
        <v>45743</v>
      </c>
      <c r="C1356" t="s">
        <v>65</v>
      </c>
      <c r="D1356" t="s">
        <v>1629</v>
      </c>
      <c r="E1356">
        <v>446.6</v>
      </c>
      <c r="F1356" t="s">
        <v>1578</v>
      </c>
      <c r="G1356" t="s">
        <v>1175</v>
      </c>
    </row>
    <row r="1357" spans="1:7">
      <c r="A1357" t="s">
        <v>2960</v>
      </c>
      <c r="B1357" s="2">
        <v>45743</v>
      </c>
      <c r="C1357" t="s">
        <v>68</v>
      </c>
      <c r="D1357" t="s">
        <v>1629</v>
      </c>
      <c r="E1357">
        <v>448.8</v>
      </c>
      <c r="F1357" t="s">
        <v>1578</v>
      </c>
      <c r="G1357" t="s">
        <v>1175</v>
      </c>
    </row>
    <row r="1358" spans="1:7">
      <c r="A1358" t="s">
        <v>2961</v>
      </c>
      <c r="B1358" s="2">
        <v>45743</v>
      </c>
      <c r="C1358" t="s">
        <v>70</v>
      </c>
      <c r="D1358" t="s">
        <v>1629</v>
      </c>
      <c r="E1358">
        <v>444.4</v>
      </c>
      <c r="F1358" t="s">
        <v>1578</v>
      </c>
      <c r="G1358" t="s">
        <v>1175</v>
      </c>
    </row>
    <row r="1359" spans="1:7">
      <c r="A1359" t="s">
        <v>2962</v>
      </c>
      <c r="B1359" s="2">
        <v>45743</v>
      </c>
      <c r="C1359" t="s">
        <v>75</v>
      </c>
      <c r="D1359" t="s">
        <v>1629</v>
      </c>
      <c r="E1359">
        <v>444.4</v>
      </c>
      <c r="F1359" t="s">
        <v>1578</v>
      </c>
      <c r="G1359" t="s">
        <v>1175</v>
      </c>
    </row>
    <row r="1360" spans="1:7">
      <c r="A1360" t="s">
        <v>2963</v>
      </c>
      <c r="B1360" s="2">
        <v>45743</v>
      </c>
      <c r="C1360" t="s">
        <v>77</v>
      </c>
      <c r="D1360" t="s">
        <v>1629</v>
      </c>
      <c r="E1360">
        <v>444.4</v>
      </c>
      <c r="F1360" t="s">
        <v>1578</v>
      </c>
      <c r="G1360" t="s">
        <v>1175</v>
      </c>
    </row>
    <row r="1361" spans="1:7">
      <c r="A1361" t="s">
        <v>2964</v>
      </c>
      <c r="B1361" s="2">
        <v>45743</v>
      </c>
      <c r="C1361" t="s">
        <v>79</v>
      </c>
      <c r="D1361" t="s">
        <v>1629</v>
      </c>
      <c r="E1361">
        <v>448.8</v>
      </c>
      <c r="F1361" t="s">
        <v>1578</v>
      </c>
      <c r="G1361" t="s">
        <v>1175</v>
      </c>
    </row>
    <row r="1362" spans="1:7">
      <c r="A1362" t="s">
        <v>2965</v>
      </c>
      <c r="B1362" s="2">
        <v>45743</v>
      </c>
      <c r="C1362" t="s">
        <v>81</v>
      </c>
      <c r="D1362" t="s">
        <v>1629</v>
      </c>
      <c r="E1362">
        <v>888.8</v>
      </c>
      <c r="F1362" t="s">
        <v>1578</v>
      </c>
      <c r="G1362" t="s">
        <v>1175</v>
      </c>
    </row>
    <row r="1363" spans="1:7">
      <c r="A1363" t="s">
        <v>2966</v>
      </c>
      <c r="B1363" s="2">
        <v>45743</v>
      </c>
      <c r="C1363" t="s">
        <v>108</v>
      </c>
      <c r="D1363" t="s">
        <v>1629</v>
      </c>
      <c r="E1363">
        <v>893.2</v>
      </c>
      <c r="F1363" t="s">
        <v>1578</v>
      </c>
      <c r="G1363" t="s">
        <v>1175</v>
      </c>
    </row>
    <row r="1364" spans="1:7">
      <c r="A1364" t="s">
        <v>2967</v>
      </c>
      <c r="B1364" s="2">
        <v>45743</v>
      </c>
      <c r="C1364" t="s">
        <v>110</v>
      </c>
      <c r="D1364" t="s">
        <v>1629</v>
      </c>
      <c r="E1364">
        <v>448.8</v>
      </c>
      <c r="F1364" t="s">
        <v>1578</v>
      </c>
      <c r="G1364" t="s">
        <v>1175</v>
      </c>
    </row>
    <row r="1365" spans="1:7">
      <c r="A1365" t="s">
        <v>2968</v>
      </c>
      <c r="B1365" s="2">
        <v>45743</v>
      </c>
      <c r="C1365" t="s">
        <v>114</v>
      </c>
      <c r="D1365" t="s">
        <v>1629</v>
      </c>
      <c r="E1365">
        <v>444.4</v>
      </c>
      <c r="F1365" t="s">
        <v>1578</v>
      </c>
      <c r="G1365" t="s">
        <v>1175</v>
      </c>
    </row>
    <row r="1366" spans="1:7">
      <c r="A1366" t="s">
        <v>2969</v>
      </c>
      <c r="B1366" s="2">
        <v>45743</v>
      </c>
      <c r="C1366" t="s">
        <v>117</v>
      </c>
      <c r="D1366" t="s">
        <v>1629</v>
      </c>
      <c r="E1366">
        <v>442.2</v>
      </c>
      <c r="F1366" t="s">
        <v>1578</v>
      </c>
      <c r="G1366" t="s">
        <v>1175</v>
      </c>
    </row>
    <row r="1367" spans="1:7">
      <c r="A1367" t="s">
        <v>2970</v>
      </c>
      <c r="B1367" s="2">
        <v>45743</v>
      </c>
      <c r="C1367" t="s">
        <v>119</v>
      </c>
      <c r="D1367" t="s">
        <v>1629</v>
      </c>
      <c r="E1367">
        <v>444.4</v>
      </c>
      <c r="F1367" t="s">
        <v>1578</v>
      </c>
      <c r="G1367" t="s">
        <v>1175</v>
      </c>
    </row>
    <row r="1368" spans="1:7">
      <c r="A1368" t="s">
        <v>2971</v>
      </c>
      <c r="B1368" s="2">
        <v>45743</v>
      </c>
      <c r="C1368" t="s">
        <v>61</v>
      </c>
      <c r="D1368" t="s">
        <v>1629</v>
      </c>
      <c r="E1368">
        <v>198.9</v>
      </c>
      <c r="F1368" t="s">
        <v>1578</v>
      </c>
      <c r="G1368" t="s">
        <v>1176</v>
      </c>
    </row>
    <row r="1369" spans="1:7">
      <c r="A1369" t="s">
        <v>2972</v>
      </c>
      <c r="B1369" s="2">
        <v>45743</v>
      </c>
      <c r="C1369" t="s">
        <v>65</v>
      </c>
      <c r="D1369" t="s">
        <v>1629</v>
      </c>
      <c r="E1369">
        <v>197.92</v>
      </c>
      <c r="F1369" t="s">
        <v>1578</v>
      </c>
      <c r="G1369" t="s">
        <v>1176</v>
      </c>
    </row>
    <row r="1370" spans="1:7">
      <c r="A1370" t="s">
        <v>2973</v>
      </c>
      <c r="B1370" s="2">
        <v>45743</v>
      </c>
      <c r="C1370" t="s">
        <v>68</v>
      </c>
      <c r="D1370" t="s">
        <v>1629</v>
      </c>
      <c r="E1370">
        <v>198.9</v>
      </c>
      <c r="F1370" t="s">
        <v>1578</v>
      </c>
      <c r="G1370" t="s">
        <v>1176</v>
      </c>
    </row>
    <row r="1371" spans="1:7">
      <c r="A1371" t="s">
        <v>2974</v>
      </c>
      <c r="B1371" s="2">
        <v>45743</v>
      </c>
      <c r="C1371" t="s">
        <v>70</v>
      </c>
      <c r="D1371" t="s">
        <v>1629</v>
      </c>
      <c r="E1371">
        <v>196.95</v>
      </c>
      <c r="F1371" t="s">
        <v>1578</v>
      </c>
      <c r="G1371" t="s">
        <v>1176</v>
      </c>
    </row>
    <row r="1372" spans="1:7">
      <c r="A1372" t="s">
        <v>2975</v>
      </c>
      <c r="B1372" s="2">
        <v>45743</v>
      </c>
      <c r="C1372" t="s">
        <v>75</v>
      </c>
      <c r="D1372" t="s">
        <v>1629</v>
      </c>
      <c r="E1372">
        <v>196.95</v>
      </c>
      <c r="F1372" t="s">
        <v>1578</v>
      </c>
      <c r="G1372" t="s">
        <v>1176</v>
      </c>
    </row>
    <row r="1373" spans="1:7">
      <c r="A1373" t="s">
        <v>2976</v>
      </c>
      <c r="B1373" s="2">
        <v>45743</v>
      </c>
      <c r="C1373" t="s">
        <v>77</v>
      </c>
      <c r="D1373" t="s">
        <v>1629</v>
      </c>
      <c r="E1373">
        <v>196.95</v>
      </c>
      <c r="F1373" t="s">
        <v>1578</v>
      </c>
      <c r="G1373" t="s">
        <v>1176</v>
      </c>
    </row>
    <row r="1374" spans="1:7">
      <c r="A1374" t="s">
        <v>2977</v>
      </c>
      <c r="B1374" s="2">
        <v>45743</v>
      </c>
      <c r="C1374" t="s">
        <v>79</v>
      </c>
      <c r="D1374" t="s">
        <v>1629</v>
      </c>
      <c r="E1374">
        <v>198.9</v>
      </c>
      <c r="F1374" t="s">
        <v>1578</v>
      </c>
      <c r="G1374" t="s">
        <v>1176</v>
      </c>
    </row>
    <row r="1375" spans="1:7">
      <c r="A1375" t="s">
        <v>2978</v>
      </c>
      <c r="B1375" s="2">
        <v>45743</v>
      </c>
      <c r="C1375" t="s">
        <v>81</v>
      </c>
      <c r="D1375" t="s">
        <v>1629</v>
      </c>
      <c r="E1375">
        <v>393.9</v>
      </c>
      <c r="F1375" t="s">
        <v>1578</v>
      </c>
      <c r="G1375" t="s">
        <v>1176</v>
      </c>
    </row>
    <row r="1376" spans="1:7">
      <c r="A1376" t="s">
        <v>2979</v>
      </c>
      <c r="B1376" s="2">
        <v>45743</v>
      </c>
      <c r="C1376" t="s">
        <v>110</v>
      </c>
      <c r="D1376" t="s">
        <v>1629</v>
      </c>
      <c r="E1376">
        <v>198.9</v>
      </c>
      <c r="F1376" t="s">
        <v>1578</v>
      </c>
      <c r="G1376" t="s">
        <v>1176</v>
      </c>
    </row>
    <row r="1377" spans="1:7">
      <c r="A1377" t="s">
        <v>2980</v>
      </c>
      <c r="B1377" s="2">
        <v>45743</v>
      </c>
      <c r="C1377" t="s">
        <v>114</v>
      </c>
      <c r="D1377" t="s">
        <v>1629</v>
      </c>
      <c r="E1377">
        <v>196.95</v>
      </c>
      <c r="F1377" t="s">
        <v>1578</v>
      </c>
      <c r="G1377" t="s">
        <v>1176</v>
      </c>
    </row>
    <row r="1378" spans="1:7">
      <c r="A1378" t="s">
        <v>2981</v>
      </c>
      <c r="B1378" s="2">
        <v>45743</v>
      </c>
      <c r="C1378" t="s">
        <v>117</v>
      </c>
      <c r="D1378" t="s">
        <v>1629</v>
      </c>
      <c r="E1378">
        <v>195.97</v>
      </c>
      <c r="F1378" t="s">
        <v>1578</v>
      </c>
      <c r="G1378" t="s">
        <v>1176</v>
      </c>
    </row>
    <row r="1379" spans="1:7">
      <c r="A1379" t="s">
        <v>2982</v>
      </c>
      <c r="B1379" s="2">
        <v>45743</v>
      </c>
      <c r="C1379" t="s">
        <v>119</v>
      </c>
      <c r="D1379" t="s">
        <v>1629</v>
      </c>
      <c r="E1379">
        <v>196.95</v>
      </c>
      <c r="F1379" t="s">
        <v>1578</v>
      </c>
      <c r="G1379" t="s">
        <v>1176</v>
      </c>
    </row>
    <row r="1380" spans="1:7">
      <c r="A1380" t="s">
        <v>2983</v>
      </c>
      <c r="B1380" s="2">
        <v>45743</v>
      </c>
      <c r="C1380" t="s">
        <v>119</v>
      </c>
      <c r="D1380" t="s">
        <v>1683</v>
      </c>
      <c r="E1380">
        <v>155</v>
      </c>
      <c r="F1380" t="s">
        <v>1578</v>
      </c>
      <c r="G1380" t="s">
        <v>525</v>
      </c>
    </row>
    <row r="1381" spans="1:7">
      <c r="A1381" t="s">
        <v>2984</v>
      </c>
      <c r="B1381" s="2">
        <v>45743</v>
      </c>
      <c r="C1381" t="s">
        <v>119</v>
      </c>
      <c r="D1381" t="s">
        <v>1683</v>
      </c>
      <c r="E1381">
        <v>311</v>
      </c>
      <c r="F1381" t="s">
        <v>1578</v>
      </c>
      <c r="G1381" t="s">
        <v>526</v>
      </c>
    </row>
    <row r="1382" spans="1:7">
      <c r="A1382" t="s">
        <v>2985</v>
      </c>
      <c r="B1382" s="2">
        <v>45743</v>
      </c>
      <c r="C1382" t="s">
        <v>99</v>
      </c>
      <c r="D1382" t="s">
        <v>1683</v>
      </c>
      <c r="E1382">
        <v>279</v>
      </c>
      <c r="F1382" t="s">
        <v>1578</v>
      </c>
      <c r="G1382" t="s">
        <v>527</v>
      </c>
    </row>
    <row r="1383" spans="1:7">
      <c r="A1383" t="s">
        <v>2986</v>
      </c>
      <c r="B1383" s="2">
        <v>45744</v>
      </c>
      <c r="C1383" t="s">
        <v>108</v>
      </c>
      <c r="D1383" t="s">
        <v>1683</v>
      </c>
      <c r="E1383">
        <v>229</v>
      </c>
      <c r="F1383" t="s">
        <v>1578</v>
      </c>
      <c r="G1383" t="s">
        <v>528</v>
      </c>
    </row>
    <row r="1384" spans="1:7">
      <c r="A1384" t="s">
        <v>2987</v>
      </c>
      <c r="B1384" s="2">
        <v>45744</v>
      </c>
      <c r="C1384" t="s">
        <v>84</v>
      </c>
      <c r="D1384" t="s">
        <v>1683</v>
      </c>
      <c r="E1384">
        <v>255</v>
      </c>
      <c r="F1384" t="s">
        <v>1578</v>
      </c>
      <c r="G1384" t="s">
        <v>529</v>
      </c>
    </row>
    <row r="1385" spans="1:7">
      <c r="A1385" t="s">
        <v>2988</v>
      </c>
      <c r="B1385" s="2">
        <v>45744</v>
      </c>
      <c r="C1385" t="s">
        <v>79</v>
      </c>
      <c r="D1385" t="s">
        <v>1683</v>
      </c>
      <c r="E1385">
        <v>99</v>
      </c>
      <c r="F1385" t="s">
        <v>1578</v>
      </c>
      <c r="G1385" t="s">
        <v>530</v>
      </c>
    </row>
    <row r="1386" spans="1:7">
      <c r="A1386" t="s">
        <v>2989</v>
      </c>
      <c r="B1386" s="2">
        <v>45745</v>
      </c>
      <c r="C1386" t="s">
        <v>75</v>
      </c>
      <c r="D1386" t="s">
        <v>1629</v>
      </c>
      <c r="E1386">
        <v>394.91</v>
      </c>
      <c r="F1386" t="s">
        <v>1578</v>
      </c>
      <c r="G1386" t="s">
        <v>1177</v>
      </c>
    </row>
    <row r="1387" spans="1:7">
      <c r="A1387" t="s">
        <v>2990</v>
      </c>
      <c r="B1387" s="2">
        <v>45745</v>
      </c>
      <c r="C1387" t="s">
        <v>91</v>
      </c>
      <c r="D1387" t="s">
        <v>1629</v>
      </c>
      <c r="E1387">
        <v>400.78</v>
      </c>
      <c r="F1387" t="s">
        <v>1578</v>
      </c>
      <c r="G1387" t="s">
        <v>1177</v>
      </c>
    </row>
    <row r="1388" spans="1:7">
      <c r="A1388" t="s">
        <v>2991</v>
      </c>
      <c r="B1388" s="2">
        <v>45745</v>
      </c>
      <c r="C1388" t="s">
        <v>93</v>
      </c>
      <c r="D1388" t="s">
        <v>1629</v>
      </c>
      <c r="E1388">
        <v>398.82</v>
      </c>
      <c r="F1388" t="s">
        <v>1578</v>
      </c>
      <c r="G1388" t="s">
        <v>1177</v>
      </c>
    </row>
    <row r="1389" spans="1:7">
      <c r="A1389" t="s">
        <v>2992</v>
      </c>
      <c r="B1389" s="2">
        <v>45745</v>
      </c>
      <c r="C1389" t="s">
        <v>95</v>
      </c>
      <c r="D1389" t="s">
        <v>1629</v>
      </c>
      <c r="E1389">
        <v>396.86</v>
      </c>
      <c r="F1389" t="s">
        <v>1578</v>
      </c>
      <c r="G1389" t="s">
        <v>1177</v>
      </c>
    </row>
    <row r="1390" spans="1:7">
      <c r="A1390" t="s">
        <v>2993</v>
      </c>
      <c r="B1390" s="2">
        <v>45745</v>
      </c>
      <c r="C1390" t="s">
        <v>97</v>
      </c>
      <c r="D1390" t="s">
        <v>1629</v>
      </c>
      <c r="E1390">
        <v>394.91</v>
      </c>
      <c r="F1390" t="s">
        <v>1578</v>
      </c>
      <c r="G1390" t="s">
        <v>1177</v>
      </c>
    </row>
    <row r="1391" spans="1:7">
      <c r="A1391" t="s">
        <v>2994</v>
      </c>
      <c r="B1391" s="2">
        <v>45745</v>
      </c>
      <c r="C1391" t="s">
        <v>99</v>
      </c>
      <c r="D1391" t="s">
        <v>1629</v>
      </c>
      <c r="E1391">
        <v>201.36</v>
      </c>
      <c r="F1391" t="s">
        <v>1578</v>
      </c>
      <c r="G1391" t="s">
        <v>1177</v>
      </c>
    </row>
    <row r="1392" spans="1:7">
      <c r="A1392" t="s">
        <v>2995</v>
      </c>
      <c r="B1392" s="2">
        <v>45745</v>
      </c>
      <c r="C1392" t="s">
        <v>102</v>
      </c>
      <c r="D1392" t="s">
        <v>1629</v>
      </c>
      <c r="E1392">
        <v>398.82</v>
      </c>
      <c r="F1392" t="s">
        <v>1578</v>
      </c>
      <c r="G1392" t="s">
        <v>1177</v>
      </c>
    </row>
    <row r="1393" spans="1:7">
      <c r="A1393" t="s">
        <v>2996</v>
      </c>
      <c r="B1393" s="2">
        <v>45745</v>
      </c>
      <c r="C1393" t="s">
        <v>108</v>
      </c>
      <c r="D1393" t="s">
        <v>1629</v>
      </c>
      <c r="E1393">
        <v>793.73</v>
      </c>
      <c r="F1393" t="s">
        <v>1578</v>
      </c>
      <c r="G1393" t="s">
        <v>1177</v>
      </c>
    </row>
    <row r="1394" spans="1:7">
      <c r="A1394" t="s">
        <v>2997</v>
      </c>
      <c r="B1394" s="2">
        <v>45745</v>
      </c>
      <c r="C1394" t="s">
        <v>110</v>
      </c>
      <c r="D1394" t="s">
        <v>1629</v>
      </c>
      <c r="E1394">
        <v>398.82</v>
      </c>
      <c r="F1394" t="s">
        <v>1578</v>
      </c>
      <c r="G1394" t="s">
        <v>1177</v>
      </c>
    </row>
    <row r="1395" spans="1:7">
      <c r="A1395" t="s">
        <v>2998</v>
      </c>
      <c r="B1395" s="2">
        <v>45745</v>
      </c>
      <c r="C1395" t="s">
        <v>114</v>
      </c>
      <c r="D1395" t="s">
        <v>1629</v>
      </c>
      <c r="E1395">
        <v>394.91</v>
      </c>
      <c r="F1395" t="s">
        <v>1578</v>
      </c>
      <c r="G1395" t="s">
        <v>1177</v>
      </c>
    </row>
    <row r="1396" spans="1:7">
      <c r="A1396" t="s">
        <v>2999</v>
      </c>
      <c r="B1396" s="2">
        <v>45745</v>
      </c>
      <c r="C1396" t="s">
        <v>117</v>
      </c>
      <c r="D1396" t="s">
        <v>1629</v>
      </c>
      <c r="E1396">
        <v>392.96</v>
      </c>
      <c r="F1396" t="s">
        <v>1578</v>
      </c>
      <c r="G1396" t="s">
        <v>1177</v>
      </c>
    </row>
    <row r="1397" spans="1:7">
      <c r="A1397" t="s">
        <v>3000</v>
      </c>
      <c r="B1397" s="2">
        <v>45745</v>
      </c>
      <c r="C1397" t="s">
        <v>119</v>
      </c>
      <c r="D1397" t="s">
        <v>1629</v>
      </c>
      <c r="E1397">
        <v>394.91</v>
      </c>
      <c r="F1397" t="s">
        <v>1578</v>
      </c>
      <c r="G1397" t="s">
        <v>1177</v>
      </c>
    </row>
    <row r="1398" spans="1:7">
      <c r="A1398" t="s">
        <v>3001</v>
      </c>
      <c r="B1398" s="2">
        <v>45745</v>
      </c>
      <c r="C1398" t="s">
        <v>114</v>
      </c>
      <c r="D1398" t="s">
        <v>1683</v>
      </c>
      <c r="E1398">
        <v>108</v>
      </c>
      <c r="F1398" t="s">
        <v>1578</v>
      </c>
      <c r="G1398" t="s">
        <v>531</v>
      </c>
    </row>
    <row r="1399" spans="1:7">
      <c r="A1399" t="s">
        <v>3002</v>
      </c>
      <c r="B1399" s="2">
        <v>45745</v>
      </c>
      <c r="C1399" t="s">
        <v>108</v>
      </c>
      <c r="D1399" t="s">
        <v>1683</v>
      </c>
      <c r="E1399">
        <v>252</v>
      </c>
      <c r="F1399" t="s">
        <v>1578</v>
      </c>
      <c r="G1399" t="s">
        <v>532</v>
      </c>
    </row>
    <row r="1400" spans="1:7">
      <c r="A1400" t="s">
        <v>3003</v>
      </c>
      <c r="B1400" s="2">
        <v>45745</v>
      </c>
      <c r="C1400" t="s">
        <v>65</v>
      </c>
      <c r="D1400" t="s">
        <v>1683</v>
      </c>
      <c r="E1400">
        <v>136</v>
      </c>
      <c r="F1400" t="s">
        <v>1578</v>
      </c>
      <c r="G1400" t="s">
        <v>533</v>
      </c>
    </row>
    <row r="1401" spans="1:7">
      <c r="A1401" t="s">
        <v>3004</v>
      </c>
      <c r="B1401" s="2">
        <v>45746</v>
      </c>
      <c r="C1401" t="s">
        <v>75</v>
      </c>
      <c r="D1401" t="s">
        <v>1629</v>
      </c>
      <c r="E1401">
        <v>117.16</v>
      </c>
      <c r="F1401" t="s">
        <v>1578</v>
      </c>
      <c r="G1401" t="s">
        <v>1178</v>
      </c>
    </row>
    <row r="1402" spans="1:7">
      <c r="A1402" t="s">
        <v>3005</v>
      </c>
      <c r="B1402" s="2">
        <v>45746</v>
      </c>
      <c r="C1402" t="s">
        <v>106</v>
      </c>
      <c r="D1402" t="s">
        <v>1629</v>
      </c>
      <c r="E1402">
        <v>119.48</v>
      </c>
      <c r="F1402" t="s">
        <v>1578</v>
      </c>
      <c r="G1402" t="s">
        <v>1178</v>
      </c>
    </row>
    <row r="1403" spans="1:7">
      <c r="A1403" t="s">
        <v>3006</v>
      </c>
      <c r="B1403" s="2">
        <v>45746</v>
      </c>
      <c r="C1403" t="s">
        <v>108</v>
      </c>
      <c r="D1403" t="s">
        <v>1629</v>
      </c>
      <c r="E1403">
        <v>235.48</v>
      </c>
      <c r="F1403" t="s">
        <v>1578</v>
      </c>
      <c r="G1403" t="s">
        <v>1178</v>
      </c>
    </row>
    <row r="1404" spans="1:7">
      <c r="A1404" t="s">
        <v>3007</v>
      </c>
      <c r="B1404" s="2">
        <v>45746</v>
      </c>
      <c r="C1404" t="s">
        <v>110</v>
      </c>
      <c r="D1404" t="s">
        <v>1629</v>
      </c>
      <c r="E1404">
        <v>118.32</v>
      </c>
      <c r="F1404" t="s">
        <v>1578</v>
      </c>
      <c r="G1404" t="s">
        <v>1178</v>
      </c>
    </row>
    <row r="1405" spans="1:7">
      <c r="A1405" t="s">
        <v>3008</v>
      </c>
      <c r="B1405" s="2">
        <v>45746</v>
      </c>
      <c r="C1405" t="s">
        <v>114</v>
      </c>
      <c r="D1405" t="s">
        <v>1629</v>
      </c>
      <c r="E1405">
        <v>117.16</v>
      </c>
      <c r="F1405" t="s">
        <v>1578</v>
      </c>
      <c r="G1405" t="s">
        <v>1178</v>
      </c>
    </row>
    <row r="1406" spans="1:7">
      <c r="A1406" t="s">
        <v>3009</v>
      </c>
      <c r="B1406" s="2">
        <v>45746</v>
      </c>
      <c r="C1406" t="s">
        <v>117</v>
      </c>
      <c r="D1406" t="s">
        <v>1629</v>
      </c>
      <c r="E1406">
        <v>116.58</v>
      </c>
      <c r="F1406" t="s">
        <v>1578</v>
      </c>
      <c r="G1406" t="s">
        <v>1178</v>
      </c>
    </row>
    <row r="1407" spans="1:7">
      <c r="A1407" t="s">
        <v>3010</v>
      </c>
      <c r="B1407" s="2">
        <v>45746</v>
      </c>
      <c r="C1407" t="s">
        <v>119</v>
      </c>
      <c r="D1407" t="s">
        <v>1629</v>
      </c>
      <c r="E1407">
        <v>117.16</v>
      </c>
      <c r="F1407" t="s">
        <v>1578</v>
      </c>
      <c r="G1407" t="s">
        <v>1178</v>
      </c>
    </row>
    <row r="1408" spans="1:7">
      <c r="A1408" t="s">
        <v>3011</v>
      </c>
      <c r="B1408" s="2">
        <v>45746</v>
      </c>
      <c r="C1408" t="s">
        <v>110</v>
      </c>
      <c r="D1408" t="s">
        <v>1683</v>
      </c>
      <c r="E1408">
        <v>297</v>
      </c>
      <c r="F1408" t="s">
        <v>1578</v>
      </c>
      <c r="G1408" t="s">
        <v>534</v>
      </c>
    </row>
    <row r="1409" spans="1:7">
      <c r="A1409" t="s">
        <v>3012</v>
      </c>
      <c r="B1409" s="2">
        <v>45747</v>
      </c>
      <c r="C1409" t="s">
        <v>108</v>
      </c>
      <c r="D1409" t="s">
        <v>1683</v>
      </c>
      <c r="E1409">
        <v>71</v>
      </c>
      <c r="F1409" t="s">
        <v>1578</v>
      </c>
      <c r="G1409" t="s">
        <v>535</v>
      </c>
    </row>
    <row r="1410" spans="1:7">
      <c r="A1410" t="s">
        <v>3013</v>
      </c>
      <c r="B1410" s="2">
        <v>45747</v>
      </c>
      <c r="C1410" t="s">
        <v>110</v>
      </c>
      <c r="D1410" t="s">
        <v>1683</v>
      </c>
      <c r="E1410">
        <v>168</v>
      </c>
      <c r="F1410" t="s">
        <v>1578</v>
      </c>
      <c r="G1410" t="s">
        <v>536</v>
      </c>
    </row>
    <row r="1411" spans="1:7">
      <c r="A1411" t="s">
        <v>3014</v>
      </c>
      <c r="B1411" s="2">
        <v>45748</v>
      </c>
      <c r="C1411" t="s">
        <v>61</v>
      </c>
      <c r="D1411" t="s">
        <v>1629</v>
      </c>
      <c r="E1411">
        <v>172.38</v>
      </c>
      <c r="F1411" t="s">
        <v>1578</v>
      </c>
      <c r="G1411" t="s">
        <v>1179</v>
      </c>
    </row>
    <row r="1412" spans="1:7">
      <c r="A1412" t="s">
        <v>3015</v>
      </c>
      <c r="B1412" s="2">
        <v>45748</v>
      </c>
      <c r="C1412" t="s">
        <v>65</v>
      </c>
      <c r="D1412" t="s">
        <v>1629</v>
      </c>
      <c r="E1412">
        <v>171.54</v>
      </c>
      <c r="F1412" t="s">
        <v>1578</v>
      </c>
      <c r="G1412" t="s">
        <v>1179</v>
      </c>
    </row>
    <row r="1413" spans="1:7">
      <c r="A1413" t="s">
        <v>3016</v>
      </c>
      <c r="B1413" s="2">
        <v>45748</v>
      </c>
      <c r="C1413" t="s">
        <v>68</v>
      </c>
      <c r="D1413" t="s">
        <v>1629</v>
      </c>
      <c r="E1413">
        <v>172.38</v>
      </c>
      <c r="F1413" t="s">
        <v>1578</v>
      </c>
      <c r="G1413" t="s">
        <v>1179</v>
      </c>
    </row>
    <row r="1414" spans="1:7">
      <c r="A1414" t="s">
        <v>3017</v>
      </c>
      <c r="B1414" s="2">
        <v>45748</v>
      </c>
      <c r="C1414" t="s">
        <v>70</v>
      </c>
      <c r="D1414" t="s">
        <v>1629</v>
      </c>
      <c r="E1414">
        <v>170.69</v>
      </c>
      <c r="F1414" t="s">
        <v>1578</v>
      </c>
      <c r="G1414" t="s">
        <v>1179</v>
      </c>
    </row>
    <row r="1415" spans="1:7">
      <c r="A1415" t="s">
        <v>3018</v>
      </c>
      <c r="B1415" s="2">
        <v>45748</v>
      </c>
      <c r="C1415" t="s">
        <v>75</v>
      </c>
      <c r="D1415" t="s">
        <v>1629</v>
      </c>
      <c r="E1415">
        <v>170.69</v>
      </c>
      <c r="F1415" t="s">
        <v>1578</v>
      </c>
      <c r="G1415" t="s">
        <v>1179</v>
      </c>
    </row>
    <row r="1416" spans="1:7">
      <c r="A1416" t="s">
        <v>3019</v>
      </c>
      <c r="B1416" s="2">
        <v>45748</v>
      </c>
      <c r="C1416" t="s">
        <v>77</v>
      </c>
      <c r="D1416" t="s">
        <v>1629</v>
      </c>
      <c r="E1416">
        <v>170.69</v>
      </c>
      <c r="F1416" t="s">
        <v>1578</v>
      </c>
      <c r="G1416" t="s">
        <v>1179</v>
      </c>
    </row>
    <row r="1417" spans="1:7">
      <c r="A1417" t="s">
        <v>3020</v>
      </c>
      <c r="B1417" s="2">
        <v>45748</v>
      </c>
      <c r="C1417" t="s">
        <v>79</v>
      </c>
      <c r="D1417" t="s">
        <v>1629</v>
      </c>
      <c r="E1417">
        <v>172.38</v>
      </c>
      <c r="F1417" t="s">
        <v>1578</v>
      </c>
      <c r="G1417" t="s">
        <v>1179</v>
      </c>
    </row>
    <row r="1418" spans="1:7">
      <c r="A1418" t="s">
        <v>3021</v>
      </c>
      <c r="B1418" s="2">
        <v>45748</v>
      </c>
      <c r="C1418" t="s">
        <v>81</v>
      </c>
      <c r="D1418" t="s">
        <v>1629</v>
      </c>
      <c r="E1418">
        <v>341.38</v>
      </c>
      <c r="F1418" t="s">
        <v>1578</v>
      </c>
      <c r="G1418" t="s">
        <v>1179</v>
      </c>
    </row>
    <row r="1419" spans="1:7">
      <c r="A1419" t="s">
        <v>3022</v>
      </c>
      <c r="B1419" s="2">
        <v>45748</v>
      </c>
      <c r="C1419" t="s">
        <v>110</v>
      </c>
      <c r="D1419" t="s">
        <v>1629</v>
      </c>
      <c r="E1419">
        <v>172.38</v>
      </c>
      <c r="F1419" t="s">
        <v>1578</v>
      </c>
      <c r="G1419" t="s">
        <v>1179</v>
      </c>
    </row>
    <row r="1420" spans="1:7">
      <c r="A1420" t="s">
        <v>3023</v>
      </c>
      <c r="B1420" s="2">
        <v>45748</v>
      </c>
      <c r="C1420" t="s">
        <v>114</v>
      </c>
      <c r="D1420" t="s">
        <v>1629</v>
      </c>
      <c r="E1420">
        <v>170.69</v>
      </c>
      <c r="F1420" t="s">
        <v>1578</v>
      </c>
      <c r="G1420" t="s">
        <v>1179</v>
      </c>
    </row>
    <row r="1421" spans="1:7">
      <c r="A1421" t="s">
        <v>3024</v>
      </c>
      <c r="B1421" s="2">
        <v>45748</v>
      </c>
      <c r="C1421" t="s">
        <v>117</v>
      </c>
      <c r="D1421" t="s">
        <v>1629</v>
      </c>
      <c r="E1421">
        <v>169.84</v>
      </c>
      <c r="F1421" t="s">
        <v>1578</v>
      </c>
      <c r="G1421" t="s">
        <v>1179</v>
      </c>
    </row>
    <row r="1422" spans="1:7">
      <c r="A1422" t="s">
        <v>3025</v>
      </c>
      <c r="B1422" s="2">
        <v>45748</v>
      </c>
      <c r="C1422" t="s">
        <v>119</v>
      </c>
      <c r="D1422" t="s">
        <v>1629</v>
      </c>
      <c r="E1422">
        <v>170.69</v>
      </c>
      <c r="F1422" t="s">
        <v>1578</v>
      </c>
      <c r="G1422" t="s">
        <v>1179</v>
      </c>
    </row>
    <row r="1423" spans="1:7">
      <c r="A1423" t="s">
        <v>3026</v>
      </c>
      <c r="B1423" s="2">
        <v>45748</v>
      </c>
      <c r="C1423" t="s">
        <v>61</v>
      </c>
      <c r="D1423" t="s">
        <v>1629</v>
      </c>
      <c r="E1423">
        <v>354.96</v>
      </c>
      <c r="F1423" t="s">
        <v>1578</v>
      </c>
      <c r="G1423" t="s">
        <v>1180</v>
      </c>
    </row>
    <row r="1424" spans="1:7">
      <c r="A1424" t="s">
        <v>3027</v>
      </c>
      <c r="B1424" s="2">
        <v>45748</v>
      </c>
      <c r="C1424" t="s">
        <v>65</v>
      </c>
      <c r="D1424" t="s">
        <v>1629</v>
      </c>
      <c r="E1424">
        <v>353.22</v>
      </c>
      <c r="F1424" t="s">
        <v>1578</v>
      </c>
      <c r="G1424" t="s">
        <v>1180</v>
      </c>
    </row>
    <row r="1425" spans="1:7">
      <c r="A1425" t="s">
        <v>3028</v>
      </c>
      <c r="B1425" s="2">
        <v>45748</v>
      </c>
      <c r="C1425" t="s">
        <v>68</v>
      </c>
      <c r="D1425" t="s">
        <v>1629</v>
      </c>
      <c r="E1425">
        <v>354.96</v>
      </c>
      <c r="F1425" t="s">
        <v>1578</v>
      </c>
      <c r="G1425" t="s">
        <v>1180</v>
      </c>
    </row>
    <row r="1426" spans="1:7">
      <c r="A1426" t="s">
        <v>3029</v>
      </c>
      <c r="B1426" s="2">
        <v>45748</v>
      </c>
      <c r="C1426" t="s">
        <v>70</v>
      </c>
      <c r="D1426" t="s">
        <v>1629</v>
      </c>
      <c r="E1426">
        <v>351.48</v>
      </c>
      <c r="F1426" t="s">
        <v>1578</v>
      </c>
      <c r="G1426" t="s">
        <v>1180</v>
      </c>
    </row>
    <row r="1427" spans="1:7">
      <c r="A1427" t="s">
        <v>3030</v>
      </c>
      <c r="B1427" s="2">
        <v>45748</v>
      </c>
      <c r="C1427" t="s">
        <v>75</v>
      </c>
      <c r="D1427" t="s">
        <v>1629</v>
      </c>
      <c r="E1427">
        <v>351.48</v>
      </c>
      <c r="F1427" t="s">
        <v>1578</v>
      </c>
      <c r="G1427" t="s">
        <v>1180</v>
      </c>
    </row>
    <row r="1428" spans="1:7">
      <c r="A1428" t="s">
        <v>3031</v>
      </c>
      <c r="B1428" s="2">
        <v>45748</v>
      </c>
      <c r="C1428" t="s">
        <v>77</v>
      </c>
      <c r="D1428" t="s">
        <v>1629</v>
      </c>
      <c r="E1428">
        <v>351.48</v>
      </c>
      <c r="F1428" t="s">
        <v>1578</v>
      </c>
      <c r="G1428" t="s">
        <v>1180</v>
      </c>
    </row>
    <row r="1429" spans="1:7">
      <c r="A1429" t="s">
        <v>3032</v>
      </c>
      <c r="B1429" s="2">
        <v>45748</v>
      </c>
      <c r="C1429" t="s">
        <v>79</v>
      </c>
      <c r="D1429" t="s">
        <v>1629</v>
      </c>
      <c r="E1429">
        <v>354.96</v>
      </c>
      <c r="F1429" t="s">
        <v>1578</v>
      </c>
      <c r="G1429" t="s">
        <v>1180</v>
      </c>
    </row>
    <row r="1430" spans="1:7">
      <c r="A1430" t="s">
        <v>3033</v>
      </c>
      <c r="B1430" s="2">
        <v>45748</v>
      </c>
      <c r="C1430" t="s">
        <v>81</v>
      </c>
      <c r="D1430" t="s">
        <v>1629</v>
      </c>
      <c r="E1430">
        <v>702.96</v>
      </c>
      <c r="F1430" t="s">
        <v>1578</v>
      </c>
      <c r="G1430" t="s">
        <v>1180</v>
      </c>
    </row>
    <row r="1431" spans="1:7">
      <c r="A1431" t="s">
        <v>3034</v>
      </c>
      <c r="B1431" s="2">
        <v>45748</v>
      </c>
      <c r="C1431" t="s">
        <v>108</v>
      </c>
      <c r="D1431" t="s">
        <v>1629</v>
      </c>
      <c r="E1431">
        <v>706.44</v>
      </c>
      <c r="F1431" t="s">
        <v>1578</v>
      </c>
      <c r="G1431" t="s">
        <v>1180</v>
      </c>
    </row>
    <row r="1432" spans="1:7">
      <c r="A1432" t="s">
        <v>3035</v>
      </c>
      <c r="B1432" s="2">
        <v>45748</v>
      </c>
      <c r="C1432" t="s">
        <v>110</v>
      </c>
      <c r="D1432" t="s">
        <v>1629</v>
      </c>
      <c r="E1432">
        <v>354.96</v>
      </c>
      <c r="F1432" t="s">
        <v>1578</v>
      </c>
      <c r="G1432" t="s">
        <v>1180</v>
      </c>
    </row>
    <row r="1433" spans="1:7">
      <c r="A1433" t="s">
        <v>3036</v>
      </c>
      <c r="B1433" s="2">
        <v>45748</v>
      </c>
      <c r="C1433" t="s">
        <v>114</v>
      </c>
      <c r="D1433" t="s">
        <v>1629</v>
      </c>
      <c r="E1433">
        <v>351.48</v>
      </c>
      <c r="F1433" t="s">
        <v>1578</v>
      </c>
      <c r="G1433" t="s">
        <v>1180</v>
      </c>
    </row>
    <row r="1434" spans="1:7">
      <c r="A1434" t="s">
        <v>3037</v>
      </c>
      <c r="B1434" s="2">
        <v>45748</v>
      </c>
      <c r="C1434" t="s">
        <v>117</v>
      </c>
      <c r="D1434" t="s">
        <v>1629</v>
      </c>
      <c r="E1434">
        <v>349.74</v>
      </c>
      <c r="F1434" t="s">
        <v>1578</v>
      </c>
      <c r="G1434" t="s">
        <v>1180</v>
      </c>
    </row>
    <row r="1435" spans="1:7">
      <c r="A1435" t="s">
        <v>3038</v>
      </c>
      <c r="B1435" s="2">
        <v>45748</v>
      </c>
      <c r="C1435" t="s">
        <v>119</v>
      </c>
      <c r="D1435" t="s">
        <v>1629</v>
      </c>
      <c r="E1435">
        <v>351.48</v>
      </c>
      <c r="F1435" t="s">
        <v>1578</v>
      </c>
      <c r="G1435" t="s">
        <v>1180</v>
      </c>
    </row>
    <row r="1436" spans="1:7">
      <c r="A1436" t="s">
        <v>3039</v>
      </c>
      <c r="B1436" s="2">
        <v>45748</v>
      </c>
      <c r="C1436" t="s">
        <v>89</v>
      </c>
      <c r="D1436" t="s">
        <v>1683</v>
      </c>
      <c r="E1436">
        <v>478</v>
      </c>
      <c r="F1436" t="s">
        <v>1578</v>
      </c>
      <c r="G1436" t="s">
        <v>537</v>
      </c>
    </row>
    <row r="1437" spans="1:7">
      <c r="A1437" t="s">
        <v>3040</v>
      </c>
      <c r="B1437" s="2">
        <v>45749</v>
      </c>
      <c r="C1437" t="s">
        <v>61</v>
      </c>
      <c r="D1437" t="s">
        <v>1629</v>
      </c>
      <c r="E1437">
        <v>360.06</v>
      </c>
      <c r="F1437" t="s">
        <v>1578</v>
      </c>
      <c r="G1437" t="s">
        <v>1181</v>
      </c>
    </row>
    <row r="1438" spans="1:7">
      <c r="A1438" t="s">
        <v>3041</v>
      </c>
      <c r="B1438" s="2">
        <v>45749</v>
      </c>
      <c r="C1438" t="s">
        <v>65</v>
      </c>
      <c r="D1438" t="s">
        <v>1629</v>
      </c>
      <c r="E1438">
        <v>358.29</v>
      </c>
      <c r="F1438" t="s">
        <v>1578</v>
      </c>
      <c r="G1438" t="s">
        <v>1181</v>
      </c>
    </row>
    <row r="1439" spans="1:7">
      <c r="A1439" t="s">
        <v>3042</v>
      </c>
      <c r="B1439" s="2">
        <v>45749</v>
      </c>
      <c r="C1439" t="s">
        <v>68</v>
      </c>
      <c r="D1439" t="s">
        <v>1629</v>
      </c>
      <c r="E1439">
        <v>360.06</v>
      </c>
      <c r="F1439" t="s">
        <v>1578</v>
      </c>
      <c r="G1439" t="s">
        <v>1181</v>
      </c>
    </row>
    <row r="1440" spans="1:7">
      <c r="A1440" t="s">
        <v>3043</v>
      </c>
      <c r="B1440" s="2">
        <v>45749</v>
      </c>
      <c r="C1440" t="s">
        <v>70</v>
      </c>
      <c r="D1440" t="s">
        <v>1629</v>
      </c>
      <c r="E1440">
        <v>356.53</v>
      </c>
      <c r="F1440" t="s">
        <v>1578</v>
      </c>
      <c r="G1440" t="s">
        <v>1181</v>
      </c>
    </row>
    <row r="1441" spans="1:7">
      <c r="A1441" t="s">
        <v>3044</v>
      </c>
      <c r="B1441" s="2">
        <v>45749</v>
      </c>
      <c r="C1441" t="s">
        <v>75</v>
      </c>
      <c r="D1441" t="s">
        <v>1629</v>
      </c>
      <c r="E1441">
        <v>356.53</v>
      </c>
      <c r="F1441" t="s">
        <v>1578</v>
      </c>
      <c r="G1441" t="s">
        <v>1181</v>
      </c>
    </row>
    <row r="1442" spans="1:7">
      <c r="A1442" t="s">
        <v>3045</v>
      </c>
      <c r="B1442" s="2">
        <v>45749</v>
      </c>
      <c r="C1442" t="s">
        <v>77</v>
      </c>
      <c r="D1442" t="s">
        <v>1629</v>
      </c>
      <c r="E1442">
        <v>356.53</v>
      </c>
      <c r="F1442" t="s">
        <v>1578</v>
      </c>
      <c r="G1442" t="s">
        <v>1181</v>
      </c>
    </row>
    <row r="1443" spans="1:7">
      <c r="A1443" t="s">
        <v>3046</v>
      </c>
      <c r="B1443" s="2">
        <v>45749</v>
      </c>
      <c r="C1443" t="s">
        <v>79</v>
      </c>
      <c r="D1443" t="s">
        <v>1629</v>
      </c>
      <c r="E1443">
        <v>360.06</v>
      </c>
      <c r="F1443" t="s">
        <v>1578</v>
      </c>
      <c r="G1443" t="s">
        <v>1181</v>
      </c>
    </row>
    <row r="1444" spans="1:7">
      <c r="A1444" t="s">
        <v>3047</v>
      </c>
      <c r="B1444" s="2">
        <v>45749</v>
      </c>
      <c r="C1444" t="s">
        <v>81</v>
      </c>
      <c r="D1444" t="s">
        <v>1629</v>
      </c>
      <c r="E1444">
        <v>713.06</v>
      </c>
      <c r="F1444" t="s">
        <v>1578</v>
      </c>
      <c r="G1444" t="s">
        <v>1181</v>
      </c>
    </row>
    <row r="1445" spans="1:7">
      <c r="A1445" t="s">
        <v>3048</v>
      </c>
      <c r="B1445" s="2">
        <v>45749</v>
      </c>
      <c r="C1445" t="s">
        <v>110</v>
      </c>
      <c r="D1445" t="s">
        <v>1629</v>
      </c>
      <c r="E1445">
        <v>360.06</v>
      </c>
      <c r="F1445" t="s">
        <v>1578</v>
      </c>
      <c r="G1445" t="s">
        <v>1181</v>
      </c>
    </row>
    <row r="1446" spans="1:7">
      <c r="A1446" t="s">
        <v>3049</v>
      </c>
      <c r="B1446" s="2">
        <v>45749</v>
      </c>
      <c r="C1446" t="s">
        <v>114</v>
      </c>
      <c r="D1446" t="s">
        <v>1629</v>
      </c>
      <c r="E1446">
        <v>356.53</v>
      </c>
      <c r="F1446" t="s">
        <v>1578</v>
      </c>
      <c r="G1446" t="s">
        <v>1181</v>
      </c>
    </row>
    <row r="1447" spans="1:7">
      <c r="A1447" t="s">
        <v>3050</v>
      </c>
      <c r="B1447" s="2">
        <v>45749</v>
      </c>
      <c r="C1447" t="s">
        <v>117</v>
      </c>
      <c r="D1447" t="s">
        <v>1629</v>
      </c>
      <c r="E1447">
        <v>354.76</v>
      </c>
      <c r="F1447" t="s">
        <v>1578</v>
      </c>
      <c r="G1447" t="s">
        <v>1181</v>
      </c>
    </row>
    <row r="1448" spans="1:7">
      <c r="A1448" t="s">
        <v>3051</v>
      </c>
      <c r="B1448" s="2">
        <v>45749</v>
      </c>
      <c r="C1448" t="s">
        <v>119</v>
      </c>
      <c r="D1448" t="s">
        <v>1629</v>
      </c>
      <c r="E1448">
        <v>356.53</v>
      </c>
      <c r="F1448" t="s">
        <v>1578</v>
      </c>
      <c r="G1448" t="s">
        <v>1181</v>
      </c>
    </row>
    <row r="1449" spans="1:7">
      <c r="A1449" t="s">
        <v>3052</v>
      </c>
      <c r="B1449" s="2">
        <v>45749</v>
      </c>
      <c r="C1449" t="s">
        <v>73</v>
      </c>
      <c r="D1449" t="s">
        <v>1683</v>
      </c>
      <c r="E1449">
        <v>303</v>
      </c>
      <c r="F1449" t="s">
        <v>1578</v>
      </c>
      <c r="G1449" t="s">
        <v>538</v>
      </c>
    </row>
    <row r="1450" spans="1:7">
      <c r="A1450" t="s">
        <v>3053</v>
      </c>
      <c r="B1450" s="2">
        <v>45750</v>
      </c>
      <c r="C1450" t="s">
        <v>61</v>
      </c>
      <c r="D1450" t="s">
        <v>1629</v>
      </c>
      <c r="E1450">
        <v>488.58</v>
      </c>
      <c r="F1450" t="s">
        <v>1578</v>
      </c>
      <c r="G1450" t="s">
        <v>1182</v>
      </c>
    </row>
    <row r="1451" spans="1:7">
      <c r="A1451" t="s">
        <v>3054</v>
      </c>
      <c r="B1451" s="2">
        <v>45750</v>
      </c>
      <c r="C1451" t="s">
        <v>65</v>
      </c>
      <c r="D1451" t="s">
        <v>1629</v>
      </c>
      <c r="E1451">
        <v>486.18</v>
      </c>
      <c r="F1451" t="s">
        <v>1578</v>
      </c>
      <c r="G1451" t="s">
        <v>1182</v>
      </c>
    </row>
    <row r="1452" spans="1:7">
      <c r="A1452" t="s">
        <v>3055</v>
      </c>
      <c r="B1452" s="2">
        <v>45750</v>
      </c>
      <c r="C1452" t="s">
        <v>75</v>
      </c>
      <c r="D1452" t="s">
        <v>1629</v>
      </c>
      <c r="E1452">
        <v>483.79</v>
      </c>
      <c r="F1452" t="s">
        <v>1578</v>
      </c>
      <c r="G1452" t="s">
        <v>1182</v>
      </c>
    </row>
    <row r="1453" spans="1:7">
      <c r="A1453" t="s">
        <v>3056</v>
      </c>
      <c r="B1453" s="2">
        <v>45750</v>
      </c>
      <c r="C1453" t="s">
        <v>79</v>
      </c>
      <c r="D1453" t="s">
        <v>1629</v>
      </c>
      <c r="E1453">
        <v>488.58</v>
      </c>
      <c r="F1453" t="s">
        <v>1578</v>
      </c>
      <c r="G1453" t="s">
        <v>1182</v>
      </c>
    </row>
    <row r="1454" spans="1:7">
      <c r="A1454" t="s">
        <v>3057</v>
      </c>
      <c r="B1454" s="2">
        <v>45750</v>
      </c>
      <c r="C1454" t="s">
        <v>81</v>
      </c>
      <c r="D1454" t="s">
        <v>1629</v>
      </c>
      <c r="E1454">
        <v>967.58</v>
      </c>
      <c r="F1454" t="s">
        <v>1578</v>
      </c>
      <c r="G1454" t="s">
        <v>1182</v>
      </c>
    </row>
    <row r="1455" spans="1:7">
      <c r="A1455" t="s">
        <v>3058</v>
      </c>
      <c r="B1455" s="2">
        <v>45750</v>
      </c>
      <c r="C1455" t="s">
        <v>84</v>
      </c>
      <c r="D1455" t="s">
        <v>1629</v>
      </c>
      <c r="E1455">
        <v>172.68</v>
      </c>
      <c r="F1455" t="s">
        <v>1578</v>
      </c>
      <c r="G1455" t="s">
        <v>1182</v>
      </c>
    </row>
    <row r="1456" spans="1:7">
      <c r="A1456" t="s">
        <v>3059</v>
      </c>
      <c r="B1456" s="2">
        <v>45750</v>
      </c>
      <c r="C1456" t="s">
        <v>89</v>
      </c>
      <c r="D1456" t="s">
        <v>1629</v>
      </c>
      <c r="E1456">
        <v>736.46</v>
      </c>
      <c r="F1456" t="s">
        <v>1578</v>
      </c>
      <c r="G1456" t="s">
        <v>1182</v>
      </c>
    </row>
    <row r="1457" spans="1:7">
      <c r="A1457" t="s">
        <v>3060</v>
      </c>
      <c r="B1457" s="2">
        <v>45750</v>
      </c>
      <c r="C1457" t="s">
        <v>110</v>
      </c>
      <c r="D1457" t="s">
        <v>1629</v>
      </c>
      <c r="E1457">
        <v>488.58</v>
      </c>
      <c r="F1457" t="s">
        <v>1578</v>
      </c>
      <c r="G1457" t="s">
        <v>1182</v>
      </c>
    </row>
    <row r="1458" spans="1:7">
      <c r="A1458" t="s">
        <v>3061</v>
      </c>
      <c r="B1458" s="2">
        <v>45750</v>
      </c>
      <c r="C1458" t="s">
        <v>114</v>
      </c>
      <c r="D1458" t="s">
        <v>1629</v>
      </c>
      <c r="E1458">
        <v>483.79</v>
      </c>
      <c r="F1458" t="s">
        <v>1578</v>
      </c>
      <c r="G1458" t="s">
        <v>1182</v>
      </c>
    </row>
    <row r="1459" spans="1:7">
      <c r="A1459" t="s">
        <v>3062</v>
      </c>
      <c r="B1459" s="2">
        <v>45750</v>
      </c>
      <c r="C1459" t="s">
        <v>117</v>
      </c>
      <c r="D1459" t="s">
        <v>1629</v>
      </c>
      <c r="E1459">
        <v>481.39</v>
      </c>
      <c r="F1459" t="s">
        <v>1578</v>
      </c>
      <c r="G1459" t="s">
        <v>1182</v>
      </c>
    </row>
    <row r="1460" spans="1:7">
      <c r="A1460" t="s">
        <v>3063</v>
      </c>
      <c r="B1460" s="2">
        <v>45750</v>
      </c>
      <c r="C1460" t="s">
        <v>119</v>
      </c>
      <c r="D1460" t="s">
        <v>1629</v>
      </c>
      <c r="E1460">
        <v>483.79</v>
      </c>
      <c r="F1460" t="s">
        <v>1578</v>
      </c>
      <c r="G1460" t="s">
        <v>1182</v>
      </c>
    </row>
    <row r="1461" spans="1:7">
      <c r="A1461" t="s">
        <v>3064</v>
      </c>
      <c r="B1461" s="2">
        <v>45750</v>
      </c>
      <c r="C1461" t="s">
        <v>61</v>
      </c>
      <c r="D1461" t="s">
        <v>1629</v>
      </c>
      <c r="E1461">
        <v>205.02</v>
      </c>
      <c r="F1461" t="s">
        <v>1578</v>
      </c>
      <c r="G1461" t="s">
        <v>1183</v>
      </c>
    </row>
    <row r="1462" spans="1:7">
      <c r="A1462" t="s">
        <v>3065</v>
      </c>
      <c r="B1462" s="2">
        <v>45750</v>
      </c>
      <c r="C1462" t="s">
        <v>65</v>
      </c>
      <c r="D1462" t="s">
        <v>1629</v>
      </c>
      <c r="E1462">
        <v>204.02</v>
      </c>
      <c r="F1462" t="s">
        <v>1578</v>
      </c>
      <c r="G1462" t="s">
        <v>1183</v>
      </c>
    </row>
    <row r="1463" spans="1:7">
      <c r="A1463" t="s">
        <v>3066</v>
      </c>
      <c r="B1463" s="2">
        <v>45750</v>
      </c>
      <c r="C1463" t="s">
        <v>68</v>
      </c>
      <c r="D1463" t="s">
        <v>1629</v>
      </c>
      <c r="E1463">
        <v>205.02</v>
      </c>
      <c r="F1463" t="s">
        <v>1578</v>
      </c>
      <c r="G1463" t="s">
        <v>1183</v>
      </c>
    </row>
    <row r="1464" spans="1:7">
      <c r="A1464" t="s">
        <v>3067</v>
      </c>
      <c r="B1464" s="2">
        <v>45750</v>
      </c>
      <c r="C1464" t="s">
        <v>70</v>
      </c>
      <c r="D1464" t="s">
        <v>1629</v>
      </c>
      <c r="E1464">
        <v>203.01</v>
      </c>
      <c r="F1464" t="s">
        <v>1578</v>
      </c>
      <c r="G1464" t="s">
        <v>1183</v>
      </c>
    </row>
    <row r="1465" spans="1:7">
      <c r="A1465" t="s">
        <v>3068</v>
      </c>
      <c r="B1465" s="2">
        <v>45750</v>
      </c>
      <c r="C1465" t="s">
        <v>75</v>
      </c>
      <c r="D1465" t="s">
        <v>1629</v>
      </c>
      <c r="E1465">
        <v>203.01</v>
      </c>
      <c r="F1465" t="s">
        <v>1578</v>
      </c>
      <c r="G1465" t="s">
        <v>1183</v>
      </c>
    </row>
    <row r="1466" spans="1:7">
      <c r="A1466" t="s">
        <v>3069</v>
      </c>
      <c r="B1466" s="2">
        <v>45750</v>
      </c>
      <c r="C1466" t="s">
        <v>77</v>
      </c>
      <c r="D1466" t="s">
        <v>1629</v>
      </c>
      <c r="E1466">
        <v>203.01</v>
      </c>
      <c r="F1466" t="s">
        <v>1578</v>
      </c>
      <c r="G1466" t="s">
        <v>1183</v>
      </c>
    </row>
    <row r="1467" spans="1:7">
      <c r="A1467" t="s">
        <v>3070</v>
      </c>
      <c r="B1467" s="2">
        <v>45750</v>
      </c>
      <c r="C1467" t="s">
        <v>79</v>
      </c>
      <c r="D1467" t="s">
        <v>1629</v>
      </c>
      <c r="E1467">
        <v>205.02</v>
      </c>
      <c r="F1467" t="s">
        <v>1578</v>
      </c>
      <c r="G1467" t="s">
        <v>1183</v>
      </c>
    </row>
    <row r="1468" spans="1:7">
      <c r="A1468" t="s">
        <v>3071</v>
      </c>
      <c r="B1468" s="2">
        <v>45750</v>
      </c>
      <c r="C1468" t="s">
        <v>81</v>
      </c>
      <c r="D1468" t="s">
        <v>1629</v>
      </c>
      <c r="E1468">
        <v>406.02</v>
      </c>
      <c r="F1468" t="s">
        <v>1578</v>
      </c>
      <c r="G1468" t="s">
        <v>1183</v>
      </c>
    </row>
    <row r="1469" spans="1:7">
      <c r="A1469" t="s">
        <v>3072</v>
      </c>
      <c r="B1469" s="2">
        <v>45750</v>
      </c>
      <c r="C1469" t="s">
        <v>110</v>
      </c>
      <c r="D1469" t="s">
        <v>1629</v>
      </c>
      <c r="E1469">
        <v>205.02</v>
      </c>
      <c r="F1469" t="s">
        <v>1578</v>
      </c>
      <c r="G1469" t="s">
        <v>1183</v>
      </c>
    </row>
    <row r="1470" spans="1:7">
      <c r="A1470" t="s">
        <v>3073</v>
      </c>
      <c r="B1470" s="2">
        <v>45750</v>
      </c>
      <c r="C1470" t="s">
        <v>114</v>
      </c>
      <c r="D1470" t="s">
        <v>1629</v>
      </c>
      <c r="E1470">
        <v>203.01</v>
      </c>
      <c r="F1470" t="s">
        <v>1578</v>
      </c>
      <c r="G1470" t="s">
        <v>1183</v>
      </c>
    </row>
    <row r="1471" spans="1:7">
      <c r="A1471" t="s">
        <v>3074</v>
      </c>
      <c r="B1471" s="2">
        <v>45750</v>
      </c>
      <c r="C1471" t="s">
        <v>117</v>
      </c>
      <c r="D1471" t="s">
        <v>1629</v>
      </c>
      <c r="E1471">
        <v>202</v>
      </c>
      <c r="F1471" t="s">
        <v>1578</v>
      </c>
      <c r="G1471" t="s">
        <v>1183</v>
      </c>
    </row>
    <row r="1472" spans="1:7">
      <c r="A1472" t="s">
        <v>3075</v>
      </c>
      <c r="B1472" s="2">
        <v>45750</v>
      </c>
      <c r="C1472" t="s">
        <v>119</v>
      </c>
      <c r="D1472" t="s">
        <v>1629</v>
      </c>
      <c r="E1472">
        <v>203.01</v>
      </c>
      <c r="F1472" t="s">
        <v>1578</v>
      </c>
      <c r="G1472" t="s">
        <v>1183</v>
      </c>
    </row>
    <row r="1473" spans="1:7">
      <c r="A1473" t="s">
        <v>3076</v>
      </c>
      <c r="B1473" s="2">
        <v>45750</v>
      </c>
      <c r="C1473" t="s">
        <v>61</v>
      </c>
      <c r="D1473" t="s">
        <v>1629</v>
      </c>
      <c r="E1473">
        <v>241.74</v>
      </c>
      <c r="F1473" t="s">
        <v>1578</v>
      </c>
      <c r="G1473" t="s">
        <v>1184</v>
      </c>
    </row>
    <row r="1474" spans="1:7">
      <c r="A1474" t="s">
        <v>3077</v>
      </c>
      <c r="B1474" s="2">
        <v>45750</v>
      </c>
      <c r="C1474" t="s">
        <v>65</v>
      </c>
      <c r="D1474" t="s">
        <v>1629</v>
      </c>
      <c r="E1474">
        <v>240.55</v>
      </c>
      <c r="F1474" t="s">
        <v>1578</v>
      </c>
      <c r="G1474" t="s">
        <v>1184</v>
      </c>
    </row>
    <row r="1475" spans="1:7">
      <c r="A1475" t="s">
        <v>3078</v>
      </c>
      <c r="B1475" s="2">
        <v>45750</v>
      </c>
      <c r="C1475" t="s">
        <v>68</v>
      </c>
      <c r="D1475" t="s">
        <v>1629</v>
      </c>
      <c r="E1475">
        <v>241.74</v>
      </c>
      <c r="F1475" t="s">
        <v>1578</v>
      </c>
      <c r="G1475" t="s">
        <v>1184</v>
      </c>
    </row>
    <row r="1476" spans="1:7">
      <c r="A1476" t="s">
        <v>3079</v>
      </c>
      <c r="B1476" s="2">
        <v>45750</v>
      </c>
      <c r="C1476" t="s">
        <v>70</v>
      </c>
      <c r="D1476" t="s">
        <v>1629</v>
      </c>
      <c r="E1476">
        <v>239.37</v>
      </c>
      <c r="F1476" t="s">
        <v>1578</v>
      </c>
      <c r="G1476" t="s">
        <v>1184</v>
      </c>
    </row>
    <row r="1477" spans="1:7">
      <c r="A1477" t="s">
        <v>3080</v>
      </c>
      <c r="B1477" s="2">
        <v>45750</v>
      </c>
      <c r="C1477" t="s">
        <v>75</v>
      </c>
      <c r="D1477" t="s">
        <v>1629</v>
      </c>
      <c r="E1477">
        <v>239.37</v>
      </c>
      <c r="F1477" t="s">
        <v>1578</v>
      </c>
      <c r="G1477" t="s">
        <v>1184</v>
      </c>
    </row>
    <row r="1478" spans="1:7">
      <c r="A1478" t="s">
        <v>3081</v>
      </c>
      <c r="B1478" s="2">
        <v>45750</v>
      </c>
      <c r="C1478" t="s">
        <v>77</v>
      </c>
      <c r="D1478" t="s">
        <v>1629</v>
      </c>
      <c r="E1478">
        <v>239.37</v>
      </c>
      <c r="F1478" t="s">
        <v>1578</v>
      </c>
      <c r="G1478" t="s">
        <v>1184</v>
      </c>
    </row>
    <row r="1479" spans="1:7">
      <c r="A1479" t="s">
        <v>3082</v>
      </c>
      <c r="B1479" s="2">
        <v>45750</v>
      </c>
      <c r="C1479" t="s">
        <v>79</v>
      </c>
      <c r="D1479" t="s">
        <v>1629</v>
      </c>
      <c r="E1479">
        <v>241.74</v>
      </c>
      <c r="F1479" t="s">
        <v>1578</v>
      </c>
      <c r="G1479" t="s">
        <v>1184</v>
      </c>
    </row>
    <row r="1480" spans="1:7">
      <c r="A1480" t="s">
        <v>3083</v>
      </c>
      <c r="B1480" s="2">
        <v>45750</v>
      </c>
      <c r="C1480" t="s">
        <v>81</v>
      </c>
      <c r="D1480" t="s">
        <v>1629</v>
      </c>
      <c r="E1480">
        <v>478.74</v>
      </c>
      <c r="F1480" t="s">
        <v>1578</v>
      </c>
      <c r="G1480" t="s">
        <v>1184</v>
      </c>
    </row>
    <row r="1481" spans="1:7">
      <c r="A1481" t="s">
        <v>3084</v>
      </c>
      <c r="B1481" s="2">
        <v>45750</v>
      </c>
      <c r="C1481" t="s">
        <v>110</v>
      </c>
      <c r="D1481" t="s">
        <v>1629</v>
      </c>
      <c r="E1481">
        <v>241.74</v>
      </c>
      <c r="F1481" t="s">
        <v>1578</v>
      </c>
      <c r="G1481" t="s">
        <v>1184</v>
      </c>
    </row>
    <row r="1482" spans="1:7">
      <c r="A1482" t="s">
        <v>3085</v>
      </c>
      <c r="B1482" s="2">
        <v>45750</v>
      </c>
      <c r="C1482" t="s">
        <v>114</v>
      </c>
      <c r="D1482" t="s">
        <v>1629</v>
      </c>
      <c r="E1482">
        <v>239.37</v>
      </c>
      <c r="F1482" t="s">
        <v>1578</v>
      </c>
      <c r="G1482" t="s">
        <v>1184</v>
      </c>
    </row>
    <row r="1483" spans="1:7">
      <c r="A1483" t="s">
        <v>3086</v>
      </c>
      <c r="B1483" s="2">
        <v>45750</v>
      </c>
      <c r="C1483" t="s">
        <v>117</v>
      </c>
      <c r="D1483" t="s">
        <v>1629</v>
      </c>
      <c r="E1483">
        <v>238.18</v>
      </c>
      <c r="F1483" t="s">
        <v>1578</v>
      </c>
      <c r="G1483" t="s">
        <v>1184</v>
      </c>
    </row>
    <row r="1484" spans="1:7">
      <c r="A1484" t="s">
        <v>3087</v>
      </c>
      <c r="B1484" s="2">
        <v>45750</v>
      </c>
      <c r="C1484" t="s">
        <v>119</v>
      </c>
      <c r="D1484" t="s">
        <v>1629</v>
      </c>
      <c r="E1484">
        <v>239.37</v>
      </c>
      <c r="F1484" t="s">
        <v>1578</v>
      </c>
      <c r="G1484" t="s">
        <v>1184</v>
      </c>
    </row>
    <row r="1485" spans="1:7">
      <c r="A1485" t="s">
        <v>3088</v>
      </c>
      <c r="B1485" s="2">
        <v>45750</v>
      </c>
      <c r="C1485" t="s">
        <v>70</v>
      </c>
      <c r="D1485" t="s">
        <v>1683</v>
      </c>
      <c r="E1485">
        <v>169</v>
      </c>
      <c r="F1485" t="s">
        <v>1578</v>
      </c>
      <c r="G1485" t="s">
        <v>539</v>
      </c>
    </row>
    <row r="1486" spans="1:7">
      <c r="A1486" t="s">
        <v>3089</v>
      </c>
      <c r="B1486" s="2">
        <v>45751</v>
      </c>
      <c r="C1486" t="s">
        <v>61</v>
      </c>
      <c r="D1486" t="s">
        <v>1629</v>
      </c>
      <c r="E1486">
        <v>258.06</v>
      </c>
      <c r="F1486" t="s">
        <v>1578</v>
      </c>
      <c r="G1486" t="s">
        <v>1185</v>
      </c>
    </row>
    <row r="1487" spans="1:7">
      <c r="A1487" t="s">
        <v>3090</v>
      </c>
      <c r="B1487" s="2">
        <v>45751</v>
      </c>
      <c r="C1487" t="s">
        <v>65</v>
      </c>
      <c r="D1487" t="s">
        <v>1629</v>
      </c>
      <c r="E1487">
        <v>256.79000000000002</v>
      </c>
      <c r="F1487" t="s">
        <v>1578</v>
      </c>
      <c r="G1487" t="s">
        <v>1185</v>
      </c>
    </row>
    <row r="1488" spans="1:7">
      <c r="A1488" t="s">
        <v>3091</v>
      </c>
      <c r="B1488" s="2">
        <v>45751</v>
      </c>
      <c r="C1488" t="s">
        <v>68</v>
      </c>
      <c r="D1488" t="s">
        <v>1629</v>
      </c>
      <c r="E1488">
        <v>258.06</v>
      </c>
      <c r="F1488" t="s">
        <v>1578</v>
      </c>
      <c r="G1488" t="s">
        <v>1185</v>
      </c>
    </row>
    <row r="1489" spans="1:7">
      <c r="A1489" t="s">
        <v>3092</v>
      </c>
      <c r="B1489" s="2">
        <v>45751</v>
      </c>
      <c r="C1489" t="s">
        <v>70</v>
      </c>
      <c r="D1489" t="s">
        <v>1629</v>
      </c>
      <c r="E1489">
        <v>255.53</v>
      </c>
      <c r="F1489" t="s">
        <v>1578</v>
      </c>
      <c r="G1489" t="s">
        <v>1185</v>
      </c>
    </row>
    <row r="1490" spans="1:7">
      <c r="A1490" t="s">
        <v>3093</v>
      </c>
      <c r="B1490" s="2">
        <v>45751</v>
      </c>
      <c r="C1490" t="s">
        <v>75</v>
      </c>
      <c r="D1490" t="s">
        <v>1629</v>
      </c>
      <c r="E1490">
        <v>255.53</v>
      </c>
      <c r="F1490" t="s">
        <v>1578</v>
      </c>
      <c r="G1490" t="s">
        <v>1185</v>
      </c>
    </row>
    <row r="1491" spans="1:7">
      <c r="A1491" t="s">
        <v>3094</v>
      </c>
      <c r="B1491" s="2">
        <v>45751</v>
      </c>
      <c r="C1491" t="s">
        <v>77</v>
      </c>
      <c r="D1491" t="s">
        <v>1629</v>
      </c>
      <c r="E1491">
        <v>255.53</v>
      </c>
      <c r="F1491" t="s">
        <v>1578</v>
      </c>
      <c r="G1491" t="s">
        <v>1185</v>
      </c>
    </row>
    <row r="1492" spans="1:7">
      <c r="A1492" t="s">
        <v>3095</v>
      </c>
      <c r="B1492" s="2">
        <v>45751</v>
      </c>
      <c r="C1492" t="s">
        <v>79</v>
      </c>
      <c r="D1492" t="s">
        <v>1629</v>
      </c>
      <c r="E1492">
        <v>258.06</v>
      </c>
      <c r="F1492" t="s">
        <v>1578</v>
      </c>
      <c r="G1492" t="s">
        <v>1185</v>
      </c>
    </row>
    <row r="1493" spans="1:7">
      <c r="A1493" t="s">
        <v>3096</v>
      </c>
      <c r="B1493" s="2">
        <v>45751</v>
      </c>
      <c r="C1493" t="s">
        <v>81</v>
      </c>
      <c r="D1493" t="s">
        <v>1629</v>
      </c>
      <c r="E1493">
        <v>511.06</v>
      </c>
      <c r="F1493" t="s">
        <v>1578</v>
      </c>
      <c r="G1493" t="s">
        <v>1185</v>
      </c>
    </row>
    <row r="1494" spans="1:7">
      <c r="A1494" t="s">
        <v>3097</v>
      </c>
      <c r="B1494" s="2">
        <v>45751</v>
      </c>
      <c r="C1494" t="s">
        <v>108</v>
      </c>
      <c r="D1494" t="s">
        <v>1629</v>
      </c>
      <c r="E1494">
        <v>513.59</v>
      </c>
      <c r="F1494" t="s">
        <v>1578</v>
      </c>
      <c r="G1494" t="s">
        <v>1185</v>
      </c>
    </row>
    <row r="1495" spans="1:7">
      <c r="A1495" t="s">
        <v>3098</v>
      </c>
      <c r="B1495" s="2">
        <v>45751</v>
      </c>
      <c r="C1495" t="s">
        <v>110</v>
      </c>
      <c r="D1495" t="s">
        <v>1629</v>
      </c>
      <c r="E1495">
        <v>258.06</v>
      </c>
      <c r="F1495" t="s">
        <v>1578</v>
      </c>
      <c r="G1495" t="s">
        <v>1185</v>
      </c>
    </row>
    <row r="1496" spans="1:7">
      <c r="A1496" t="s">
        <v>3099</v>
      </c>
      <c r="B1496" s="2">
        <v>45751</v>
      </c>
      <c r="C1496" t="s">
        <v>114</v>
      </c>
      <c r="D1496" t="s">
        <v>1629</v>
      </c>
      <c r="E1496">
        <v>255.53</v>
      </c>
      <c r="F1496" t="s">
        <v>1578</v>
      </c>
      <c r="G1496" t="s">
        <v>1185</v>
      </c>
    </row>
    <row r="1497" spans="1:7">
      <c r="A1497" t="s">
        <v>3100</v>
      </c>
      <c r="B1497" s="2">
        <v>45751</v>
      </c>
      <c r="C1497" t="s">
        <v>117</v>
      </c>
      <c r="D1497" t="s">
        <v>1629</v>
      </c>
      <c r="E1497">
        <v>254.26</v>
      </c>
      <c r="F1497" t="s">
        <v>1578</v>
      </c>
      <c r="G1497" t="s">
        <v>1185</v>
      </c>
    </row>
    <row r="1498" spans="1:7">
      <c r="A1498" t="s">
        <v>3101</v>
      </c>
      <c r="B1498" s="2">
        <v>45751</v>
      </c>
      <c r="C1498" t="s">
        <v>119</v>
      </c>
      <c r="D1498" t="s">
        <v>1629</v>
      </c>
      <c r="E1498">
        <v>255.53</v>
      </c>
      <c r="F1498" t="s">
        <v>1578</v>
      </c>
      <c r="G1498" t="s">
        <v>1185</v>
      </c>
    </row>
    <row r="1499" spans="1:7">
      <c r="A1499" t="s">
        <v>3102</v>
      </c>
      <c r="B1499" s="2">
        <v>45751</v>
      </c>
      <c r="C1499" t="s">
        <v>61</v>
      </c>
      <c r="D1499" t="s">
        <v>1629</v>
      </c>
      <c r="E1499">
        <v>460.02</v>
      </c>
      <c r="F1499" t="s">
        <v>1578</v>
      </c>
      <c r="G1499" t="s">
        <v>1186</v>
      </c>
    </row>
    <row r="1500" spans="1:7">
      <c r="A1500" t="s">
        <v>3103</v>
      </c>
      <c r="B1500" s="2">
        <v>45751</v>
      </c>
      <c r="C1500" t="s">
        <v>65</v>
      </c>
      <c r="D1500" t="s">
        <v>1629</v>
      </c>
      <c r="E1500">
        <v>457.76</v>
      </c>
      <c r="F1500" t="s">
        <v>1578</v>
      </c>
      <c r="G1500" t="s">
        <v>1186</v>
      </c>
    </row>
    <row r="1501" spans="1:7">
      <c r="A1501" t="s">
        <v>3104</v>
      </c>
      <c r="B1501" s="2">
        <v>45751</v>
      </c>
      <c r="C1501" t="s">
        <v>68</v>
      </c>
      <c r="D1501" t="s">
        <v>1629</v>
      </c>
      <c r="E1501">
        <v>460.02</v>
      </c>
      <c r="F1501" t="s">
        <v>1578</v>
      </c>
      <c r="G1501" t="s">
        <v>1186</v>
      </c>
    </row>
    <row r="1502" spans="1:7">
      <c r="A1502" t="s">
        <v>3105</v>
      </c>
      <c r="B1502" s="2">
        <v>45751</v>
      </c>
      <c r="C1502" t="s">
        <v>75</v>
      </c>
      <c r="D1502" t="s">
        <v>1629</v>
      </c>
      <c r="E1502">
        <v>455.51</v>
      </c>
      <c r="F1502" t="s">
        <v>1578</v>
      </c>
      <c r="G1502" t="s">
        <v>1186</v>
      </c>
    </row>
    <row r="1503" spans="1:7">
      <c r="A1503" t="s">
        <v>3106</v>
      </c>
      <c r="B1503" s="2">
        <v>45751</v>
      </c>
      <c r="C1503" t="s">
        <v>79</v>
      </c>
      <c r="D1503" t="s">
        <v>1629</v>
      </c>
      <c r="E1503">
        <v>460.02</v>
      </c>
      <c r="F1503" t="s">
        <v>1578</v>
      </c>
      <c r="G1503" t="s">
        <v>1186</v>
      </c>
    </row>
    <row r="1504" spans="1:7">
      <c r="A1504" t="s">
        <v>3107</v>
      </c>
      <c r="B1504" s="2">
        <v>45751</v>
      </c>
      <c r="C1504" t="s">
        <v>81</v>
      </c>
      <c r="D1504" t="s">
        <v>1629</v>
      </c>
      <c r="E1504">
        <v>911.02</v>
      </c>
      <c r="F1504" t="s">
        <v>1578</v>
      </c>
      <c r="G1504" t="s">
        <v>1186</v>
      </c>
    </row>
    <row r="1505" spans="1:7">
      <c r="A1505" t="s">
        <v>3108</v>
      </c>
      <c r="B1505" s="2">
        <v>45751</v>
      </c>
      <c r="C1505" t="s">
        <v>110</v>
      </c>
      <c r="D1505" t="s">
        <v>1629</v>
      </c>
      <c r="E1505">
        <v>460.02</v>
      </c>
      <c r="F1505" t="s">
        <v>1578</v>
      </c>
      <c r="G1505" t="s">
        <v>1186</v>
      </c>
    </row>
    <row r="1506" spans="1:7">
      <c r="A1506" t="s">
        <v>3109</v>
      </c>
      <c r="B1506" s="2">
        <v>45751</v>
      </c>
      <c r="C1506" t="s">
        <v>114</v>
      </c>
      <c r="D1506" t="s">
        <v>1629</v>
      </c>
      <c r="E1506">
        <v>455.51</v>
      </c>
      <c r="F1506" t="s">
        <v>1578</v>
      </c>
      <c r="G1506" t="s">
        <v>1186</v>
      </c>
    </row>
    <row r="1507" spans="1:7">
      <c r="A1507" t="s">
        <v>3110</v>
      </c>
      <c r="B1507" s="2">
        <v>45751</v>
      </c>
      <c r="C1507" t="s">
        <v>117</v>
      </c>
      <c r="D1507" t="s">
        <v>1629</v>
      </c>
      <c r="E1507">
        <v>453.25</v>
      </c>
      <c r="F1507" t="s">
        <v>1578</v>
      </c>
      <c r="G1507" t="s">
        <v>1186</v>
      </c>
    </row>
    <row r="1508" spans="1:7">
      <c r="A1508" t="s">
        <v>3111</v>
      </c>
      <c r="B1508" s="2">
        <v>45751</v>
      </c>
      <c r="C1508" t="s">
        <v>119</v>
      </c>
      <c r="D1508" t="s">
        <v>1629</v>
      </c>
      <c r="E1508">
        <v>455.51</v>
      </c>
      <c r="F1508" t="s">
        <v>1578</v>
      </c>
      <c r="G1508" t="s">
        <v>1186</v>
      </c>
    </row>
    <row r="1509" spans="1:7">
      <c r="A1509" t="s">
        <v>3112</v>
      </c>
      <c r="B1509" s="2">
        <v>45751</v>
      </c>
      <c r="C1509" t="s">
        <v>117</v>
      </c>
      <c r="D1509" t="s">
        <v>1683</v>
      </c>
      <c r="E1509">
        <v>180</v>
      </c>
      <c r="F1509" t="s">
        <v>1578</v>
      </c>
      <c r="G1509" t="s">
        <v>540</v>
      </c>
    </row>
    <row r="1510" spans="1:7">
      <c r="A1510" t="s">
        <v>3113</v>
      </c>
      <c r="B1510" s="2">
        <v>45751</v>
      </c>
      <c r="C1510" t="s">
        <v>70</v>
      </c>
      <c r="D1510" t="s">
        <v>1683</v>
      </c>
      <c r="E1510">
        <v>203</v>
      </c>
      <c r="F1510" t="s">
        <v>1578</v>
      </c>
      <c r="G1510" t="s">
        <v>541</v>
      </c>
    </row>
    <row r="1511" spans="1:7">
      <c r="A1511" t="s">
        <v>3114</v>
      </c>
      <c r="B1511" s="2">
        <v>45752</v>
      </c>
      <c r="C1511" t="s">
        <v>61</v>
      </c>
      <c r="D1511" t="s">
        <v>1629</v>
      </c>
      <c r="E1511">
        <v>423.3</v>
      </c>
      <c r="F1511" t="s">
        <v>1578</v>
      </c>
      <c r="G1511" t="s">
        <v>1187</v>
      </c>
    </row>
    <row r="1512" spans="1:7">
      <c r="A1512" t="s">
        <v>3115</v>
      </c>
      <c r="B1512" s="2">
        <v>45752</v>
      </c>
      <c r="C1512" t="s">
        <v>65</v>
      </c>
      <c r="D1512" t="s">
        <v>1629</v>
      </c>
      <c r="E1512">
        <v>421.22</v>
      </c>
      <c r="F1512" t="s">
        <v>1578</v>
      </c>
      <c r="G1512" t="s">
        <v>1187</v>
      </c>
    </row>
    <row r="1513" spans="1:7">
      <c r="A1513" t="s">
        <v>3116</v>
      </c>
      <c r="B1513" s="2">
        <v>45752</v>
      </c>
      <c r="C1513" t="s">
        <v>68</v>
      </c>
      <c r="D1513" t="s">
        <v>1629</v>
      </c>
      <c r="E1513">
        <v>423.3</v>
      </c>
      <c r="F1513" t="s">
        <v>1578</v>
      </c>
      <c r="G1513" t="s">
        <v>1187</v>
      </c>
    </row>
    <row r="1514" spans="1:7">
      <c r="A1514" t="s">
        <v>3117</v>
      </c>
      <c r="B1514" s="2">
        <v>45752</v>
      </c>
      <c r="C1514" t="s">
        <v>70</v>
      </c>
      <c r="D1514" t="s">
        <v>1629</v>
      </c>
      <c r="E1514">
        <v>419.15</v>
      </c>
      <c r="F1514" t="s">
        <v>1578</v>
      </c>
      <c r="G1514" t="s">
        <v>1187</v>
      </c>
    </row>
    <row r="1515" spans="1:7">
      <c r="A1515" t="s">
        <v>3118</v>
      </c>
      <c r="B1515" s="2">
        <v>45752</v>
      </c>
      <c r="C1515" t="s">
        <v>75</v>
      </c>
      <c r="D1515" t="s">
        <v>1629</v>
      </c>
      <c r="E1515">
        <v>419.15</v>
      </c>
      <c r="F1515" t="s">
        <v>1578</v>
      </c>
      <c r="G1515" t="s">
        <v>1187</v>
      </c>
    </row>
    <row r="1516" spans="1:7">
      <c r="A1516" t="s">
        <v>3119</v>
      </c>
      <c r="B1516" s="2">
        <v>45752</v>
      </c>
      <c r="C1516" t="s">
        <v>77</v>
      </c>
      <c r="D1516" t="s">
        <v>1629</v>
      </c>
      <c r="E1516">
        <v>419.15</v>
      </c>
      <c r="F1516" t="s">
        <v>1578</v>
      </c>
      <c r="G1516" t="s">
        <v>1187</v>
      </c>
    </row>
    <row r="1517" spans="1:7">
      <c r="A1517" t="s">
        <v>3120</v>
      </c>
      <c r="B1517" s="2">
        <v>45752</v>
      </c>
      <c r="C1517" t="s">
        <v>79</v>
      </c>
      <c r="D1517" t="s">
        <v>1629</v>
      </c>
      <c r="E1517">
        <v>423.3</v>
      </c>
      <c r="F1517" t="s">
        <v>1578</v>
      </c>
      <c r="G1517" t="s">
        <v>1187</v>
      </c>
    </row>
    <row r="1518" spans="1:7">
      <c r="A1518" t="s">
        <v>3121</v>
      </c>
      <c r="B1518" s="2">
        <v>45752</v>
      </c>
      <c r="C1518" t="s">
        <v>81</v>
      </c>
      <c r="D1518" t="s">
        <v>1629</v>
      </c>
      <c r="E1518">
        <v>838.3</v>
      </c>
      <c r="F1518" t="s">
        <v>1578</v>
      </c>
      <c r="G1518" t="s">
        <v>1187</v>
      </c>
    </row>
    <row r="1519" spans="1:7">
      <c r="A1519" t="s">
        <v>3122</v>
      </c>
      <c r="B1519" s="2">
        <v>45752</v>
      </c>
      <c r="C1519" t="s">
        <v>110</v>
      </c>
      <c r="D1519" t="s">
        <v>1629</v>
      </c>
      <c r="E1519">
        <v>423.3</v>
      </c>
      <c r="F1519" t="s">
        <v>1578</v>
      </c>
      <c r="G1519" t="s">
        <v>1187</v>
      </c>
    </row>
    <row r="1520" spans="1:7">
      <c r="A1520" t="s">
        <v>3123</v>
      </c>
      <c r="B1520" s="2">
        <v>45752</v>
      </c>
      <c r="C1520" t="s">
        <v>114</v>
      </c>
      <c r="D1520" t="s">
        <v>1629</v>
      </c>
      <c r="E1520">
        <v>419.15</v>
      </c>
      <c r="F1520" t="s">
        <v>1578</v>
      </c>
      <c r="G1520" t="s">
        <v>1187</v>
      </c>
    </row>
    <row r="1521" spans="1:7">
      <c r="A1521" t="s">
        <v>3124</v>
      </c>
      <c r="B1521" s="2">
        <v>45752</v>
      </c>
      <c r="C1521" t="s">
        <v>117</v>
      </c>
      <c r="D1521" t="s">
        <v>1629</v>
      </c>
      <c r="E1521">
        <v>417.07</v>
      </c>
      <c r="F1521" t="s">
        <v>1578</v>
      </c>
      <c r="G1521" t="s">
        <v>1187</v>
      </c>
    </row>
    <row r="1522" spans="1:7">
      <c r="A1522" t="s">
        <v>3125</v>
      </c>
      <c r="B1522" s="2">
        <v>45752</v>
      </c>
      <c r="C1522" t="s">
        <v>119</v>
      </c>
      <c r="D1522" t="s">
        <v>1629</v>
      </c>
      <c r="E1522">
        <v>419.15</v>
      </c>
      <c r="F1522" t="s">
        <v>1578</v>
      </c>
      <c r="G1522" t="s">
        <v>1187</v>
      </c>
    </row>
    <row r="1523" spans="1:7">
      <c r="A1523" t="s">
        <v>3126</v>
      </c>
      <c r="B1523" s="2">
        <v>45752</v>
      </c>
      <c r="C1523" t="s">
        <v>91</v>
      </c>
      <c r="D1523" t="s">
        <v>1683</v>
      </c>
      <c r="E1523">
        <v>234</v>
      </c>
      <c r="F1523" t="s">
        <v>1578</v>
      </c>
      <c r="G1523" t="s">
        <v>542</v>
      </c>
    </row>
    <row r="1524" spans="1:7">
      <c r="A1524" t="s">
        <v>3127</v>
      </c>
      <c r="B1524" s="2">
        <v>45754</v>
      </c>
      <c r="C1524" t="s">
        <v>119</v>
      </c>
      <c r="D1524" t="s">
        <v>1683</v>
      </c>
      <c r="E1524">
        <v>306</v>
      </c>
      <c r="F1524" t="s">
        <v>1578</v>
      </c>
      <c r="G1524" t="s">
        <v>543</v>
      </c>
    </row>
    <row r="1525" spans="1:7">
      <c r="A1525" t="s">
        <v>3128</v>
      </c>
      <c r="B1525" s="2">
        <v>45754</v>
      </c>
      <c r="C1525" t="s">
        <v>70</v>
      </c>
      <c r="D1525" t="s">
        <v>1683</v>
      </c>
      <c r="E1525">
        <v>298</v>
      </c>
      <c r="F1525" t="s">
        <v>1578</v>
      </c>
      <c r="G1525" t="s">
        <v>544</v>
      </c>
    </row>
    <row r="1526" spans="1:7">
      <c r="A1526" t="s">
        <v>3129</v>
      </c>
      <c r="B1526" s="2">
        <v>45755</v>
      </c>
      <c r="C1526" t="s">
        <v>75</v>
      </c>
      <c r="D1526" t="s">
        <v>1629</v>
      </c>
      <c r="E1526">
        <v>291.89</v>
      </c>
      <c r="F1526" t="s">
        <v>1578</v>
      </c>
      <c r="G1526" t="s">
        <v>1188</v>
      </c>
    </row>
    <row r="1527" spans="1:7">
      <c r="A1527" t="s">
        <v>3130</v>
      </c>
      <c r="B1527" s="2">
        <v>45755</v>
      </c>
      <c r="C1527" t="s">
        <v>106</v>
      </c>
      <c r="D1527" t="s">
        <v>1629</v>
      </c>
      <c r="E1527">
        <v>297.67</v>
      </c>
      <c r="F1527" t="s">
        <v>1578</v>
      </c>
      <c r="G1527" t="s">
        <v>1188</v>
      </c>
    </row>
    <row r="1528" spans="1:7">
      <c r="A1528" t="s">
        <v>3131</v>
      </c>
      <c r="B1528" s="2">
        <v>45755</v>
      </c>
      <c r="C1528" t="s">
        <v>108</v>
      </c>
      <c r="D1528" t="s">
        <v>1629</v>
      </c>
      <c r="E1528">
        <v>586.66999999999996</v>
      </c>
      <c r="F1528" t="s">
        <v>1578</v>
      </c>
      <c r="G1528" t="s">
        <v>1188</v>
      </c>
    </row>
    <row r="1529" spans="1:7">
      <c r="A1529" t="s">
        <v>3132</v>
      </c>
      <c r="B1529" s="2">
        <v>45755</v>
      </c>
      <c r="C1529" t="s">
        <v>110</v>
      </c>
      <c r="D1529" t="s">
        <v>1629</v>
      </c>
      <c r="E1529">
        <v>294.77999999999997</v>
      </c>
      <c r="F1529" t="s">
        <v>1578</v>
      </c>
      <c r="G1529" t="s">
        <v>1188</v>
      </c>
    </row>
    <row r="1530" spans="1:7">
      <c r="A1530" t="s">
        <v>3133</v>
      </c>
      <c r="B1530" s="2">
        <v>45755</v>
      </c>
      <c r="C1530" t="s">
        <v>114</v>
      </c>
      <c r="D1530" t="s">
        <v>1629</v>
      </c>
      <c r="E1530">
        <v>291.89</v>
      </c>
      <c r="F1530" t="s">
        <v>1578</v>
      </c>
      <c r="G1530" t="s">
        <v>1188</v>
      </c>
    </row>
    <row r="1531" spans="1:7">
      <c r="A1531" t="s">
        <v>3134</v>
      </c>
      <c r="B1531" s="2">
        <v>45755</v>
      </c>
      <c r="C1531" t="s">
        <v>117</v>
      </c>
      <c r="D1531" t="s">
        <v>1629</v>
      </c>
      <c r="E1531">
        <v>290.44</v>
      </c>
      <c r="F1531" t="s">
        <v>1578</v>
      </c>
      <c r="G1531" t="s">
        <v>1188</v>
      </c>
    </row>
    <row r="1532" spans="1:7">
      <c r="A1532" t="s">
        <v>3135</v>
      </c>
      <c r="B1532" s="2">
        <v>45755</v>
      </c>
      <c r="C1532" t="s">
        <v>119</v>
      </c>
      <c r="D1532" t="s">
        <v>1629</v>
      </c>
      <c r="E1532">
        <v>291.89</v>
      </c>
      <c r="F1532" t="s">
        <v>1578</v>
      </c>
      <c r="G1532" t="s">
        <v>1188</v>
      </c>
    </row>
    <row r="1533" spans="1:7">
      <c r="A1533" t="s">
        <v>3136</v>
      </c>
      <c r="B1533" s="2">
        <v>45755</v>
      </c>
      <c r="C1533" t="s">
        <v>104</v>
      </c>
      <c r="D1533" t="s">
        <v>1683</v>
      </c>
      <c r="E1533">
        <v>896</v>
      </c>
      <c r="F1533" t="s">
        <v>1578</v>
      </c>
      <c r="G1533" t="s">
        <v>545</v>
      </c>
    </row>
    <row r="1534" spans="1:7">
      <c r="A1534" t="s">
        <v>3137</v>
      </c>
      <c r="B1534" s="2">
        <v>45756</v>
      </c>
      <c r="C1534" t="s">
        <v>106</v>
      </c>
      <c r="D1534" t="s">
        <v>1683</v>
      </c>
      <c r="E1534">
        <v>307</v>
      </c>
      <c r="F1534" t="s">
        <v>1578</v>
      </c>
      <c r="G1534" t="s">
        <v>546</v>
      </c>
    </row>
    <row r="1535" spans="1:7">
      <c r="A1535" t="s">
        <v>3138</v>
      </c>
      <c r="B1535" s="2">
        <v>45756</v>
      </c>
      <c r="C1535" t="s">
        <v>73</v>
      </c>
      <c r="D1535" t="s">
        <v>1683</v>
      </c>
      <c r="E1535">
        <v>161</v>
      </c>
      <c r="F1535" t="s">
        <v>1578</v>
      </c>
      <c r="G1535" t="s">
        <v>547</v>
      </c>
    </row>
    <row r="1536" spans="1:7">
      <c r="A1536" t="s">
        <v>3139</v>
      </c>
      <c r="B1536" s="2">
        <v>45757</v>
      </c>
      <c r="C1536" t="s">
        <v>75</v>
      </c>
      <c r="D1536" t="s">
        <v>1629</v>
      </c>
      <c r="E1536">
        <v>277.75</v>
      </c>
      <c r="F1536" t="s">
        <v>1578</v>
      </c>
      <c r="G1536" t="s">
        <v>1189</v>
      </c>
    </row>
    <row r="1537" spans="1:7">
      <c r="A1537" t="s">
        <v>3140</v>
      </c>
      <c r="B1537" s="2">
        <v>45757</v>
      </c>
      <c r="C1537" t="s">
        <v>106</v>
      </c>
      <c r="D1537" t="s">
        <v>1629</v>
      </c>
      <c r="E1537">
        <v>283.25</v>
      </c>
      <c r="F1537" t="s">
        <v>1578</v>
      </c>
      <c r="G1537" t="s">
        <v>1189</v>
      </c>
    </row>
    <row r="1538" spans="1:7">
      <c r="A1538" t="s">
        <v>3141</v>
      </c>
      <c r="B1538" s="2">
        <v>45757</v>
      </c>
      <c r="C1538" t="s">
        <v>108</v>
      </c>
      <c r="D1538" t="s">
        <v>1629</v>
      </c>
      <c r="E1538">
        <v>558.25</v>
      </c>
      <c r="F1538" t="s">
        <v>1578</v>
      </c>
      <c r="G1538" t="s">
        <v>1189</v>
      </c>
    </row>
    <row r="1539" spans="1:7">
      <c r="A1539" t="s">
        <v>3142</v>
      </c>
      <c r="B1539" s="2">
        <v>45757</v>
      </c>
      <c r="C1539" t="s">
        <v>110</v>
      </c>
      <c r="D1539" t="s">
        <v>1629</v>
      </c>
      <c r="E1539">
        <v>280.5</v>
      </c>
      <c r="F1539" t="s">
        <v>1578</v>
      </c>
      <c r="G1539" t="s">
        <v>1189</v>
      </c>
    </row>
    <row r="1540" spans="1:7">
      <c r="A1540" t="s">
        <v>3143</v>
      </c>
      <c r="B1540" s="2">
        <v>45757</v>
      </c>
      <c r="C1540" t="s">
        <v>114</v>
      </c>
      <c r="D1540" t="s">
        <v>1629</v>
      </c>
      <c r="E1540">
        <v>277.75</v>
      </c>
      <c r="F1540" t="s">
        <v>1578</v>
      </c>
      <c r="G1540" t="s">
        <v>1189</v>
      </c>
    </row>
    <row r="1541" spans="1:7">
      <c r="A1541" t="s">
        <v>3144</v>
      </c>
      <c r="B1541" s="2">
        <v>45757</v>
      </c>
      <c r="C1541" t="s">
        <v>117</v>
      </c>
      <c r="D1541" t="s">
        <v>1629</v>
      </c>
      <c r="E1541">
        <v>276.37</v>
      </c>
      <c r="F1541" t="s">
        <v>1578</v>
      </c>
      <c r="G1541" t="s">
        <v>1189</v>
      </c>
    </row>
    <row r="1542" spans="1:7">
      <c r="A1542" t="s">
        <v>3145</v>
      </c>
      <c r="B1542" s="2">
        <v>45757</v>
      </c>
      <c r="C1542" t="s">
        <v>119</v>
      </c>
      <c r="D1542" t="s">
        <v>1629</v>
      </c>
      <c r="E1542">
        <v>277.75</v>
      </c>
      <c r="F1542" t="s">
        <v>1578</v>
      </c>
      <c r="G1542" t="s">
        <v>1189</v>
      </c>
    </row>
    <row r="1543" spans="1:7">
      <c r="A1543" t="s">
        <v>3146</v>
      </c>
      <c r="B1543" s="2">
        <v>45757</v>
      </c>
      <c r="C1543" t="s">
        <v>108</v>
      </c>
      <c r="D1543" t="s">
        <v>1683</v>
      </c>
      <c r="E1543">
        <v>619</v>
      </c>
      <c r="F1543" t="s">
        <v>1578</v>
      </c>
      <c r="G1543" t="s">
        <v>548</v>
      </c>
    </row>
    <row r="1544" spans="1:7">
      <c r="A1544" t="s">
        <v>3147</v>
      </c>
      <c r="B1544" s="2">
        <v>45757</v>
      </c>
      <c r="C1544" t="s">
        <v>119</v>
      </c>
      <c r="D1544" t="s">
        <v>1683</v>
      </c>
      <c r="E1544">
        <v>110</v>
      </c>
      <c r="F1544" t="s">
        <v>1578</v>
      </c>
      <c r="G1544" t="s">
        <v>549</v>
      </c>
    </row>
    <row r="1545" spans="1:7">
      <c r="A1545" t="s">
        <v>3148</v>
      </c>
      <c r="B1545" s="2">
        <v>45757</v>
      </c>
      <c r="C1545" t="s">
        <v>68</v>
      </c>
      <c r="D1545" t="s">
        <v>1683</v>
      </c>
      <c r="E1545">
        <v>311</v>
      </c>
      <c r="F1545" t="s">
        <v>1578</v>
      </c>
      <c r="G1545" t="s">
        <v>550</v>
      </c>
    </row>
    <row r="1546" spans="1:7">
      <c r="A1546" t="s">
        <v>3149</v>
      </c>
      <c r="B1546" s="2">
        <v>45758</v>
      </c>
      <c r="C1546" t="s">
        <v>75</v>
      </c>
      <c r="D1546" t="s">
        <v>1629</v>
      </c>
      <c r="E1546">
        <v>149.47999999999999</v>
      </c>
      <c r="F1546" t="s">
        <v>1578</v>
      </c>
      <c r="G1546" t="s">
        <v>1190</v>
      </c>
    </row>
    <row r="1547" spans="1:7">
      <c r="A1547" t="s">
        <v>3150</v>
      </c>
      <c r="B1547" s="2">
        <v>45758</v>
      </c>
      <c r="C1547" t="s">
        <v>104</v>
      </c>
      <c r="D1547" t="s">
        <v>1629</v>
      </c>
      <c r="E1547">
        <v>304.88</v>
      </c>
      <c r="F1547" t="s">
        <v>1578</v>
      </c>
      <c r="G1547" t="s">
        <v>1190</v>
      </c>
    </row>
    <row r="1548" spans="1:7">
      <c r="A1548" t="s">
        <v>3151</v>
      </c>
      <c r="B1548" s="2">
        <v>45758</v>
      </c>
      <c r="C1548" t="s">
        <v>108</v>
      </c>
      <c r="D1548" t="s">
        <v>1629</v>
      </c>
      <c r="E1548">
        <v>300.44</v>
      </c>
      <c r="F1548" t="s">
        <v>1578</v>
      </c>
      <c r="G1548" t="s">
        <v>1190</v>
      </c>
    </row>
    <row r="1549" spans="1:7">
      <c r="A1549" t="s">
        <v>3152</v>
      </c>
      <c r="B1549" s="2">
        <v>45758</v>
      </c>
      <c r="C1549" t="s">
        <v>110</v>
      </c>
      <c r="D1549" t="s">
        <v>1629</v>
      </c>
      <c r="E1549">
        <v>150.96</v>
      </c>
      <c r="F1549" t="s">
        <v>1578</v>
      </c>
      <c r="G1549" t="s">
        <v>1190</v>
      </c>
    </row>
    <row r="1550" spans="1:7">
      <c r="A1550" t="s">
        <v>3153</v>
      </c>
      <c r="B1550" s="2">
        <v>45758</v>
      </c>
      <c r="C1550" t="s">
        <v>114</v>
      </c>
      <c r="D1550" t="s">
        <v>1629</v>
      </c>
      <c r="E1550">
        <v>149.47999999999999</v>
      </c>
      <c r="F1550" t="s">
        <v>1578</v>
      </c>
      <c r="G1550" t="s">
        <v>1190</v>
      </c>
    </row>
    <row r="1551" spans="1:7">
      <c r="A1551" t="s">
        <v>3154</v>
      </c>
      <c r="B1551" s="2">
        <v>45758</v>
      </c>
      <c r="C1551" t="s">
        <v>117</v>
      </c>
      <c r="D1551" t="s">
        <v>1629</v>
      </c>
      <c r="E1551">
        <v>148.74</v>
      </c>
      <c r="F1551" t="s">
        <v>1578</v>
      </c>
      <c r="G1551" t="s">
        <v>1190</v>
      </c>
    </row>
    <row r="1552" spans="1:7">
      <c r="A1552" t="s">
        <v>3155</v>
      </c>
      <c r="B1552" s="2">
        <v>45758</v>
      </c>
      <c r="C1552" t="s">
        <v>119</v>
      </c>
      <c r="D1552" t="s">
        <v>1629</v>
      </c>
      <c r="E1552">
        <v>149.47999999999999</v>
      </c>
      <c r="F1552" t="s">
        <v>1578</v>
      </c>
      <c r="G1552" t="s">
        <v>1190</v>
      </c>
    </row>
    <row r="1553" spans="1:7">
      <c r="A1553" t="s">
        <v>3156</v>
      </c>
      <c r="B1553" s="2">
        <v>45758</v>
      </c>
      <c r="C1553" t="s">
        <v>87</v>
      </c>
      <c r="D1553" t="s">
        <v>1683</v>
      </c>
      <c r="E1553">
        <v>337</v>
      </c>
      <c r="F1553" t="s">
        <v>1578</v>
      </c>
      <c r="G1553" t="s">
        <v>551</v>
      </c>
    </row>
    <row r="1554" spans="1:7">
      <c r="A1554" t="s">
        <v>3157</v>
      </c>
      <c r="B1554" s="2">
        <v>45758</v>
      </c>
      <c r="C1554" t="s">
        <v>110</v>
      </c>
      <c r="D1554" t="s">
        <v>1683</v>
      </c>
      <c r="E1554">
        <v>230</v>
      </c>
      <c r="F1554" t="s">
        <v>1578</v>
      </c>
      <c r="G1554" t="s">
        <v>552</v>
      </c>
    </row>
    <row r="1555" spans="1:7">
      <c r="A1555" t="s">
        <v>3158</v>
      </c>
      <c r="B1555" s="2">
        <v>45759</v>
      </c>
      <c r="C1555" t="s">
        <v>75</v>
      </c>
      <c r="D1555" t="s">
        <v>1629</v>
      </c>
      <c r="E1555">
        <v>457.53</v>
      </c>
      <c r="F1555" t="s">
        <v>1578</v>
      </c>
      <c r="G1555" t="s">
        <v>1191</v>
      </c>
    </row>
    <row r="1556" spans="1:7">
      <c r="A1556" t="s">
        <v>3159</v>
      </c>
      <c r="B1556" s="2">
        <v>45759</v>
      </c>
      <c r="C1556" t="s">
        <v>91</v>
      </c>
      <c r="D1556" t="s">
        <v>1629</v>
      </c>
      <c r="E1556">
        <v>464.32</v>
      </c>
      <c r="F1556" t="s">
        <v>1578</v>
      </c>
      <c r="G1556" t="s">
        <v>1191</v>
      </c>
    </row>
    <row r="1557" spans="1:7">
      <c r="A1557" t="s">
        <v>3160</v>
      </c>
      <c r="B1557" s="2">
        <v>45759</v>
      </c>
      <c r="C1557" t="s">
        <v>93</v>
      </c>
      <c r="D1557" t="s">
        <v>1629</v>
      </c>
      <c r="E1557">
        <v>462.06</v>
      </c>
      <c r="F1557" t="s">
        <v>1578</v>
      </c>
      <c r="G1557" t="s">
        <v>1191</v>
      </c>
    </row>
    <row r="1558" spans="1:7">
      <c r="A1558" t="s">
        <v>3161</v>
      </c>
      <c r="B1558" s="2">
        <v>45759</v>
      </c>
      <c r="C1558" t="s">
        <v>95</v>
      </c>
      <c r="D1558" t="s">
        <v>1629</v>
      </c>
      <c r="E1558">
        <v>459.79</v>
      </c>
      <c r="F1558" t="s">
        <v>1578</v>
      </c>
      <c r="G1558" t="s">
        <v>1191</v>
      </c>
    </row>
    <row r="1559" spans="1:7">
      <c r="A1559" t="s">
        <v>3162</v>
      </c>
      <c r="B1559" s="2">
        <v>45759</v>
      </c>
      <c r="C1559" t="s">
        <v>97</v>
      </c>
      <c r="D1559" t="s">
        <v>1629</v>
      </c>
      <c r="E1559">
        <v>457.53</v>
      </c>
      <c r="F1559" t="s">
        <v>1578</v>
      </c>
      <c r="G1559" t="s">
        <v>1191</v>
      </c>
    </row>
    <row r="1560" spans="1:7">
      <c r="A1560" t="s">
        <v>3163</v>
      </c>
      <c r="B1560" s="2">
        <v>45759</v>
      </c>
      <c r="C1560" t="s">
        <v>99</v>
      </c>
      <c r="D1560" t="s">
        <v>1629</v>
      </c>
      <c r="E1560">
        <v>559.91</v>
      </c>
      <c r="F1560" t="s">
        <v>1578</v>
      </c>
      <c r="G1560" t="s">
        <v>1191</v>
      </c>
    </row>
    <row r="1561" spans="1:7">
      <c r="A1561" t="s">
        <v>3164</v>
      </c>
      <c r="B1561" s="2">
        <v>45759</v>
      </c>
      <c r="C1561" t="s">
        <v>102</v>
      </c>
      <c r="D1561" t="s">
        <v>1629</v>
      </c>
      <c r="E1561">
        <v>462.06</v>
      </c>
      <c r="F1561" t="s">
        <v>1578</v>
      </c>
      <c r="G1561" t="s">
        <v>1191</v>
      </c>
    </row>
    <row r="1562" spans="1:7">
      <c r="A1562" t="s">
        <v>3165</v>
      </c>
      <c r="B1562" s="2">
        <v>45759</v>
      </c>
      <c r="C1562" t="s">
        <v>108</v>
      </c>
      <c r="D1562" t="s">
        <v>1629</v>
      </c>
      <c r="E1562">
        <v>919.59</v>
      </c>
      <c r="F1562" t="s">
        <v>1578</v>
      </c>
      <c r="G1562" t="s">
        <v>1191</v>
      </c>
    </row>
    <row r="1563" spans="1:7">
      <c r="A1563" t="s">
        <v>3166</v>
      </c>
      <c r="B1563" s="2">
        <v>45759</v>
      </c>
      <c r="C1563" t="s">
        <v>110</v>
      </c>
      <c r="D1563" t="s">
        <v>1629</v>
      </c>
      <c r="E1563">
        <v>462.06</v>
      </c>
      <c r="F1563" t="s">
        <v>1578</v>
      </c>
      <c r="G1563" t="s">
        <v>1191</v>
      </c>
    </row>
    <row r="1564" spans="1:7">
      <c r="A1564" t="s">
        <v>3167</v>
      </c>
      <c r="B1564" s="2">
        <v>45759</v>
      </c>
      <c r="C1564" t="s">
        <v>114</v>
      </c>
      <c r="D1564" t="s">
        <v>1629</v>
      </c>
      <c r="E1564">
        <v>457.53</v>
      </c>
      <c r="F1564" t="s">
        <v>1578</v>
      </c>
      <c r="G1564" t="s">
        <v>1191</v>
      </c>
    </row>
    <row r="1565" spans="1:7">
      <c r="A1565" t="s">
        <v>3168</v>
      </c>
      <c r="B1565" s="2">
        <v>45759</v>
      </c>
      <c r="C1565" t="s">
        <v>117</v>
      </c>
      <c r="D1565" t="s">
        <v>1629</v>
      </c>
      <c r="E1565">
        <v>455.26</v>
      </c>
      <c r="F1565" t="s">
        <v>1578</v>
      </c>
      <c r="G1565" t="s">
        <v>1191</v>
      </c>
    </row>
    <row r="1566" spans="1:7">
      <c r="A1566" t="s">
        <v>3169</v>
      </c>
      <c r="B1566" s="2">
        <v>45759</v>
      </c>
      <c r="C1566" t="s">
        <v>119</v>
      </c>
      <c r="D1566" t="s">
        <v>1629</v>
      </c>
      <c r="E1566">
        <v>457.53</v>
      </c>
      <c r="F1566" t="s">
        <v>1578</v>
      </c>
      <c r="G1566" t="s">
        <v>1191</v>
      </c>
    </row>
    <row r="1567" spans="1:7">
      <c r="A1567" t="s">
        <v>3170</v>
      </c>
      <c r="B1567" s="2">
        <v>45759</v>
      </c>
      <c r="C1567" t="s">
        <v>110</v>
      </c>
      <c r="D1567" t="s">
        <v>1683</v>
      </c>
      <c r="E1567">
        <v>113</v>
      </c>
      <c r="F1567" t="s">
        <v>1578</v>
      </c>
      <c r="G1567" t="s">
        <v>553</v>
      </c>
    </row>
    <row r="1568" spans="1:7">
      <c r="A1568" t="s">
        <v>3171</v>
      </c>
      <c r="B1568" s="2">
        <v>45760</v>
      </c>
      <c r="C1568" t="s">
        <v>61</v>
      </c>
      <c r="D1568" t="s">
        <v>1629</v>
      </c>
      <c r="E1568">
        <v>427.38</v>
      </c>
      <c r="F1568" t="s">
        <v>1578</v>
      </c>
      <c r="G1568" t="s">
        <v>1192</v>
      </c>
    </row>
    <row r="1569" spans="1:7">
      <c r="A1569" t="s">
        <v>3172</v>
      </c>
      <c r="B1569" s="2">
        <v>45760</v>
      </c>
      <c r="C1569" t="s">
        <v>65</v>
      </c>
      <c r="D1569" t="s">
        <v>1629</v>
      </c>
      <c r="E1569">
        <v>425.28</v>
      </c>
      <c r="F1569" t="s">
        <v>1578</v>
      </c>
      <c r="G1569" t="s">
        <v>1192</v>
      </c>
    </row>
    <row r="1570" spans="1:7">
      <c r="A1570" t="s">
        <v>3173</v>
      </c>
      <c r="B1570" s="2">
        <v>45760</v>
      </c>
      <c r="C1570" t="s">
        <v>68</v>
      </c>
      <c r="D1570" t="s">
        <v>1629</v>
      </c>
      <c r="E1570">
        <v>427.38</v>
      </c>
      <c r="F1570" t="s">
        <v>1578</v>
      </c>
      <c r="G1570" t="s">
        <v>1192</v>
      </c>
    </row>
    <row r="1571" spans="1:7">
      <c r="A1571" t="s">
        <v>3174</v>
      </c>
      <c r="B1571" s="2">
        <v>45760</v>
      </c>
      <c r="C1571" t="s">
        <v>75</v>
      </c>
      <c r="D1571" t="s">
        <v>1629</v>
      </c>
      <c r="E1571">
        <v>423.19</v>
      </c>
      <c r="F1571" t="s">
        <v>1578</v>
      </c>
      <c r="G1571" t="s">
        <v>1192</v>
      </c>
    </row>
    <row r="1572" spans="1:7">
      <c r="A1572" t="s">
        <v>3175</v>
      </c>
      <c r="B1572" s="2">
        <v>45760</v>
      </c>
      <c r="C1572" t="s">
        <v>79</v>
      </c>
      <c r="D1572" t="s">
        <v>1629</v>
      </c>
      <c r="E1572">
        <v>427.38</v>
      </c>
      <c r="F1572" t="s">
        <v>1578</v>
      </c>
      <c r="G1572" t="s">
        <v>1192</v>
      </c>
    </row>
    <row r="1573" spans="1:7">
      <c r="A1573" t="s">
        <v>3176</v>
      </c>
      <c r="B1573" s="2">
        <v>45760</v>
      </c>
      <c r="C1573" t="s">
        <v>81</v>
      </c>
      <c r="D1573" t="s">
        <v>1629</v>
      </c>
      <c r="E1573">
        <v>846.38</v>
      </c>
      <c r="F1573" t="s">
        <v>1578</v>
      </c>
      <c r="G1573" t="s">
        <v>1192</v>
      </c>
    </row>
    <row r="1574" spans="1:7">
      <c r="A1574" t="s">
        <v>3177</v>
      </c>
      <c r="B1574" s="2">
        <v>45760</v>
      </c>
      <c r="C1574" t="s">
        <v>110</v>
      </c>
      <c r="D1574" t="s">
        <v>1629</v>
      </c>
      <c r="E1574">
        <v>427.38</v>
      </c>
      <c r="F1574" t="s">
        <v>1578</v>
      </c>
      <c r="G1574" t="s">
        <v>1192</v>
      </c>
    </row>
    <row r="1575" spans="1:7">
      <c r="A1575" t="s">
        <v>3178</v>
      </c>
      <c r="B1575" s="2">
        <v>45760</v>
      </c>
      <c r="C1575" t="s">
        <v>114</v>
      </c>
      <c r="D1575" t="s">
        <v>1629</v>
      </c>
      <c r="E1575">
        <v>423.19</v>
      </c>
      <c r="F1575" t="s">
        <v>1578</v>
      </c>
      <c r="G1575" t="s">
        <v>1192</v>
      </c>
    </row>
    <row r="1576" spans="1:7">
      <c r="A1576" t="s">
        <v>3179</v>
      </c>
      <c r="B1576" s="2">
        <v>45760</v>
      </c>
      <c r="C1576" t="s">
        <v>117</v>
      </c>
      <c r="D1576" t="s">
        <v>1629</v>
      </c>
      <c r="E1576">
        <v>421.1</v>
      </c>
      <c r="F1576" t="s">
        <v>1578</v>
      </c>
      <c r="G1576" t="s">
        <v>1192</v>
      </c>
    </row>
    <row r="1577" spans="1:7">
      <c r="A1577" t="s">
        <v>3180</v>
      </c>
      <c r="B1577" s="2">
        <v>45760</v>
      </c>
      <c r="C1577" t="s">
        <v>119</v>
      </c>
      <c r="D1577" t="s">
        <v>1629</v>
      </c>
      <c r="E1577">
        <v>423.19</v>
      </c>
      <c r="F1577" t="s">
        <v>1578</v>
      </c>
      <c r="G1577" t="s">
        <v>1192</v>
      </c>
    </row>
    <row r="1578" spans="1:7">
      <c r="A1578" t="s">
        <v>3181</v>
      </c>
      <c r="B1578" s="2">
        <v>45760</v>
      </c>
      <c r="C1578" t="s">
        <v>75</v>
      </c>
      <c r="D1578" t="s">
        <v>1629</v>
      </c>
      <c r="E1578">
        <v>216.14</v>
      </c>
      <c r="F1578" t="s">
        <v>1578</v>
      </c>
      <c r="G1578" t="s">
        <v>1193</v>
      </c>
    </row>
    <row r="1579" spans="1:7">
      <c r="A1579" t="s">
        <v>3182</v>
      </c>
      <c r="B1579" s="2">
        <v>45760</v>
      </c>
      <c r="C1579" t="s">
        <v>91</v>
      </c>
      <c r="D1579" t="s">
        <v>1629</v>
      </c>
      <c r="E1579">
        <v>219.35</v>
      </c>
      <c r="F1579" t="s">
        <v>1578</v>
      </c>
      <c r="G1579" t="s">
        <v>1193</v>
      </c>
    </row>
    <row r="1580" spans="1:7">
      <c r="A1580" t="s">
        <v>3183</v>
      </c>
      <c r="B1580" s="2">
        <v>45760</v>
      </c>
      <c r="C1580" t="s">
        <v>93</v>
      </c>
      <c r="D1580" t="s">
        <v>1629</v>
      </c>
      <c r="E1580">
        <v>218.28</v>
      </c>
      <c r="F1580" t="s">
        <v>1578</v>
      </c>
      <c r="G1580" t="s">
        <v>1193</v>
      </c>
    </row>
    <row r="1581" spans="1:7">
      <c r="A1581" t="s">
        <v>3184</v>
      </c>
      <c r="B1581" s="2">
        <v>45760</v>
      </c>
      <c r="C1581" t="s">
        <v>95</v>
      </c>
      <c r="D1581" t="s">
        <v>1629</v>
      </c>
      <c r="E1581">
        <v>217.21</v>
      </c>
      <c r="F1581" t="s">
        <v>1578</v>
      </c>
      <c r="G1581" t="s">
        <v>1193</v>
      </c>
    </row>
    <row r="1582" spans="1:7">
      <c r="A1582" t="s">
        <v>3185</v>
      </c>
      <c r="B1582" s="2">
        <v>45760</v>
      </c>
      <c r="C1582" t="s">
        <v>97</v>
      </c>
      <c r="D1582" t="s">
        <v>1629</v>
      </c>
      <c r="E1582">
        <v>216.14</v>
      </c>
      <c r="F1582" t="s">
        <v>1578</v>
      </c>
      <c r="G1582" t="s">
        <v>1193</v>
      </c>
    </row>
    <row r="1583" spans="1:7">
      <c r="A1583" t="s">
        <v>3186</v>
      </c>
      <c r="B1583" s="2">
        <v>45760</v>
      </c>
      <c r="C1583" t="s">
        <v>99</v>
      </c>
      <c r="D1583" t="s">
        <v>1629</v>
      </c>
      <c r="E1583">
        <v>110.21</v>
      </c>
      <c r="F1583" t="s">
        <v>1578</v>
      </c>
      <c r="G1583" t="s">
        <v>1193</v>
      </c>
    </row>
    <row r="1584" spans="1:7">
      <c r="A1584" t="s">
        <v>3187</v>
      </c>
      <c r="B1584" s="2">
        <v>45760</v>
      </c>
      <c r="C1584" t="s">
        <v>102</v>
      </c>
      <c r="D1584" t="s">
        <v>1629</v>
      </c>
      <c r="E1584">
        <v>218.28</v>
      </c>
      <c r="F1584" t="s">
        <v>1578</v>
      </c>
      <c r="G1584" t="s">
        <v>1193</v>
      </c>
    </row>
    <row r="1585" spans="1:7">
      <c r="A1585" t="s">
        <v>3188</v>
      </c>
      <c r="B1585" s="2">
        <v>45760</v>
      </c>
      <c r="C1585" t="s">
        <v>108</v>
      </c>
      <c r="D1585" t="s">
        <v>1629</v>
      </c>
      <c r="E1585">
        <v>434.42</v>
      </c>
      <c r="F1585" t="s">
        <v>1578</v>
      </c>
      <c r="G1585" t="s">
        <v>1193</v>
      </c>
    </row>
    <row r="1586" spans="1:7">
      <c r="A1586" t="s">
        <v>3189</v>
      </c>
      <c r="B1586" s="2">
        <v>45760</v>
      </c>
      <c r="C1586" t="s">
        <v>110</v>
      </c>
      <c r="D1586" t="s">
        <v>1629</v>
      </c>
      <c r="E1586">
        <v>218.28</v>
      </c>
      <c r="F1586" t="s">
        <v>1578</v>
      </c>
      <c r="G1586" t="s">
        <v>1193</v>
      </c>
    </row>
    <row r="1587" spans="1:7">
      <c r="A1587" t="s">
        <v>3190</v>
      </c>
      <c r="B1587" s="2">
        <v>45760</v>
      </c>
      <c r="C1587" t="s">
        <v>114</v>
      </c>
      <c r="D1587" t="s">
        <v>1629</v>
      </c>
      <c r="E1587">
        <v>216.14</v>
      </c>
      <c r="F1587" t="s">
        <v>1578</v>
      </c>
      <c r="G1587" t="s">
        <v>1193</v>
      </c>
    </row>
    <row r="1588" spans="1:7">
      <c r="A1588" t="s">
        <v>3191</v>
      </c>
      <c r="B1588" s="2">
        <v>45760</v>
      </c>
      <c r="C1588" t="s">
        <v>117</v>
      </c>
      <c r="D1588" t="s">
        <v>1629</v>
      </c>
      <c r="E1588">
        <v>215.07</v>
      </c>
      <c r="F1588" t="s">
        <v>1578</v>
      </c>
      <c r="G1588" t="s">
        <v>1193</v>
      </c>
    </row>
    <row r="1589" spans="1:7">
      <c r="A1589" t="s">
        <v>3192</v>
      </c>
      <c r="B1589" s="2">
        <v>45760</v>
      </c>
      <c r="C1589" t="s">
        <v>119</v>
      </c>
      <c r="D1589" t="s">
        <v>1629</v>
      </c>
      <c r="E1589">
        <v>216.14</v>
      </c>
      <c r="F1589" t="s">
        <v>1578</v>
      </c>
      <c r="G1589" t="s">
        <v>1193</v>
      </c>
    </row>
    <row r="1590" spans="1:7">
      <c r="A1590" t="s">
        <v>3193</v>
      </c>
      <c r="B1590" s="2">
        <v>45760</v>
      </c>
      <c r="C1590" t="s">
        <v>61</v>
      </c>
      <c r="D1590" t="s">
        <v>1629</v>
      </c>
      <c r="E1590">
        <v>119.34</v>
      </c>
      <c r="F1590" t="s">
        <v>1578</v>
      </c>
      <c r="G1590" t="s">
        <v>1194</v>
      </c>
    </row>
    <row r="1591" spans="1:7">
      <c r="A1591" t="s">
        <v>3194</v>
      </c>
      <c r="B1591" s="2">
        <v>45760</v>
      </c>
      <c r="C1591" t="s">
        <v>65</v>
      </c>
      <c r="D1591" t="s">
        <v>1629</v>
      </c>
      <c r="E1591">
        <v>118.76</v>
      </c>
      <c r="F1591" t="s">
        <v>1578</v>
      </c>
      <c r="G1591" t="s">
        <v>1194</v>
      </c>
    </row>
    <row r="1592" spans="1:7">
      <c r="A1592" t="s">
        <v>3195</v>
      </c>
      <c r="B1592" s="2">
        <v>45760</v>
      </c>
      <c r="C1592" t="s">
        <v>68</v>
      </c>
      <c r="D1592" t="s">
        <v>1629</v>
      </c>
      <c r="E1592">
        <v>119.34</v>
      </c>
      <c r="F1592" t="s">
        <v>1578</v>
      </c>
      <c r="G1592" t="s">
        <v>1194</v>
      </c>
    </row>
    <row r="1593" spans="1:7">
      <c r="A1593" t="s">
        <v>3196</v>
      </c>
      <c r="B1593" s="2">
        <v>45760</v>
      </c>
      <c r="C1593" t="s">
        <v>70</v>
      </c>
      <c r="D1593" t="s">
        <v>1629</v>
      </c>
      <c r="E1593">
        <v>118.17</v>
      </c>
      <c r="F1593" t="s">
        <v>1578</v>
      </c>
      <c r="G1593" t="s">
        <v>1194</v>
      </c>
    </row>
    <row r="1594" spans="1:7">
      <c r="A1594" t="s">
        <v>3197</v>
      </c>
      <c r="B1594" s="2">
        <v>45760</v>
      </c>
      <c r="C1594" t="s">
        <v>73</v>
      </c>
      <c r="D1594" t="s">
        <v>1629</v>
      </c>
      <c r="E1594">
        <v>119.34</v>
      </c>
      <c r="F1594" t="s">
        <v>1578</v>
      </c>
      <c r="G1594" t="s">
        <v>1194</v>
      </c>
    </row>
    <row r="1595" spans="1:7">
      <c r="A1595" t="s">
        <v>3198</v>
      </c>
      <c r="B1595" s="2">
        <v>45760</v>
      </c>
      <c r="C1595" t="s">
        <v>75</v>
      </c>
      <c r="D1595" t="s">
        <v>1629</v>
      </c>
      <c r="E1595">
        <v>118.17</v>
      </c>
      <c r="F1595" t="s">
        <v>1578</v>
      </c>
      <c r="G1595" t="s">
        <v>1194</v>
      </c>
    </row>
    <row r="1596" spans="1:7">
      <c r="A1596" t="s">
        <v>3199</v>
      </c>
      <c r="B1596" s="2">
        <v>45760</v>
      </c>
      <c r="C1596" t="s">
        <v>77</v>
      </c>
      <c r="D1596" t="s">
        <v>1629</v>
      </c>
      <c r="E1596">
        <v>118.17</v>
      </c>
      <c r="F1596" t="s">
        <v>1578</v>
      </c>
      <c r="G1596" t="s">
        <v>1194</v>
      </c>
    </row>
    <row r="1597" spans="1:7">
      <c r="A1597" t="s">
        <v>3200</v>
      </c>
      <c r="B1597" s="2">
        <v>45760</v>
      </c>
      <c r="C1597" t="s">
        <v>79</v>
      </c>
      <c r="D1597" t="s">
        <v>1629</v>
      </c>
      <c r="E1597">
        <v>119.34</v>
      </c>
      <c r="F1597" t="s">
        <v>1578</v>
      </c>
      <c r="G1597" t="s">
        <v>1194</v>
      </c>
    </row>
    <row r="1598" spans="1:7">
      <c r="A1598" t="s">
        <v>3201</v>
      </c>
      <c r="B1598" s="2">
        <v>45760</v>
      </c>
      <c r="C1598" t="s">
        <v>81</v>
      </c>
      <c r="D1598" t="s">
        <v>1629</v>
      </c>
      <c r="E1598">
        <v>236.34</v>
      </c>
      <c r="F1598" t="s">
        <v>1578</v>
      </c>
      <c r="G1598" t="s">
        <v>1194</v>
      </c>
    </row>
    <row r="1599" spans="1:7">
      <c r="A1599" t="s">
        <v>3202</v>
      </c>
      <c r="B1599" s="2">
        <v>45760</v>
      </c>
      <c r="C1599" t="s">
        <v>108</v>
      </c>
      <c r="D1599" t="s">
        <v>1629</v>
      </c>
      <c r="E1599">
        <v>237.51</v>
      </c>
      <c r="F1599" t="s">
        <v>1578</v>
      </c>
      <c r="G1599" t="s">
        <v>1194</v>
      </c>
    </row>
    <row r="1600" spans="1:7">
      <c r="A1600" t="s">
        <v>3203</v>
      </c>
      <c r="B1600" s="2">
        <v>45760</v>
      </c>
      <c r="C1600" t="s">
        <v>110</v>
      </c>
      <c r="D1600" t="s">
        <v>1629</v>
      </c>
      <c r="E1600">
        <v>119.34</v>
      </c>
      <c r="F1600" t="s">
        <v>1578</v>
      </c>
      <c r="G1600" t="s">
        <v>1194</v>
      </c>
    </row>
    <row r="1601" spans="1:7">
      <c r="A1601" t="s">
        <v>3204</v>
      </c>
      <c r="B1601" s="2">
        <v>45760</v>
      </c>
      <c r="C1601" t="s">
        <v>114</v>
      </c>
      <c r="D1601" t="s">
        <v>1629</v>
      </c>
      <c r="E1601">
        <v>118.17</v>
      </c>
      <c r="F1601" t="s">
        <v>1578</v>
      </c>
      <c r="G1601" t="s">
        <v>1194</v>
      </c>
    </row>
    <row r="1602" spans="1:7">
      <c r="A1602" t="s">
        <v>3205</v>
      </c>
      <c r="B1602" s="2">
        <v>45760</v>
      </c>
      <c r="C1602" t="s">
        <v>117</v>
      </c>
      <c r="D1602" t="s">
        <v>1629</v>
      </c>
      <c r="E1602">
        <v>117.58</v>
      </c>
      <c r="F1602" t="s">
        <v>1578</v>
      </c>
      <c r="G1602" t="s">
        <v>1194</v>
      </c>
    </row>
    <row r="1603" spans="1:7">
      <c r="A1603" t="s">
        <v>3206</v>
      </c>
      <c r="B1603" s="2">
        <v>45760</v>
      </c>
      <c r="C1603" t="s">
        <v>119</v>
      </c>
      <c r="D1603" t="s">
        <v>1629</v>
      </c>
      <c r="E1603">
        <v>118.17</v>
      </c>
      <c r="F1603" t="s">
        <v>1578</v>
      </c>
      <c r="G1603" t="s">
        <v>1194</v>
      </c>
    </row>
    <row r="1604" spans="1:7">
      <c r="A1604" t="s">
        <v>3207</v>
      </c>
      <c r="B1604" s="2">
        <v>45760</v>
      </c>
      <c r="C1604" t="s">
        <v>114</v>
      </c>
      <c r="D1604" t="s">
        <v>1683</v>
      </c>
      <c r="E1604">
        <v>252</v>
      </c>
      <c r="F1604" t="s">
        <v>1578</v>
      </c>
      <c r="G1604" t="s">
        <v>554</v>
      </c>
    </row>
    <row r="1605" spans="1:7">
      <c r="A1605" t="s">
        <v>3208</v>
      </c>
      <c r="B1605" s="2">
        <v>45760</v>
      </c>
      <c r="C1605" t="s">
        <v>65</v>
      </c>
      <c r="D1605" t="s">
        <v>1683</v>
      </c>
      <c r="E1605">
        <v>206</v>
      </c>
      <c r="F1605" t="s">
        <v>1578</v>
      </c>
      <c r="G1605" t="s">
        <v>555</v>
      </c>
    </row>
    <row r="1606" spans="1:7">
      <c r="A1606" t="s">
        <v>3209</v>
      </c>
      <c r="B1606" s="2">
        <v>45761</v>
      </c>
      <c r="C1606" t="s">
        <v>61</v>
      </c>
      <c r="D1606" t="s">
        <v>1629</v>
      </c>
      <c r="E1606">
        <v>176.46</v>
      </c>
      <c r="F1606" t="s">
        <v>1578</v>
      </c>
      <c r="G1606" t="s">
        <v>1195</v>
      </c>
    </row>
    <row r="1607" spans="1:7">
      <c r="A1607" t="s">
        <v>3210</v>
      </c>
      <c r="B1607" s="2">
        <v>45761</v>
      </c>
      <c r="C1607" t="s">
        <v>65</v>
      </c>
      <c r="D1607" t="s">
        <v>1629</v>
      </c>
      <c r="E1607">
        <v>175.59</v>
      </c>
      <c r="F1607" t="s">
        <v>1578</v>
      </c>
      <c r="G1607" t="s">
        <v>1195</v>
      </c>
    </row>
    <row r="1608" spans="1:7">
      <c r="A1608" t="s">
        <v>3211</v>
      </c>
      <c r="B1608" s="2">
        <v>45761</v>
      </c>
      <c r="C1608" t="s">
        <v>68</v>
      </c>
      <c r="D1608" t="s">
        <v>1629</v>
      </c>
      <c r="E1608">
        <v>176.46</v>
      </c>
      <c r="F1608" t="s">
        <v>1578</v>
      </c>
      <c r="G1608" t="s">
        <v>1195</v>
      </c>
    </row>
    <row r="1609" spans="1:7">
      <c r="A1609" t="s">
        <v>3212</v>
      </c>
      <c r="B1609" s="2">
        <v>45761</v>
      </c>
      <c r="C1609" t="s">
        <v>70</v>
      </c>
      <c r="D1609" t="s">
        <v>1629</v>
      </c>
      <c r="E1609">
        <v>174.73</v>
      </c>
      <c r="F1609" t="s">
        <v>1578</v>
      </c>
      <c r="G1609" t="s">
        <v>1195</v>
      </c>
    </row>
    <row r="1610" spans="1:7">
      <c r="A1610" t="s">
        <v>3213</v>
      </c>
      <c r="B1610" s="2">
        <v>45761</v>
      </c>
      <c r="C1610" t="s">
        <v>75</v>
      </c>
      <c r="D1610" t="s">
        <v>1629</v>
      </c>
      <c r="E1610">
        <v>174.73</v>
      </c>
      <c r="F1610" t="s">
        <v>1578</v>
      </c>
      <c r="G1610" t="s">
        <v>1195</v>
      </c>
    </row>
    <row r="1611" spans="1:7">
      <c r="A1611" t="s">
        <v>3214</v>
      </c>
      <c r="B1611" s="2">
        <v>45761</v>
      </c>
      <c r="C1611" t="s">
        <v>77</v>
      </c>
      <c r="D1611" t="s">
        <v>1629</v>
      </c>
      <c r="E1611">
        <v>174.73</v>
      </c>
      <c r="F1611" t="s">
        <v>1578</v>
      </c>
      <c r="G1611" t="s">
        <v>1195</v>
      </c>
    </row>
    <row r="1612" spans="1:7">
      <c r="A1612" t="s">
        <v>3215</v>
      </c>
      <c r="B1612" s="2">
        <v>45761</v>
      </c>
      <c r="C1612" t="s">
        <v>79</v>
      </c>
      <c r="D1612" t="s">
        <v>1629</v>
      </c>
      <c r="E1612">
        <v>176.46</v>
      </c>
      <c r="F1612" t="s">
        <v>1578</v>
      </c>
      <c r="G1612" t="s">
        <v>1195</v>
      </c>
    </row>
    <row r="1613" spans="1:7">
      <c r="A1613" t="s">
        <v>3216</v>
      </c>
      <c r="B1613" s="2">
        <v>45761</v>
      </c>
      <c r="C1613" t="s">
        <v>81</v>
      </c>
      <c r="D1613" t="s">
        <v>1629</v>
      </c>
      <c r="E1613">
        <v>349.46</v>
      </c>
      <c r="F1613" t="s">
        <v>1578</v>
      </c>
      <c r="G1613" t="s">
        <v>1195</v>
      </c>
    </row>
    <row r="1614" spans="1:7">
      <c r="A1614" t="s">
        <v>3217</v>
      </c>
      <c r="B1614" s="2">
        <v>45761</v>
      </c>
      <c r="C1614" t="s">
        <v>110</v>
      </c>
      <c r="D1614" t="s">
        <v>1629</v>
      </c>
      <c r="E1614">
        <v>176.46</v>
      </c>
      <c r="F1614" t="s">
        <v>1578</v>
      </c>
      <c r="G1614" t="s">
        <v>1195</v>
      </c>
    </row>
    <row r="1615" spans="1:7">
      <c r="A1615" t="s">
        <v>3218</v>
      </c>
      <c r="B1615" s="2">
        <v>45761</v>
      </c>
      <c r="C1615" t="s">
        <v>114</v>
      </c>
      <c r="D1615" t="s">
        <v>1629</v>
      </c>
      <c r="E1615">
        <v>174.73</v>
      </c>
      <c r="F1615" t="s">
        <v>1578</v>
      </c>
      <c r="G1615" t="s">
        <v>1195</v>
      </c>
    </row>
    <row r="1616" spans="1:7">
      <c r="A1616" t="s">
        <v>3219</v>
      </c>
      <c r="B1616" s="2">
        <v>45761</v>
      </c>
      <c r="C1616" t="s">
        <v>117</v>
      </c>
      <c r="D1616" t="s">
        <v>1629</v>
      </c>
      <c r="E1616">
        <v>173.86</v>
      </c>
      <c r="F1616" t="s">
        <v>1578</v>
      </c>
      <c r="G1616" t="s">
        <v>1195</v>
      </c>
    </row>
    <row r="1617" spans="1:7">
      <c r="A1617" t="s">
        <v>3220</v>
      </c>
      <c r="B1617" s="2">
        <v>45761</v>
      </c>
      <c r="C1617" t="s">
        <v>119</v>
      </c>
      <c r="D1617" t="s">
        <v>1629</v>
      </c>
      <c r="E1617">
        <v>174.73</v>
      </c>
      <c r="F1617" t="s">
        <v>1578</v>
      </c>
      <c r="G1617" t="s">
        <v>1195</v>
      </c>
    </row>
    <row r="1618" spans="1:7">
      <c r="A1618" t="s">
        <v>3221</v>
      </c>
      <c r="B1618" s="2">
        <v>45761</v>
      </c>
      <c r="C1618" t="s">
        <v>61</v>
      </c>
      <c r="D1618" t="s">
        <v>1629</v>
      </c>
      <c r="E1618">
        <v>145.86000000000001</v>
      </c>
      <c r="F1618" t="s">
        <v>1578</v>
      </c>
      <c r="G1618" t="s">
        <v>1196</v>
      </c>
    </row>
    <row r="1619" spans="1:7">
      <c r="A1619" t="s">
        <v>3222</v>
      </c>
      <c r="B1619" s="2">
        <v>45761</v>
      </c>
      <c r="C1619" t="s">
        <v>65</v>
      </c>
      <c r="D1619" t="s">
        <v>1629</v>
      </c>
      <c r="E1619">
        <v>145.13999999999999</v>
      </c>
      <c r="F1619" t="s">
        <v>1578</v>
      </c>
      <c r="G1619" t="s">
        <v>1196</v>
      </c>
    </row>
    <row r="1620" spans="1:7">
      <c r="A1620" t="s">
        <v>3223</v>
      </c>
      <c r="B1620" s="2">
        <v>45761</v>
      </c>
      <c r="C1620" t="s">
        <v>68</v>
      </c>
      <c r="D1620" t="s">
        <v>1629</v>
      </c>
      <c r="E1620">
        <v>145.86000000000001</v>
      </c>
      <c r="F1620" t="s">
        <v>1578</v>
      </c>
      <c r="G1620" t="s">
        <v>1196</v>
      </c>
    </row>
    <row r="1621" spans="1:7">
      <c r="A1621" t="s">
        <v>3224</v>
      </c>
      <c r="B1621" s="2">
        <v>45761</v>
      </c>
      <c r="C1621" t="s">
        <v>70</v>
      </c>
      <c r="D1621" t="s">
        <v>1629</v>
      </c>
      <c r="E1621">
        <v>144.43</v>
      </c>
      <c r="F1621" t="s">
        <v>1578</v>
      </c>
      <c r="G1621" t="s">
        <v>1196</v>
      </c>
    </row>
    <row r="1622" spans="1:7">
      <c r="A1622" t="s">
        <v>3225</v>
      </c>
      <c r="B1622" s="2">
        <v>45761</v>
      </c>
      <c r="C1622" t="s">
        <v>73</v>
      </c>
      <c r="D1622" t="s">
        <v>1629</v>
      </c>
      <c r="E1622">
        <v>145.86000000000001</v>
      </c>
      <c r="F1622" t="s">
        <v>1578</v>
      </c>
      <c r="G1622" t="s">
        <v>1196</v>
      </c>
    </row>
    <row r="1623" spans="1:7">
      <c r="A1623" t="s">
        <v>3226</v>
      </c>
      <c r="B1623" s="2">
        <v>45761</v>
      </c>
      <c r="C1623" t="s">
        <v>75</v>
      </c>
      <c r="D1623" t="s">
        <v>1629</v>
      </c>
      <c r="E1623">
        <v>144.43</v>
      </c>
      <c r="F1623" t="s">
        <v>1578</v>
      </c>
      <c r="G1623" t="s">
        <v>1196</v>
      </c>
    </row>
    <row r="1624" spans="1:7">
      <c r="A1624" t="s">
        <v>3227</v>
      </c>
      <c r="B1624" s="2">
        <v>45761</v>
      </c>
      <c r="C1624" t="s">
        <v>77</v>
      </c>
      <c r="D1624" t="s">
        <v>1629</v>
      </c>
      <c r="E1624">
        <v>144.43</v>
      </c>
      <c r="F1624" t="s">
        <v>1578</v>
      </c>
      <c r="G1624" t="s">
        <v>1196</v>
      </c>
    </row>
    <row r="1625" spans="1:7">
      <c r="A1625" t="s">
        <v>3228</v>
      </c>
      <c r="B1625" s="2">
        <v>45761</v>
      </c>
      <c r="C1625" t="s">
        <v>79</v>
      </c>
      <c r="D1625" t="s">
        <v>1629</v>
      </c>
      <c r="E1625">
        <v>145.86000000000001</v>
      </c>
      <c r="F1625" t="s">
        <v>1578</v>
      </c>
      <c r="G1625" t="s">
        <v>1196</v>
      </c>
    </row>
    <row r="1626" spans="1:7">
      <c r="A1626" t="s">
        <v>3229</v>
      </c>
      <c r="B1626" s="2">
        <v>45761</v>
      </c>
      <c r="C1626" t="s">
        <v>81</v>
      </c>
      <c r="D1626" t="s">
        <v>1629</v>
      </c>
      <c r="E1626">
        <v>288.86</v>
      </c>
      <c r="F1626" t="s">
        <v>1578</v>
      </c>
      <c r="G1626" t="s">
        <v>1196</v>
      </c>
    </row>
    <row r="1627" spans="1:7">
      <c r="A1627" t="s">
        <v>3230</v>
      </c>
      <c r="B1627" s="2">
        <v>45761</v>
      </c>
      <c r="C1627" t="s">
        <v>108</v>
      </c>
      <c r="D1627" t="s">
        <v>1629</v>
      </c>
      <c r="E1627">
        <v>290.29000000000002</v>
      </c>
      <c r="F1627" t="s">
        <v>1578</v>
      </c>
      <c r="G1627" t="s">
        <v>1196</v>
      </c>
    </row>
    <row r="1628" spans="1:7">
      <c r="A1628" t="s">
        <v>3231</v>
      </c>
      <c r="B1628" s="2">
        <v>45761</v>
      </c>
      <c r="C1628" t="s">
        <v>110</v>
      </c>
      <c r="D1628" t="s">
        <v>1629</v>
      </c>
      <c r="E1628">
        <v>145.86000000000001</v>
      </c>
      <c r="F1628" t="s">
        <v>1578</v>
      </c>
      <c r="G1628" t="s">
        <v>1196</v>
      </c>
    </row>
    <row r="1629" spans="1:7">
      <c r="A1629" t="s">
        <v>3232</v>
      </c>
      <c r="B1629" s="2">
        <v>45761</v>
      </c>
      <c r="C1629" t="s">
        <v>114</v>
      </c>
      <c r="D1629" t="s">
        <v>1629</v>
      </c>
      <c r="E1629">
        <v>144.43</v>
      </c>
      <c r="F1629" t="s">
        <v>1578</v>
      </c>
      <c r="G1629" t="s">
        <v>1196</v>
      </c>
    </row>
    <row r="1630" spans="1:7">
      <c r="A1630" t="s">
        <v>3233</v>
      </c>
      <c r="B1630" s="2">
        <v>45761</v>
      </c>
      <c r="C1630" t="s">
        <v>117</v>
      </c>
      <c r="D1630" t="s">
        <v>1629</v>
      </c>
      <c r="E1630">
        <v>143.71</v>
      </c>
      <c r="F1630" t="s">
        <v>1578</v>
      </c>
      <c r="G1630" t="s">
        <v>1196</v>
      </c>
    </row>
    <row r="1631" spans="1:7">
      <c r="A1631" t="s">
        <v>3234</v>
      </c>
      <c r="B1631" s="2">
        <v>45761</v>
      </c>
      <c r="C1631" t="s">
        <v>119</v>
      </c>
      <c r="D1631" t="s">
        <v>1629</v>
      </c>
      <c r="E1631">
        <v>144.43</v>
      </c>
      <c r="F1631" t="s">
        <v>1578</v>
      </c>
      <c r="G1631" t="s">
        <v>1196</v>
      </c>
    </row>
    <row r="1632" spans="1:7">
      <c r="A1632" t="s">
        <v>3235</v>
      </c>
      <c r="B1632" s="2">
        <v>45762</v>
      </c>
      <c r="C1632" t="s">
        <v>61</v>
      </c>
      <c r="D1632" t="s">
        <v>1629</v>
      </c>
      <c r="E1632">
        <v>477.36</v>
      </c>
      <c r="F1632" t="s">
        <v>1578</v>
      </c>
      <c r="G1632" t="s">
        <v>1197</v>
      </c>
    </row>
    <row r="1633" spans="1:7">
      <c r="A1633" t="s">
        <v>3236</v>
      </c>
      <c r="B1633" s="2">
        <v>45762</v>
      </c>
      <c r="C1633" t="s">
        <v>65</v>
      </c>
      <c r="D1633" t="s">
        <v>1629</v>
      </c>
      <c r="E1633">
        <v>475.02</v>
      </c>
      <c r="F1633" t="s">
        <v>1578</v>
      </c>
      <c r="G1633" t="s">
        <v>1197</v>
      </c>
    </row>
    <row r="1634" spans="1:7">
      <c r="A1634" t="s">
        <v>3237</v>
      </c>
      <c r="B1634" s="2">
        <v>45762</v>
      </c>
      <c r="C1634" t="s">
        <v>68</v>
      </c>
      <c r="D1634" t="s">
        <v>1629</v>
      </c>
      <c r="E1634">
        <v>477.36</v>
      </c>
      <c r="F1634" t="s">
        <v>1578</v>
      </c>
      <c r="G1634" t="s">
        <v>1197</v>
      </c>
    </row>
    <row r="1635" spans="1:7">
      <c r="A1635" t="s">
        <v>3238</v>
      </c>
      <c r="B1635" s="2">
        <v>45762</v>
      </c>
      <c r="C1635" t="s">
        <v>70</v>
      </c>
      <c r="D1635" t="s">
        <v>1629</v>
      </c>
      <c r="E1635">
        <v>472.68</v>
      </c>
      <c r="F1635" t="s">
        <v>1578</v>
      </c>
      <c r="G1635" t="s">
        <v>1197</v>
      </c>
    </row>
    <row r="1636" spans="1:7">
      <c r="A1636" t="s">
        <v>3239</v>
      </c>
      <c r="B1636" s="2">
        <v>45762</v>
      </c>
      <c r="C1636" t="s">
        <v>75</v>
      </c>
      <c r="D1636" t="s">
        <v>1629</v>
      </c>
      <c r="E1636">
        <v>472.68</v>
      </c>
      <c r="F1636" t="s">
        <v>1578</v>
      </c>
      <c r="G1636" t="s">
        <v>1197</v>
      </c>
    </row>
    <row r="1637" spans="1:7">
      <c r="A1637" t="s">
        <v>3240</v>
      </c>
      <c r="B1637" s="2">
        <v>45762</v>
      </c>
      <c r="C1637" t="s">
        <v>77</v>
      </c>
      <c r="D1637" t="s">
        <v>1629</v>
      </c>
      <c r="E1637">
        <v>472.68</v>
      </c>
      <c r="F1637" t="s">
        <v>1578</v>
      </c>
      <c r="G1637" t="s">
        <v>1197</v>
      </c>
    </row>
    <row r="1638" spans="1:7">
      <c r="A1638" t="s">
        <v>3241</v>
      </c>
      <c r="B1638" s="2">
        <v>45762</v>
      </c>
      <c r="C1638" t="s">
        <v>79</v>
      </c>
      <c r="D1638" t="s">
        <v>1629</v>
      </c>
      <c r="E1638">
        <v>477.36</v>
      </c>
      <c r="F1638" t="s">
        <v>1578</v>
      </c>
      <c r="G1638" t="s">
        <v>1197</v>
      </c>
    </row>
    <row r="1639" spans="1:7">
      <c r="A1639" t="s">
        <v>3242</v>
      </c>
      <c r="B1639" s="2">
        <v>45762</v>
      </c>
      <c r="C1639" t="s">
        <v>81</v>
      </c>
      <c r="D1639" t="s">
        <v>1629</v>
      </c>
      <c r="E1639">
        <v>945.36</v>
      </c>
      <c r="F1639" t="s">
        <v>1578</v>
      </c>
      <c r="G1639" t="s">
        <v>1197</v>
      </c>
    </row>
    <row r="1640" spans="1:7">
      <c r="A1640" t="s">
        <v>3243</v>
      </c>
      <c r="B1640" s="2">
        <v>45762</v>
      </c>
      <c r="C1640" t="s">
        <v>110</v>
      </c>
      <c r="D1640" t="s">
        <v>1629</v>
      </c>
      <c r="E1640">
        <v>477.36</v>
      </c>
      <c r="F1640" t="s">
        <v>1578</v>
      </c>
      <c r="G1640" t="s">
        <v>1197</v>
      </c>
    </row>
    <row r="1641" spans="1:7">
      <c r="A1641" t="s">
        <v>3244</v>
      </c>
      <c r="B1641" s="2">
        <v>45762</v>
      </c>
      <c r="C1641" t="s">
        <v>114</v>
      </c>
      <c r="D1641" t="s">
        <v>1629</v>
      </c>
      <c r="E1641">
        <v>472.68</v>
      </c>
      <c r="F1641" t="s">
        <v>1578</v>
      </c>
      <c r="G1641" t="s">
        <v>1197</v>
      </c>
    </row>
    <row r="1642" spans="1:7">
      <c r="A1642" t="s">
        <v>3245</v>
      </c>
      <c r="B1642" s="2">
        <v>45762</v>
      </c>
      <c r="C1642" t="s">
        <v>117</v>
      </c>
      <c r="D1642" t="s">
        <v>1629</v>
      </c>
      <c r="E1642">
        <v>470.34</v>
      </c>
      <c r="F1642" t="s">
        <v>1578</v>
      </c>
      <c r="G1642" t="s">
        <v>1197</v>
      </c>
    </row>
    <row r="1643" spans="1:7">
      <c r="A1643" t="s">
        <v>3246</v>
      </c>
      <c r="B1643" s="2">
        <v>45762</v>
      </c>
      <c r="C1643" t="s">
        <v>119</v>
      </c>
      <c r="D1643" t="s">
        <v>1629</v>
      </c>
      <c r="E1643">
        <v>472.68</v>
      </c>
      <c r="F1643" t="s">
        <v>1578</v>
      </c>
      <c r="G1643" t="s">
        <v>1197</v>
      </c>
    </row>
    <row r="1644" spans="1:7">
      <c r="A1644" t="s">
        <v>3247</v>
      </c>
      <c r="B1644" s="2">
        <v>45762</v>
      </c>
      <c r="C1644" t="s">
        <v>61</v>
      </c>
      <c r="D1644" t="s">
        <v>1629</v>
      </c>
      <c r="E1644">
        <v>413.1</v>
      </c>
      <c r="F1644" t="s">
        <v>1578</v>
      </c>
      <c r="G1644" t="s">
        <v>1198</v>
      </c>
    </row>
    <row r="1645" spans="1:7">
      <c r="A1645" t="s">
        <v>3248</v>
      </c>
      <c r="B1645" s="2">
        <v>45762</v>
      </c>
      <c r="C1645" t="s">
        <v>65</v>
      </c>
      <c r="D1645" t="s">
        <v>1629</v>
      </c>
      <c r="E1645">
        <v>411.08</v>
      </c>
      <c r="F1645" t="s">
        <v>1578</v>
      </c>
      <c r="G1645" t="s">
        <v>1198</v>
      </c>
    </row>
    <row r="1646" spans="1:7">
      <c r="A1646" t="s">
        <v>3249</v>
      </c>
      <c r="B1646" s="2">
        <v>45762</v>
      </c>
      <c r="C1646" t="s">
        <v>68</v>
      </c>
      <c r="D1646" t="s">
        <v>1629</v>
      </c>
      <c r="E1646">
        <v>413.1</v>
      </c>
      <c r="F1646" t="s">
        <v>1578</v>
      </c>
      <c r="G1646" t="s">
        <v>1198</v>
      </c>
    </row>
    <row r="1647" spans="1:7">
      <c r="A1647" t="s">
        <v>3250</v>
      </c>
      <c r="B1647" s="2">
        <v>45762</v>
      </c>
      <c r="C1647" t="s">
        <v>70</v>
      </c>
      <c r="D1647" t="s">
        <v>1629</v>
      </c>
      <c r="E1647">
        <v>409.05</v>
      </c>
      <c r="F1647" t="s">
        <v>1578</v>
      </c>
      <c r="G1647" t="s">
        <v>1198</v>
      </c>
    </row>
    <row r="1648" spans="1:7">
      <c r="A1648" t="s">
        <v>3251</v>
      </c>
      <c r="B1648" s="2">
        <v>45762</v>
      </c>
      <c r="C1648" t="s">
        <v>75</v>
      </c>
      <c r="D1648" t="s">
        <v>1629</v>
      </c>
      <c r="E1648">
        <v>409.05</v>
      </c>
      <c r="F1648" t="s">
        <v>1578</v>
      </c>
      <c r="G1648" t="s">
        <v>1198</v>
      </c>
    </row>
    <row r="1649" spans="1:7">
      <c r="A1649" t="s">
        <v>3252</v>
      </c>
      <c r="B1649" s="2">
        <v>45762</v>
      </c>
      <c r="C1649" t="s">
        <v>77</v>
      </c>
      <c r="D1649" t="s">
        <v>1629</v>
      </c>
      <c r="E1649">
        <v>409.05</v>
      </c>
      <c r="F1649" t="s">
        <v>1578</v>
      </c>
      <c r="G1649" t="s">
        <v>1198</v>
      </c>
    </row>
    <row r="1650" spans="1:7">
      <c r="A1650" t="s">
        <v>3253</v>
      </c>
      <c r="B1650" s="2">
        <v>45762</v>
      </c>
      <c r="C1650" t="s">
        <v>79</v>
      </c>
      <c r="D1650" t="s">
        <v>1629</v>
      </c>
      <c r="E1650">
        <v>413.1</v>
      </c>
      <c r="F1650" t="s">
        <v>1578</v>
      </c>
      <c r="G1650" t="s">
        <v>1198</v>
      </c>
    </row>
    <row r="1651" spans="1:7">
      <c r="A1651" t="s">
        <v>3254</v>
      </c>
      <c r="B1651" s="2">
        <v>45762</v>
      </c>
      <c r="C1651" t="s">
        <v>81</v>
      </c>
      <c r="D1651" t="s">
        <v>1629</v>
      </c>
      <c r="E1651">
        <v>818.1</v>
      </c>
      <c r="F1651" t="s">
        <v>1578</v>
      </c>
      <c r="G1651" t="s">
        <v>1198</v>
      </c>
    </row>
    <row r="1652" spans="1:7">
      <c r="A1652" t="s">
        <v>3255</v>
      </c>
      <c r="B1652" s="2">
        <v>45762</v>
      </c>
      <c r="C1652" t="s">
        <v>110</v>
      </c>
      <c r="D1652" t="s">
        <v>1629</v>
      </c>
      <c r="E1652">
        <v>413.1</v>
      </c>
      <c r="F1652" t="s">
        <v>1578</v>
      </c>
      <c r="G1652" t="s">
        <v>1198</v>
      </c>
    </row>
    <row r="1653" spans="1:7">
      <c r="A1653" t="s">
        <v>3256</v>
      </c>
      <c r="B1653" s="2">
        <v>45762</v>
      </c>
      <c r="C1653" t="s">
        <v>114</v>
      </c>
      <c r="D1653" t="s">
        <v>1629</v>
      </c>
      <c r="E1653">
        <v>409.05</v>
      </c>
      <c r="F1653" t="s">
        <v>1578</v>
      </c>
      <c r="G1653" t="s">
        <v>1198</v>
      </c>
    </row>
    <row r="1654" spans="1:7">
      <c r="A1654" t="s">
        <v>3257</v>
      </c>
      <c r="B1654" s="2">
        <v>45762</v>
      </c>
      <c r="C1654" t="s">
        <v>117</v>
      </c>
      <c r="D1654" t="s">
        <v>1629</v>
      </c>
      <c r="E1654">
        <v>407.02</v>
      </c>
      <c r="F1654" t="s">
        <v>1578</v>
      </c>
      <c r="G1654" t="s">
        <v>1198</v>
      </c>
    </row>
    <row r="1655" spans="1:7">
      <c r="A1655" t="s">
        <v>3258</v>
      </c>
      <c r="B1655" s="2">
        <v>45762</v>
      </c>
      <c r="C1655" t="s">
        <v>119</v>
      </c>
      <c r="D1655" t="s">
        <v>1629</v>
      </c>
      <c r="E1655">
        <v>409.05</v>
      </c>
      <c r="F1655" t="s">
        <v>1578</v>
      </c>
      <c r="G1655" t="s">
        <v>1198</v>
      </c>
    </row>
    <row r="1656" spans="1:7">
      <c r="A1656" t="s">
        <v>3259</v>
      </c>
      <c r="B1656" s="2">
        <v>45762</v>
      </c>
      <c r="C1656" t="s">
        <v>70</v>
      </c>
      <c r="D1656" t="s">
        <v>1683</v>
      </c>
      <c r="E1656">
        <v>80</v>
      </c>
      <c r="F1656" t="s">
        <v>1578</v>
      </c>
      <c r="G1656" t="s">
        <v>556</v>
      </c>
    </row>
    <row r="1657" spans="1:7">
      <c r="A1657" t="s">
        <v>3260</v>
      </c>
      <c r="B1657" s="2">
        <v>45763</v>
      </c>
      <c r="C1657" t="s">
        <v>61</v>
      </c>
      <c r="D1657" t="s">
        <v>1629</v>
      </c>
      <c r="E1657">
        <v>326.39999999999998</v>
      </c>
      <c r="F1657" t="s">
        <v>1578</v>
      </c>
      <c r="G1657" t="s">
        <v>1199</v>
      </c>
    </row>
    <row r="1658" spans="1:7">
      <c r="A1658" t="s">
        <v>3261</v>
      </c>
      <c r="B1658" s="2">
        <v>45763</v>
      </c>
      <c r="C1658" t="s">
        <v>65</v>
      </c>
      <c r="D1658" t="s">
        <v>1629</v>
      </c>
      <c r="E1658">
        <v>324.8</v>
      </c>
      <c r="F1658" t="s">
        <v>1578</v>
      </c>
      <c r="G1658" t="s">
        <v>1199</v>
      </c>
    </row>
    <row r="1659" spans="1:7">
      <c r="A1659" t="s">
        <v>3262</v>
      </c>
      <c r="B1659" s="2">
        <v>45763</v>
      </c>
      <c r="C1659" t="s">
        <v>68</v>
      </c>
      <c r="D1659" t="s">
        <v>1629</v>
      </c>
      <c r="E1659">
        <v>326.39999999999998</v>
      </c>
      <c r="F1659" t="s">
        <v>1578</v>
      </c>
      <c r="G1659" t="s">
        <v>1199</v>
      </c>
    </row>
    <row r="1660" spans="1:7">
      <c r="A1660" t="s">
        <v>3263</v>
      </c>
      <c r="B1660" s="2">
        <v>45763</v>
      </c>
      <c r="C1660" t="s">
        <v>70</v>
      </c>
      <c r="D1660" t="s">
        <v>1629</v>
      </c>
      <c r="E1660">
        <v>323.2</v>
      </c>
      <c r="F1660" t="s">
        <v>1578</v>
      </c>
      <c r="G1660" t="s">
        <v>1199</v>
      </c>
    </row>
    <row r="1661" spans="1:7">
      <c r="A1661" t="s">
        <v>3264</v>
      </c>
      <c r="B1661" s="2">
        <v>45763</v>
      </c>
      <c r="C1661" t="s">
        <v>75</v>
      </c>
      <c r="D1661" t="s">
        <v>1629</v>
      </c>
      <c r="E1661">
        <v>323.2</v>
      </c>
      <c r="F1661" t="s">
        <v>1578</v>
      </c>
      <c r="G1661" t="s">
        <v>1199</v>
      </c>
    </row>
    <row r="1662" spans="1:7">
      <c r="A1662" t="s">
        <v>3265</v>
      </c>
      <c r="B1662" s="2">
        <v>45763</v>
      </c>
      <c r="C1662" t="s">
        <v>77</v>
      </c>
      <c r="D1662" t="s">
        <v>1629</v>
      </c>
      <c r="E1662">
        <v>323.2</v>
      </c>
      <c r="F1662" t="s">
        <v>1578</v>
      </c>
      <c r="G1662" t="s">
        <v>1199</v>
      </c>
    </row>
    <row r="1663" spans="1:7">
      <c r="A1663" t="s">
        <v>3266</v>
      </c>
      <c r="B1663" s="2">
        <v>45763</v>
      </c>
      <c r="C1663" t="s">
        <v>79</v>
      </c>
      <c r="D1663" t="s">
        <v>1629</v>
      </c>
      <c r="E1663">
        <v>326.39999999999998</v>
      </c>
      <c r="F1663" t="s">
        <v>1578</v>
      </c>
      <c r="G1663" t="s">
        <v>1199</v>
      </c>
    </row>
    <row r="1664" spans="1:7">
      <c r="A1664" t="s">
        <v>3267</v>
      </c>
      <c r="B1664" s="2">
        <v>45763</v>
      </c>
      <c r="C1664" t="s">
        <v>81</v>
      </c>
      <c r="D1664" t="s">
        <v>1629</v>
      </c>
      <c r="E1664">
        <v>646.4</v>
      </c>
      <c r="F1664" t="s">
        <v>1578</v>
      </c>
      <c r="G1664" t="s">
        <v>1199</v>
      </c>
    </row>
    <row r="1665" spans="1:7">
      <c r="A1665" t="s">
        <v>3268</v>
      </c>
      <c r="B1665" s="2">
        <v>45763</v>
      </c>
      <c r="C1665" t="s">
        <v>110</v>
      </c>
      <c r="D1665" t="s">
        <v>1629</v>
      </c>
      <c r="E1665">
        <v>326.39999999999998</v>
      </c>
      <c r="F1665" t="s">
        <v>1578</v>
      </c>
      <c r="G1665" t="s">
        <v>1199</v>
      </c>
    </row>
    <row r="1666" spans="1:7">
      <c r="A1666" t="s">
        <v>3269</v>
      </c>
      <c r="B1666" s="2">
        <v>45763</v>
      </c>
      <c r="C1666" t="s">
        <v>114</v>
      </c>
      <c r="D1666" t="s">
        <v>1629</v>
      </c>
      <c r="E1666">
        <v>323.2</v>
      </c>
      <c r="F1666" t="s">
        <v>1578</v>
      </c>
      <c r="G1666" t="s">
        <v>1199</v>
      </c>
    </row>
    <row r="1667" spans="1:7">
      <c r="A1667" t="s">
        <v>3270</v>
      </c>
      <c r="B1667" s="2">
        <v>45763</v>
      </c>
      <c r="C1667" t="s">
        <v>117</v>
      </c>
      <c r="D1667" t="s">
        <v>1629</v>
      </c>
      <c r="E1667">
        <v>321.60000000000002</v>
      </c>
      <c r="F1667" t="s">
        <v>1578</v>
      </c>
      <c r="G1667" t="s">
        <v>1199</v>
      </c>
    </row>
    <row r="1668" spans="1:7">
      <c r="A1668" t="s">
        <v>3271</v>
      </c>
      <c r="B1668" s="2">
        <v>45763</v>
      </c>
      <c r="C1668" t="s">
        <v>119</v>
      </c>
      <c r="D1668" t="s">
        <v>1629</v>
      </c>
      <c r="E1668">
        <v>323.2</v>
      </c>
      <c r="F1668" t="s">
        <v>1578</v>
      </c>
      <c r="G1668" t="s">
        <v>1199</v>
      </c>
    </row>
    <row r="1669" spans="1:7">
      <c r="A1669" t="s">
        <v>3272</v>
      </c>
      <c r="B1669" s="2">
        <v>45764</v>
      </c>
      <c r="C1669" t="s">
        <v>117</v>
      </c>
      <c r="D1669" t="s">
        <v>1683</v>
      </c>
      <c r="E1669">
        <v>138</v>
      </c>
      <c r="F1669" t="s">
        <v>1578</v>
      </c>
      <c r="G1669" t="s">
        <v>557</v>
      </c>
    </row>
    <row r="1670" spans="1:7">
      <c r="A1670" t="s">
        <v>3273</v>
      </c>
      <c r="B1670" s="2">
        <v>45764</v>
      </c>
      <c r="C1670" t="s">
        <v>77</v>
      </c>
      <c r="D1670" t="s">
        <v>1683</v>
      </c>
      <c r="E1670">
        <v>225</v>
      </c>
      <c r="F1670" t="s">
        <v>1578</v>
      </c>
      <c r="G1670" t="s">
        <v>558</v>
      </c>
    </row>
    <row r="1671" spans="1:7">
      <c r="A1671" t="s">
        <v>3274</v>
      </c>
      <c r="B1671" s="2">
        <v>45765</v>
      </c>
      <c r="C1671" t="s">
        <v>61</v>
      </c>
      <c r="D1671" t="s">
        <v>1629</v>
      </c>
      <c r="E1671">
        <v>404.94</v>
      </c>
      <c r="F1671" t="s">
        <v>1578</v>
      </c>
      <c r="G1671" t="s">
        <v>1200</v>
      </c>
    </row>
    <row r="1672" spans="1:7">
      <c r="A1672" t="s">
        <v>3275</v>
      </c>
      <c r="B1672" s="2">
        <v>45765</v>
      </c>
      <c r="C1672" t="s">
        <v>65</v>
      </c>
      <c r="D1672" t="s">
        <v>1629</v>
      </c>
      <c r="E1672">
        <v>402.96</v>
      </c>
      <c r="F1672" t="s">
        <v>1578</v>
      </c>
      <c r="G1672" t="s">
        <v>1200</v>
      </c>
    </row>
    <row r="1673" spans="1:7">
      <c r="A1673" t="s">
        <v>3276</v>
      </c>
      <c r="B1673" s="2">
        <v>45765</v>
      </c>
      <c r="C1673" t="s">
        <v>68</v>
      </c>
      <c r="D1673" t="s">
        <v>1629</v>
      </c>
      <c r="E1673">
        <v>404.94</v>
      </c>
      <c r="F1673" t="s">
        <v>1578</v>
      </c>
      <c r="G1673" t="s">
        <v>1200</v>
      </c>
    </row>
    <row r="1674" spans="1:7">
      <c r="A1674" t="s">
        <v>3277</v>
      </c>
      <c r="B1674" s="2">
        <v>45765</v>
      </c>
      <c r="C1674" t="s">
        <v>70</v>
      </c>
      <c r="D1674" t="s">
        <v>1629</v>
      </c>
      <c r="E1674">
        <v>400.97</v>
      </c>
      <c r="F1674" t="s">
        <v>1578</v>
      </c>
      <c r="G1674" t="s">
        <v>1200</v>
      </c>
    </row>
    <row r="1675" spans="1:7">
      <c r="A1675" t="s">
        <v>3278</v>
      </c>
      <c r="B1675" s="2">
        <v>45765</v>
      </c>
      <c r="C1675" t="s">
        <v>75</v>
      </c>
      <c r="D1675" t="s">
        <v>1629</v>
      </c>
      <c r="E1675">
        <v>400.97</v>
      </c>
      <c r="F1675" t="s">
        <v>1578</v>
      </c>
      <c r="G1675" t="s">
        <v>1200</v>
      </c>
    </row>
    <row r="1676" spans="1:7">
      <c r="A1676" t="s">
        <v>3279</v>
      </c>
      <c r="B1676" s="2">
        <v>45765</v>
      </c>
      <c r="C1676" t="s">
        <v>77</v>
      </c>
      <c r="D1676" t="s">
        <v>1629</v>
      </c>
      <c r="E1676">
        <v>400.97</v>
      </c>
      <c r="F1676" t="s">
        <v>1578</v>
      </c>
      <c r="G1676" t="s">
        <v>1200</v>
      </c>
    </row>
    <row r="1677" spans="1:7">
      <c r="A1677" t="s">
        <v>3280</v>
      </c>
      <c r="B1677" s="2">
        <v>45765</v>
      </c>
      <c r="C1677" t="s">
        <v>79</v>
      </c>
      <c r="D1677" t="s">
        <v>1629</v>
      </c>
      <c r="E1677">
        <v>404.94</v>
      </c>
      <c r="F1677" t="s">
        <v>1578</v>
      </c>
      <c r="G1677" t="s">
        <v>1200</v>
      </c>
    </row>
    <row r="1678" spans="1:7">
      <c r="A1678" t="s">
        <v>3281</v>
      </c>
      <c r="B1678" s="2">
        <v>45765</v>
      </c>
      <c r="C1678" t="s">
        <v>81</v>
      </c>
      <c r="D1678" t="s">
        <v>1629</v>
      </c>
      <c r="E1678">
        <v>801.94</v>
      </c>
      <c r="F1678" t="s">
        <v>1578</v>
      </c>
      <c r="G1678" t="s">
        <v>1200</v>
      </c>
    </row>
    <row r="1679" spans="1:7">
      <c r="A1679" t="s">
        <v>3282</v>
      </c>
      <c r="B1679" s="2">
        <v>45765</v>
      </c>
      <c r="C1679" t="s">
        <v>110</v>
      </c>
      <c r="D1679" t="s">
        <v>1629</v>
      </c>
      <c r="E1679">
        <v>404.94</v>
      </c>
      <c r="F1679" t="s">
        <v>1578</v>
      </c>
      <c r="G1679" t="s">
        <v>1200</v>
      </c>
    </row>
    <row r="1680" spans="1:7">
      <c r="A1680" t="s">
        <v>3283</v>
      </c>
      <c r="B1680" s="2">
        <v>45765</v>
      </c>
      <c r="C1680" t="s">
        <v>114</v>
      </c>
      <c r="D1680" t="s">
        <v>1629</v>
      </c>
      <c r="E1680">
        <v>400.97</v>
      </c>
      <c r="F1680" t="s">
        <v>1578</v>
      </c>
      <c r="G1680" t="s">
        <v>1200</v>
      </c>
    </row>
    <row r="1681" spans="1:7">
      <c r="A1681" t="s">
        <v>3284</v>
      </c>
      <c r="B1681" s="2">
        <v>45765</v>
      </c>
      <c r="C1681" t="s">
        <v>117</v>
      </c>
      <c r="D1681" t="s">
        <v>1629</v>
      </c>
      <c r="E1681">
        <v>398.98</v>
      </c>
      <c r="F1681" t="s">
        <v>1578</v>
      </c>
      <c r="G1681" t="s">
        <v>1200</v>
      </c>
    </row>
    <row r="1682" spans="1:7">
      <c r="A1682" t="s">
        <v>3285</v>
      </c>
      <c r="B1682" s="2">
        <v>45765</v>
      </c>
      <c r="C1682" t="s">
        <v>119</v>
      </c>
      <c r="D1682" t="s">
        <v>1629</v>
      </c>
      <c r="E1682">
        <v>400.97</v>
      </c>
      <c r="F1682" t="s">
        <v>1578</v>
      </c>
      <c r="G1682" t="s">
        <v>1200</v>
      </c>
    </row>
    <row r="1683" spans="1:7">
      <c r="A1683" t="s">
        <v>3286</v>
      </c>
      <c r="B1683" s="2">
        <v>45765</v>
      </c>
      <c r="C1683" t="s">
        <v>61</v>
      </c>
      <c r="D1683" t="s">
        <v>1629</v>
      </c>
      <c r="E1683">
        <v>181.56</v>
      </c>
      <c r="F1683" t="s">
        <v>1578</v>
      </c>
      <c r="G1683" t="s">
        <v>1201</v>
      </c>
    </row>
    <row r="1684" spans="1:7">
      <c r="A1684" t="s">
        <v>3287</v>
      </c>
      <c r="B1684" s="2">
        <v>45765</v>
      </c>
      <c r="C1684" t="s">
        <v>65</v>
      </c>
      <c r="D1684" t="s">
        <v>1629</v>
      </c>
      <c r="E1684">
        <v>180.67</v>
      </c>
      <c r="F1684" t="s">
        <v>1578</v>
      </c>
      <c r="G1684" t="s">
        <v>1201</v>
      </c>
    </row>
    <row r="1685" spans="1:7">
      <c r="A1685" t="s">
        <v>3288</v>
      </c>
      <c r="B1685" s="2">
        <v>45765</v>
      </c>
      <c r="C1685" t="s">
        <v>68</v>
      </c>
      <c r="D1685" t="s">
        <v>1629</v>
      </c>
      <c r="E1685">
        <v>181.56</v>
      </c>
      <c r="F1685" t="s">
        <v>1578</v>
      </c>
      <c r="G1685" t="s">
        <v>1201</v>
      </c>
    </row>
    <row r="1686" spans="1:7">
      <c r="A1686" t="s">
        <v>3289</v>
      </c>
      <c r="B1686" s="2">
        <v>45765</v>
      </c>
      <c r="C1686" t="s">
        <v>70</v>
      </c>
      <c r="D1686" t="s">
        <v>1629</v>
      </c>
      <c r="E1686">
        <v>179.78</v>
      </c>
      <c r="F1686" t="s">
        <v>1578</v>
      </c>
      <c r="G1686" t="s">
        <v>1201</v>
      </c>
    </row>
    <row r="1687" spans="1:7">
      <c r="A1687" t="s">
        <v>3290</v>
      </c>
      <c r="B1687" s="2">
        <v>45765</v>
      </c>
      <c r="C1687" t="s">
        <v>75</v>
      </c>
      <c r="D1687" t="s">
        <v>1629</v>
      </c>
      <c r="E1687">
        <v>179.78</v>
      </c>
      <c r="F1687" t="s">
        <v>1578</v>
      </c>
      <c r="G1687" t="s">
        <v>1201</v>
      </c>
    </row>
    <row r="1688" spans="1:7">
      <c r="A1688" t="s">
        <v>3291</v>
      </c>
      <c r="B1688" s="2">
        <v>45765</v>
      </c>
      <c r="C1688" t="s">
        <v>77</v>
      </c>
      <c r="D1688" t="s">
        <v>1629</v>
      </c>
      <c r="E1688">
        <v>179.78</v>
      </c>
      <c r="F1688" t="s">
        <v>1578</v>
      </c>
      <c r="G1688" t="s">
        <v>1201</v>
      </c>
    </row>
    <row r="1689" spans="1:7">
      <c r="A1689" t="s">
        <v>3292</v>
      </c>
      <c r="B1689" s="2">
        <v>45765</v>
      </c>
      <c r="C1689" t="s">
        <v>79</v>
      </c>
      <c r="D1689" t="s">
        <v>1629</v>
      </c>
      <c r="E1689">
        <v>181.56</v>
      </c>
      <c r="F1689" t="s">
        <v>1578</v>
      </c>
      <c r="G1689" t="s">
        <v>1201</v>
      </c>
    </row>
    <row r="1690" spans="1:7">
      <c r="A1690" t="s">
        <v>3293</v>
      </c>
      <c r="B1690" s="2">
        <v>45765</v>
      </c>
      <c r="C1690" t="s">
        <v>81</v>
      </c>
      <c r="D1690" t="s">
        <v>1629</v>
      </c>
      <c r="E1690">
        <v>359.56</v>
      </c>
      <c r="F1690" t="s">
        <v>1578</v>
      </c>
      <c r="G1690" t="s">
        <v>1201</v>
      </c>
    </row>
    <row r="1691" spans="1:7">
      <c r="A1691" t="s">
        <v>3294</v>
      </c>
      <c r="B1691" s="2">
        <v>45765</v>
      </c>
      <c r="C1691" t="s">
        <v>110</v>
      </c>
      <c r="D1691" t="s">
        <v>1629</v>
      </c>
      <c r="E1691">
        <v>181.56</v>
      </c>
      <c r="F1691" t="s">
        <v>1578</v>
      </c>
      <c r="G1691" t="s">
        <v>1201</v>
      </c>
    </row>
    <row r="1692" spans="1:7">
      <c r="A1692" t="s">
        <v>3295</v>
      </c>
      <c r="B1692" s="2">
        <v>45765</v>
      </c>
      <c r="C1692" t="s">
        <v>114</v>
      </c>
      <c r="D1692" t="s">
        <v>1629</v>
      </c>
      <c r="E1692">
        <v>179.78</v>
      </c>
      <c r="F1692" t="s">
        <v>1578</v>
      </c>
      <c r="G1692" t="s">
        <v>1201</v>
      </c>
    </row>
    <row r="1693" spans="1:7">
      <c r="A1693" t="s">
        <v>3296</v>
      </c>
      <c r="B1693" s="2">
        <v>45765</v>
      </c>
      <c r="C1693" t="s">
        <v>117</v>
      </c>
      <c r="D1693" t="s">
        <v>1629</v>
      </c>
      <c r="E1693">
        <v>178.89</v>
      </c>
      <c r="F1693" t="s">
        <v>1578</v>
      </c>
      <c r="G1693" t="s">
        <v>1201</v>
      </c>
    </row>
    <row r="1694" spans="1:7">
      <c r="A1694" t="s">
        <v>3297</v>
      </c>
      <c r="B1694" s="2">
        <v>45765</v>
      </c>
      <c r="C1694" t="s">
        <v>119</v>
      </c>
      <c r="D1694" t="s">
        <v>1629</v>
      </c>
      <c r="E1694">
        <v>179.78</v>
      </c>
      <c r="F1694" t="s">
        <v>1578</v>
      </c>
      <c r="G1694" t="s">
        <v>1201</v>
      </c>
    </row>
    <row r="1695" spans="1:7">
      <c r="A1695" t="s">
        <v>3298</v>
      </c>
      <c r="B1695" s="2">
        <v>45765</v>
      </c>
      <c r="C1695" t="s">
        <v>117</v>
      </c>
      <c r="D1695" t="s">
        <v>1683</v>
      </c>
      <c r="E1695">
        <v>613</v>
      </c>
      <c r="F1695" t="s">
        <v>1578</v>
      </c>
      <c r="G1695" t="s">
        <v>559</v>
      </c>
    </row>
    <row r="1696" spans="1:7">
      <c r="A1696" t="s">
        <v>3299</v>
      </c>
      <c r="B1696" s="2">
        <v>45766</v>
      </c>
      <c r="C1696" t="s">
        <v>114</v>
      </c>
      <c r="D1696" t="s">
        <v>1683</v>
      </c>
      <c r="E1696">
        <v>257</v>
      </c>
      <c r="F1696" t="s">
        <v>1578</v>
      </c>
      <c r="G1696" t="s">
        <v>561</v>
      </c>
    </row>
    <row r="1697" spans="1:7">
      <c r="A1697" t="s">
        <v>3300</v>
      </c>
      <c r="B1697" s="2">
        <v>45766</v>
      </c>
      <c r="C1697" t="s">
        <v>89</v>
      </c>
      <c r="D1697" t="s">
        <v>1683</v>
      </c>
      <c r="E1697">
        <v>141</v>
      </c>
      <c r="F1697" t="s">
        <v>1578</v>
      </c>
      <c r="G1697" t="s">
        <v>562</v>
      </c>
    </row>
    <row r="1698" spans="1:7">
      <c r="A1698" t="s">
        <v>3301</v>
      </c>
      <c r="B1698" s="2">
        <v>45767</v>
      </c>
      <c r="C1698" t="s">
        <v>61</v>
      </c>
      <c r="D1698" t="s">
        <v>1629</v>
      </c>
      <c r="E1698">
        <v>154.02000000000001</v>
      </c>
      <c r="F1698" t="s">
        <v>1578</v>
      </c>
      <c r="G1698" t="s">
        <v>1202</v>
      </c>
    </row>
    <row r="1699" spans="1:7">
      <c r="A1699" t="s">
        <v>3302</v>
      </c>
      <c r="B1699" s="2">
        <v>45767</v>
      </c>
      <c r="C1699" t="s">
        <v>65</v>
      </c>
      <c r="D1699" t="s">
        <v>1629</v>
      </c>
      <c r="E1699">
        <v>153.26</v>
      </c>
      <c r="F1699" t="s">
        <v>1578</v>
      </c>
      <c r="G1699" t="s">
        <v>1202</v>
      </c>
    </row>
    <row r="1700" spans="1:7">
      <c r="A1700" t="s">
        <v>3303</v>
      </c>
      <c r="B1700" s="2">
        <v>45767</v>
      </c>
      <c r="C1700" t="s">
        <v>68</v>
      </c>
      <c r="D1700" t="s">
        <v>1629</v>
      </c>
      <c r="E1700">
        <v>154.02000000000001</v>
      </c>
      <c r="F1700" t="s">
        <v>1578</v>
      </c>
      <c r="G1700" t="s">
        <v>1202</v>
      </c>
    </row>
    <row r="1701" spans="1:7">
      <c r="A1701" t="s">
        <v>3304</v>
      </c>
      <c r="B1701" s="2">
        <v>45767</v>
      </c>
      <c r="C1701" t="s">
        <v>70</v>
      </c>
      <c r="D1701" t="s">
        <v>1629</v>
      </c>
      <c r="E1701">
        <v>152.51</v>
      </c>
      <c r="F1701" t="s">
        <v>1578</v>
      </c>
      <c r="G1701" t="s">
        <v>1202</v>
      </c>
    </row>
    <row r="1702" spans="1:7">
      <c r="A1702" t="s">
        <v>3305</v>
      </c>
      <c r="B1702" s="2">
        <v>45767</v>
      </c>
      <c r="C1702" t="s">
        <v>75</v>
      </c>
      <c r="D1702" t="s">
        <v>1629</v>
      </c>
      <c r="E1702">
        <v>152.51</v>
      </c>
      <c r="F1702" t="s">
        <v>1578</v>
      </c>
      <c r="G1702" t="s">
        <v>1202</v>
      </c>
    </row>
    <row r="1703" spans="1:7">
      <c r="A1703" t="s">
        <v>3306</v>
      </c>
      <c r="B1703" s="2">
        <v>45767</v>
      </c>
      <c r="C1703" t="s">
        <v>77</v>
      </c>
      <c r="D1703" t="s">
        <v>1629</v>
      </c>
      <c r="E1703">
        <v>152.51</v>
      </c>
      <c r="F1703" t="s">
        <v>1578</v>
      </c>
      <c r="G1703" t="s">
        <v>1202</v>
      </c>
    </row>
    <row r="1704" spans="1:7">
      <c r="A1704" t="s">
        <v>3307</v>
      </c>
      <c r="B1704" s="2">
        <v>45767</v>
      </c>
      <c r="C1704" t="s">
        <v>79</v>
      </c>
      <c r="D1704" t="s">
        <v>1629</v>
      </c>
      <c r="E1704">
        <v>154.02000000000001</v>
      </c>
      <c r="F1704" t="s">
        <v>1578</v>
      </c>
      <c r="G1704" t="s">
        <v>1202</v>
      </c>
    </row>
    <row r="1705" spans="1:7">
      <c r="A1705" t="s">
        <v>3308</v>
      </c>
      <c r="B1705" s="2">
        <v>45767</v>
      </c>
      <c r="C1705" t="s">
        <v>81</v>
      </c>
      <c r="D1705" t="s">
        <v>1629</v>
      </c>
      <c r="E1705">
        <v>305.02</v>
      </c>
      <c r="F1705" t="s">
        <v>1578</v>
      </c>
      <c r="G1705" t="s">
        <v>1202</v>
      </c>
    </row>
    <row r="1706" spans="1:7">
      <c r="A1706" t="s">
        <v>3309</v>
      </c>
      <c r="B1706" s="2">
        <v>45767</v>
      </c>
      <c r="C1706" t="s">
        <v>110</v>
      </c>
      <c r="D1706" t="s">
        <v>1629</v>
      </c>
      <c r="E1706">
        <v>154.02000000000001</v>
      </c>
      <c r="F1706" t="s">
        <v>1578</v>
      </c>
      <c r="G1706" t="s">
        <v>1202</v>
      </c>
    </row>
    <row r="1707" spans="1:7">
      <c r="A1707" t="s">
        <v>3310</v>
      </c>
      <c r="B1707" s="2">
        <v>45767</v>
      </c>
      <c r="C1707" t="s">
        <v>114</v>
      </c>
      <c r="D1707" t="s">
        <v>1629</v>
      </c>
      <c r="E1707">
        <v>152.51</v>
      </c>
      <c r="F1707" t="s">
        <v>1578</v>
      </c>
      <c r="G1707" t="s">
        <v>1202</v>
      </c>
    </row>
    <row r="1708" spans="1:7">
      <c r="A1708" t="s">
        <v>3311</v>
      </c>
      <c r="B1708" s="2">
        <v>45767</v>
      </c>
      <c r="C1708" t="s">
        <v>117</v>
      </c>
      <c r="D1708" t="s">
        <v>1629</v>
      </c>
      <c r="E1708">
        <v>151.76</v>
      </c>
      <c r="F1708" t="s">
        <v>1578</v>
      </c>
      <c r="G1708" t="s">
        <v>1202</v>
      </c>
    </row>
    <row r="1709" spans="1:7">
      <c r="A1709" t="s">
        <v>3312</v>
      </c>
      <c r="B1709" s="2">
        <v>45767</v>
      </c>
      <c r="C1709" t="s">
        <v>119</v>
      </c>
      <c r="D1709" t="s">
        <v>1629</v>
      </c>
      <c r="E1709">
        <v>152.51</v>
      </c>
      <c r="F1709" t="s">
        <v>1578</v>
      </c>
      <c r="G1709" t="s">
        <v>1202</v>
      </c>
    </row>
    <row r="1710" spans="1:7">
      <c r="A1710" t="s">
        <v>3313</v>
      </c>
      <c r="B1710" s="2">
        <v>45767</v>
      </c>
      <c r="C1710" t="s">
        <v>75</v>
      </c>
      <c r="D1710" t="s">
        <v>1629</v>
      </c>
      <c r="E1710">
        <v>330.27</v>
      </c>
      <c r="F1710" t="s">
        <v>1578</v>
      </c>
      <c r="G1710" t="s">
        <v>1203</v>
      </c>
    </row>
    <row r="1711" spans="1:7">
      <c r="A1711" t="s">
        <v>3314</v>
      </c>
      <c r="B1711" s="2">
        <v>45767</v>
      </c>
      <c r="C1711" t="s">
        <v>91</v>
      </c>
      <c r="D1711" t="s">
        <v>1629</v>
      </c>
      <c r="E1711">
        <v>335.17</v>
      </c>
      <c r="F1711" t="s">
        <v>1578</v>
      </c>
      <c r="G1711" t="s">
        <v>1203</v>
      </c>
    </row>
    <row r="1712" spans="1:7">
      <c r="A1712" t="s">
        <v>3315</v>
      </c>
      <c r="B1712" s="2">
        <v>45767</v>
      </c>
      <c r="C1712" t="s">
        <v>93</v>
      </c>
      <c r="D1712" t="s">
        <v>1629</v>
      </c>
      <c r="E1712">
        <v>333.54</v>
      </c>
      <c r="F1712" t="s">
        <v>1578</v>
      </c>
      <c r="G1712" t="s">
        <v>1203</v>
      </c>
    </row>
    <row r="1713" spans="1:7">
      <c r="A1713" t="s">
        <v>3316</v>
      </c>
      <c r="B1713" s="2">
        <v>45767</v>
      </c>
      <c r="C1713" t="s">
        <v>95</v>
      </c>
      <c r="D1713" t="s">
        <v>1629</v>
      </c>
      <c r="E1713">
        <v>331.9</v>
      </c>
      <c r="F1713" t="s">
        <v>1578</v>
      </c>
      <c r="G1713" t="s">
        <v>1203</v>
      </c>
    </row>
    <row r="1714" spans="1:7">
      <c r="A1714" t="s">
        <v>3317</v>
      </c>
      <c r="B1714" s="2">
        <v>45767</v>
      </c>
      <c r="C1714" t="s">
        <v>97</v>
      </c>
      <c r="D1714" t="s">
        <v>1629</v>
      </c>
      <c r="E1714">
        <v>330.27</v>
      </c>
      <c r="F1714" t="s">
        <v>1578</v>
      </c>
      <c r="G1714" t="s">
        <v>1203</v>
      </c>
    </row>
    <row r="1715" spans="1:7">
      <c r="A1715" t="s">
        <v>3318</v>
      </c>
      <c r="B1715" s="2">
        <v>45767</v>
      </c>
      <c r="C1715" t="s">
        <v>99</v>
      </c>
      <c r="D1715" t="s">
        <v>1629</v>
      </c>
      <c r="E1715">
        <v>168.4</v>
      </c>
      <c r="F1715" t="s">
        <v>1578</v>
      </c>
      <c r="G1715" t="s">
        <v>1203</v>
      </c>
    </row>
    <row r="1716" spans="1:7">
      <c r="A1716" t="s">
        <v>3319</v>
      </c>
      <c r="B1716" s="2">
        <v>45767</v>
      </c>
      <c r="C1716" t="s">
        <v>102</v>
      </c>
      <c r="D1716" t="s">
        <v>1629</v>
      </c>
      <c r="E1716">
        <v>333.54</v>
      </c>
      <c r="F1716" t="s">
        <v>1578</v>
      </c>
      <c r="G1716" t="s">
        <v>1203</v>
      </c>
    </row>
    <row r="1717" spans="1:7">
      <c r="A1717" t="s">
        <v>3320</v>
      </c>
      <c r="B1717" s="2">
        <v>45767</v>
      </c>
      <c r="C1717" t="s">
        <v>108</v>
      </c>
      <c r="D1717" t="s">
        <v>1629</v>
      </c>
      <c r="E1717">
        <v>663.81</v>
      </c>
      <c r="F1717" t="s">
        <v>1578</v>
      </c>
      <c r="G1717" t="s">
        <v>1203</v>
      </c>
    </row>
    <row r="1718" spans="1:7">
      <c r="A1718" t="s">
        <v>3321</v>
      </c>
      <c r="B1718" s="2">
        <v>45767</v>
      </c>
      <c r="C1718" t="s">
        <v>110</v>
      </c>
      <c r="D1718" t="s">
        <v>1629</v>
      </c>
      <c r="E1718">
        <v>333.54</v>
      </c>
      <c r="F1718" t="s">
        <v>1578</v>
      </c>
      <c r="G1718" t="s">
        <v>1203</v>
      </c>
    </row>
    <row r="1719" spans="1:7">
      <c r="A1719" t="s">
        <v>3322</v>
      </c>
      <c r="B1719" s="2">
        <v>45767</v>
      </c>
      <c r="C1719" t="s">
        <v>114</v>
      </c>
      <c r="D1719" t="s">
        <v>1629</v>
      </c>
      <c r="E1719">
        <v>330.27</v>
      </c>
      <c r="F1719" t="s">
        <v>1578</v>
      </c>
      <c r="G1719" t="s">
        <v>1203</v>
      </c>
    </row>
    <row r="1720" spans="1:7">
      <c r="A1720" t="s">
        <v>3323</v>
      </c>
      <c r="B1720" s="2">
        <v>45767</v>
      </c>
      <c r="C1720" t="s">
        <v>117</v>
      </c>
      <c r="D1720" t="s">
        <v>1629</v>
      </c>
      <c r="E1720">
        <v>328.64</v>
      </c>
      <c r="F1720" t="s">
        <v>1578</v>
      </c>
      <c r="G1720" t="s">
        <v>1203</v>
      </c>
    </row>
    <row r="1721" spans="1:7">
      <c r="A1721" t="s">
        <v>3324</v>
      </c>
      <c r="B1721" s="2">
        <v>45767</v>
      </c>
      <c r="C1721" t="s">
        <v>119</v>
      </c>
      <c r="D1721" t="s">
        <v>1629</v>
      </c>
      <c r="E1721">
        <v>330.27</v>
      </c>
      <c r="F1721" t="s">
        <v>1578</v>
      </c>
      <c r="G1721" t="s">
        <v>1203</v>
      </c>
    </row>
    <row r="1722" spans="1:7">
      <c r="A1722" t="s">
        <v>3325</v>
      </c>
      <c r="B1722" s="2">
        <v>45767</v>
      </c>
      <c r="C1722" t="s">
        <v>93</v>
      </c>
      <c r="D1722" t="s">
        <v>1683</v>
      </c>
      <c r="E1722">
        <v>95</v>
      </c>
      <c r="F1722" t="s">
        <v>1578</v>
      </c>
      <c r="G1722" t="s">
        <v>563</v>
      </c>
    </row>
    <row r="1723" spans="1:7">
      <c r="A1723" t="s">
        <v>3326</v>
      </c>
      <c r="B1723" s="2">
        <v>45767</v>
      </c>
      <c r="C1723" t="s">
        <v>77</v>
      </c>
      <c r="D1723" t="s">
        <v>1683</v>
      </c>
      <c r="E1723">
        <v>287</v>
      </c>
      <c r="F1723" t="s">
        <v>1578</v>
      </c>
      <c r="G1723" t="s">
        <v>564</v>
      </c>
    </row>
    <row r="1724" spans="1:7">
      <c r="A1724" t="s">
        <v>3327</v>
      </c>
      <c r="B1724" s="2">
        <v>45767</v>
      </c>
      <c r="C1724" t="s">
        <v>95</v>
      </c>
      <c r="D1724" t="s">
        <v>1683</v>
      </c>
      <c r="E1724">
        <v>171</v>
      </c>
      <c r="F1724" t="s">
        <v>1578</v>
      </c>
      <c r="G1724" t="s">
        <v>565</v>
      </c>
    </row>
    <row r="1725" spans="1:7">
      <c r="A1725" t="s">
        <v>3328</v>
      </c>
      <c r="B1725" s="2">
        <v>45768</v>
      </c>
      <c r="C1725" t="s">
        <v>75</v>
      </c>
      <c r="D1725" t="s">
        <v>1629</v>
      </c>
      <c r="E1725">
        <v>262.60000000000002</v>
      </c>
      <c r="F1725" t="s">
        <v>1578</v>
      </c>
      <c r="G1725" t="s">
        <v>1204</v>
      </c>
    </row>
    <row r="1726" spans="1:7">
      <c r="A1726" t="s">
        <v>3329</v>
      </c>
      <c r="B1726" s="2">
        <v>45768</v>
      </c>
      <c r="C1726" t="s">
        <v>104</v>
      </c>
      <c r="D1726" t="s">
        <v>1629</v>
      </c>
      <c r="E1726">
        <v>535.6</v>
      </c>
      <c r="F1726" t="s">
        <v>1578</v>
      </c>
      <c r="G1726" t="s">
        <v>1204</v>
      </c>
    </row>
    <row r="1727" spans="1:7">
      <c r="A1727" t="s">
        <v>3330</v>
      </c>
      <c r="B1727" s="2">
        <v>45768</v>
      </c>
      <c r="C1727" t="s">
        <v>108</v>
      </c>
      <c r="D1727" t="s">
        <v>1629</v>
      </c>
      <c r="E1727">
        <v>527.79999999999995</v>
      </c>
      <c r="F1727" t="s">
        <v>1578</v>
      </c>
      <c r="G1727" t="s">
        <v>1204</v>
      </c>
    </row>
    <row r="1728" spans="1:7">
      <c r="A1728" t="s">
        <v>3331</v>
      </c>
      <c r="B1728" s="2">
        <v>45768</v>
      </c>
      <c r="C1728" t="s">
        <v>110</v>
      </c>
      <c r="D1728" t="s">
        <v>1629</v>
      </c>
      <c r="E1728">
        <v>265.2</v>
      </c>
      <c r="F1728" t="s">
        <v>1578</v>
      </c>
      <c r="G1728" t="s">
        <v>1204</v>
      </c>
    </row>
    <row r="1729" spans="1:7">
      <c r="A1729" t="s">
        <v>3332</v>
      </c>
      <c r="B1729" s="2">
        <v>45768</v>
      </c>
      <c r="C1729" t="s">
        <v>114</v>
      </c>
      <c r="D1729" t="s">
        <v>1629</v>
      </c>
      <c r="E1729">
        <v>262.60000000000002</v>
      </c>
      <c r="F1729" t="s">
        <v>1578</v>
      </c>
      <c r="G1729" t="s">
        <v>1204</v>
      </c>
    </row>
    <row r="1730" spans="1:7">
      <c r="A1730" t="s">
        <v>3333</v>
      </c>
      <c r="B1730" s="2">
        <v>45768</v>
      </c>
      <c r="C1730" t="s">
        <v>117</v>
      </c>
      <c r="D1730" t="s">
        <v>1629</v>
      </c>
      <c r="E1730">
        <v>261.3</v>
      </c>
      <c r="F1730" t="s">
        <v>1578</v>
      </c>
      <c r="G1730" t="s">
        <v>1204</v>
      </c>
    </row>
    <row r="1731" spans="1:7">
      <c r="A1731" t="s">
        <v>3334</v>
      </c>
      <c r="B1731" s="2">
        <v>45768</v>
      </c>
      <c r="C1731" t="s">
        <v>119</v>
      </c>
      <c r="D1731" t="s">
        <v>1629</v>
      </c>
      <c r="E1731">
        <v>262.60000000000002</v>
      </c>
      <c r="F1731" t="s">
        <v>1578</v>
      </c>
      <c r="G1731" t="s">
        <v>1204</v>
      </c>
    </row>
    <row r="1732" spans="1:7">
      <c r="A1732" t="s">
        <v>3335</v>
      </c>
      <c r="B1732" s="2">
        <v>45768</v>
      </c>
      <c r="C1732" t="s">
        <v>75</v>
      </c>
      <c r="D1732" t="s">
        <v>1629</v>
      </c>
      <c r="E1732">
        <v>426.22</v>
      </c>
      <c r="F1732" t="s">
        <v>1578</v>
      </c>
      <c r="G1732" t="s">
        <v>1205</v>
      </c>
    </row>
    <row r="1733" spans="1:7">
      <c r="A1733" t="s">
        <v>3336</v>
      </c>
      <c r="B1733" s="2">
        <v>45768</v>
      </c>
      <c r="C1733" t="s">
        <v>91</v>
      </c>
      <c r="D1733" t="s">
        <v>1629</v>
      </c>
      <c r="E1733">
        <v>432.55</v>
      </c>
      <c r="F1733" t="s">
        <v>1578</v>
      </c>
      <c r="G1733" t="s">
        <v>1205</v>
      </c>
    </row>
    <row r="1734" spans="1:7">
      <c r="A1734" t="s">
        <v>3337</v>
      </c>
      <c r="B1734" s="2">
        <v>45768</v>
      </c>
      <c r="C1734" t="s">
        <v>93</v>
      </c>
      <c r="D1734" t="s">
        <v>1629</v>
      </c>
      <c r="E1734">
        <v>430.44</v>
      </c>
      <c r="F1734" t="s">
        <v>1578</v>
      </c>
      <c r="G1734" t="s">
        <v>1205</v>
      </c>
    </row>
    <row r="1735" spans="1:7">
      <c r="A1735" t="s">
        <v>3338</v>
      </c>
      <c r="B1735" s="2">
        <v>45768</v>
      </c>
      <c r="C1735" t="s">
        <v>95</v>
      </c>
      <c r="D1735" t="s">
        <v>1629</v>
      </c>
      <c r="E1735">
        <v>428.33</v>
      </c>
      <c r="F1735" t="s">
        <v>1578</v>
      </c>
      <c r="G1735" t="s">
        <v>1205</v>
      </c>
    </row>
    <row r="1736" spans="1:7">
      <c r="A1736" t="s">
        <v>3339</v>
      </c>
      <c r="B1736" s="2">
        <v>45768</v>
      </c>
      <c r="C1736" t="s">
        <v>97</v>
      </c>
      <c r="D1736" t="s">
        <v>1629</v>
      </c>
      <c r="E1736">
        <v>426.22</v>
      </c>
      <c r="F1736" t="s">
        <v>1578</v>
      </c>
      <c r="G1736" t="s">
        <v>1205</v>
      </c>
    </row>
    <row r="1737" spans="1:7">
      <c r="A1737" t="s">
        <v>3340</v>
      </c>
      <c r="B1737" s="2">
        <v>45768</v>
      </c>
      <c r="C1737" t="s">
        <v>99</v>
      </c>
      <c r="D1737" t="s">
        <v>1629</v>
      </c>
      <c r="E1737">
        <v>217.33</v>
      </c>
      <c r="F1737" t="s">
        <v>1578</v>
      </c>
      <c r="G1737" t="s">
        <v>1205</v>
      </c>
    </row>
    <row r="1738" spans="1:7">
      <c r="A1738" t="s">
        <v>3341</v>
      </c>
      <c r="B1738" s="2">
        <v>45768</v>
      </c>
      <c r="C1738" t="s">
        <v>102</v>
      </c>
      <c r="D1738" t="s">
        <v>1629</v>
      </c>
      <c r="E1738">
        <v>430.44</v>
      </c>
      <c r="F1738" t="s">
        <v>1578</v>
      </c>
      <c r="G1738" t="s">
        <v>1205</v>
      </c>
    </row>
    <row r="1739" spans="1:7">
      <c r="A1739" t="s">
        <v>3342</v>
      </c>
      <c r="B1739" s="2">
        <v>45768</v>
      </c>
      <c r="C1739" t="s">
        <v>108</v>
      </c>
      <c r="D1739" t="s">
        <v>1629</v>
      </c>
      <c r="E1739">
        <v>856.66</v>
      </c>
      <c r="F1739" t="s">
        <v>1578</v>
      </c>
      <c r="G1739" t="s">
        <v>1205</v>
      </c>
    </row>
    <row r="1740" spans="1:7">
      <c r="A1740" t="s">
        <v>3343</v>
      </c>
      <c r="B1740" s="2">
        <v>45768</v>
      </c>
      <c r="C1740" t="s">
        <v>110</v>
      </c>
      <c r="D1740" t="s">
        <v>1629</v>
      </c>
      <c r="E1740">
        <v>430.44</v>
      </c>
      <c r="F1740" t="s">
        <v>1578</v>
      </c>
      <c r="G1740" t="s">
        <v>1205</v>
      </c>
    </row>
    <row r="1741" spans="1:7">
      <c r="A1741" t="s">
        <v>3344</v>
      </c>
      <c r="B1741" s="2">
        <v>45768</v>
      </c>
      <c r="C1741" t="s">
        <v>114</v>
      </c>
      <c r="D1741" t="s">
        <v>1629</v>
      </c>
      <c r="E1741">
        <v>426.22</v>
      </c>
      <c r="F1741" t="s">
        <v>1578</v>
      </c>
      <c r="G1741" t="s">
        <v>1205</v>
      </c>
    </row>
    <row r="1742" spans="1:7">
      <c r="A1742" t="s">
        <v>3345</v>
      </c>
      <c r="B1742" s="2">
        <v>45768</v>
      </c>
      <c r="C1742" t="s">
        <v>117</v>
      </c>
      <c r="D1742" t="s">
        <v>1629</v>
      </c>
      <c r="E1742">
        <v>424.11</v>
      </c>
      <c r="F1742" t="s">
        <v>1578</v>
      </c>
      <c r="G1742" t="s">
        <v>1205</v>
      </c>
    </row>
    <row r="1743" spans="1:7">
      <c r="A1743" t="s">
        <v>3346</v>
      </c>
      <c r="B1743" s="2">
        <v>45768</v>
      </c>
      <c r="C1743" t="s">
        <v>119</v>
      </c>
      <c r="D1743" t="s">
        <v>1629</v>
      </c>
      <c r="E1743">
        <v>426.22</v>
      </c>
      <c r="F1743" t="s">
        <v>1578</v>
      </c>
      <c r="G1743" t="s">
        <v>1205</v>
      </c>
    </row>
    <row r="1744" spans="1:7">
      <c r="A1744" t="s">
        <v>3347</v>
      </c>
      <c r="B1744" s="2">
        <v>45768</v>
      </c>
      <c r="C1744" t="s">
        <v>61</v>
      </c>
      <c r="D1744" t="s">
        <v>1629</v>
      </c>
      <c r="E1744">
        <v>245.82</v>
      </c>
      <c r="F1744" t="s">
        <v>1578</v>
      </c>
      <c r="G1744" t="s">
        <v>1206</v>
      </c>
    </row>
    <row r="1745" spans="1:7">
      <c r="A1745" t="s">
        <v>3348</v>
      </c>
      <c r="B1745" s="2">
        <v>45768</v>
      </c>
      <c r="C1745" t="s">
        <v>65</v>
      </c>
      <c r="D1745" t="s">
        <v>1629</v>
      </c>
      <c r="E1745">
        <v>244.61</v>
      </c>
      <c r="F1745" t="s">
        <v>1578</v>
      </c>
      <c r="G1745" t="s">
        <v>1206</v>
      </c>
    </row>
    <row r="1746" spans="1:7">
      <c r="A1746" t="s">
        <v>3349</v>
      </c>
      <c r="B1746" s="2">
        <v>45768</v>
      </c>
      <c r="C1746" t="s">
        <v>68</v>
      </c>
      <c r="D1746" t="s">
        <v>1629</v>
      </c>
      <c r="E1746">
        <v>245.82</v>
      </c>
      <c r="F1746" t="s">
        <v>1578</v>
      </c>
      <c r="G1746" t="s">
        <v>1206</v>
      </c>
    </row>
    <row r="1747" spans="1:7">
      <c r="A1747" t="s">
        <v>3350</v>
      </c>
      <c r="B1747" s="2">
        <v>45768</v>
      </c>
      <c r="C1747" t="s">
        <v>70</v>
      </c>
      <c r="D1747" t="s">
        <v>1629</v>
      </c>
      <c r="E1747">
        <v>243.41</v>
      </c>
      <c r="F1747" t="s">
        <v>1578</v>
      </c>
      <c r="G1747" t="s">
        <v>1206</v>
      </c>
    </row>
    <row r="1748" spans="1:7">
      <c r="A1748" t="s">
        <v>3351</v>
      </c>
      <c r="B1748" s="2">
        <v>45768</v>
      </c>
      <c r="C1748" t="s">
        <v>75</v>
      </c>
      <c r="D1748" t="s">
        <v>1629</v>
      </c>
      <c r="E1748">
        <v>243.41</v>
      </c>
      <c r="F1748" t="s">
        <v>1578</v>
      </c>
      <c r="G1748" t="s">
        <v>1206</v>
      </c>
    </row>
    <row r="1749" spans="1:7">
      <c r="A1749" t="s">
        <v>3352</v>
      </c>
      <c r="B1749" s="2">
        <v>45768</v>
      </c>
      <c r="C1749" t="s">
        <v>77</v>
      </c>
      <c r="D1749" t="s">
        <v>1629</v>
      </c>
      <c r="E1749">
        <v>243.41</v>
      </c>
      <c r="F1749" t="s">
        <v>1578</v>
      </c>
      <c r="G1749" t="s">
        <v>1206</v>
      </c>
    </row>
    <row r="1750" spans="1:7">
      <c r="A1750" t="s">
        <v>3353</v>
      </c>
      <c r="B1750" s="2">
        <v>45768</v>
      </c>
      <c r="C1750" t="s">
        <v>79</v>
      </c>
      <c r="D1750" t="s">
        <v>1629</v>
      </c>
      <c r="E1750">
        <v>245.82</v>
      </c>
      <c r="F1750" t="s">
        <v>1578</v>
      </c>
      <c r="G1750" t="s">
        <v>1206</v>
      </c>
    </row>
    <row r="1751" spans="1:7">
      <c r="A1751" t="s">
        <v>3354</v>
      </c>
      <c r="B1751" s="2">
        <v>45768</v>
      </c>
      <c r="C1751" t="s">
        <v>81</v>
      </c>
      <c r="D1751" t="s">
        <v>1629</v>
      </c>
      <c r="E1751">
        <v>486.82</v>
      </c>
      <c r="F1751" t="s">
        <v>1578</v>
      </c>
      <c r="G1751" t="s">
        <v>1206</v>
      </c>
    </row>
    <row r="1752" spans="1:7">
      <c r="A1752" t="s">
        <v>3355</v>
      </c>
      <c r="B1752" s="2">
        <v>45768</v>
      </c>
      <c r="C1752" t="s">
        <v>110</v>
      </c>
      <c r="D1752" t="s">
        <v>1629</v>
      </c>
      <c r="E1752">
        <v>245.82</v>
      </c>
      <c r="F1752" t="s">
        <v>1578</v>
      </c>
      <c r="G1752" t="s">
        <v>1206</v>
      </c>
    </row>
    <row r="1753" spans="1:7">
      <c r="A1753" t="s">
        <v>3356</v>
      </c>
      <c r="B1753" s="2">
        <v>45768</v>
      </c>
      <c r="C1753" t="s">
        <v>114</v>
      </c>
      <c r="D1753" t="s">
        <v>1629</v>
      </c>
      <c r="E1753">
        <v>243.41</v>
      </c>
      <c r="F1753" t="s">
        <v>1578</v>
      </c>
      <c r="G1753" t="s">
        <v>1206</v>
      </c>
    </row>
    <row r="1754" spans="1:7">
      <c r="A1754" t="s">
        <v>3357</v>
      </c>
      <c r="B1754" s="2">
        <v>45768</v>
      </c>
      <c r="C1754" t="s">
        <v>117</v>
      </c>
      <c r="D1754" t="s">
        <v>1629</v>
      </c>
      <c r="E1754">
        <v>242.2</v>
      </c>
      <c r="F1754" t="s">
        <v>1578</v>
      </c>
      <c r="G1754" t="s">
        <v>1206</v>
      </c>
    </row>
    <row r="1755" spans="1:7">
      <c r="A1755" t="s">
        <v>3358</v>
      </c>
      <c r="B1755" s="2">
        <v>45768</v>
      </c>
      <c r="C1755" t="s">
        <v>119</v>
      </c>
      <c r="D1755" t="s">
        <v>1629</v>
      </c>
      <c r="E1755">
        <v>243.41</v>
      </c>
      <c r="F1755" t="s">
        <v>1578</v>
      </c>
      <c r="G1755" t="s">
        <v>1206</v>
      </c>
    </row>
    <row r="1756" spans="1:7">
      <c r="A1756" t="s">
        <v>3359</v>
      </c>
      <c r="B1756" s="2">
        <v>45768</v>
      </c>
      <c r="C1756" t="s">
        <v>75</v>
      </c>
      <c r="D1756" t="s">
        <v>1629</v>
      </c>
      <c r="E1756">
        <v>107.06</v>
      </c>
      <c r="F1756" t="s">
        <v>1578</v>
      </c>
      <c r="G1756" t="s">
        <v>1207</v>
      </c>
    </row>
    <row r="1757" spans="1:7">
      <c r="A1757" t="s">
        <v>3360</v>
      </c>
      <c r="B1757" s="2">
        <v>45768</v>
      </c>
      <c r="C1757" t="s">
        <v>91</v>
      </c>
      <c r="D1757" t="s">
        <v>1629</v>
      </c>
      <c r="E1757">
        <v>108.65</v>
      </c>
      <c r="F1757" t="s">
        <v>1578</v>
      </c>
      <c r="G1757" t="s">
        <v>1207</v>
      </c>
    </row>
    <row r="1758" spans="1:7">
      <c r="A1758" t="s">
        <v>3361</v>
      </c>
      <c r="B1758" s="2">
        <v>45768</v>
      </c>
      <c r="C1758" t="s">
        <v>93</v>
      </c>
      <c r="D1758" t="s">
        <v>1629</v>
      </c>
      <c r="E1758">
        <v>108.12</v>
      </c>
      <c r="F1758" t="s">
        <v>1578</v>
      </c>
      <c r="G1758" t="s">
        <v>1207</v>
      </c>
    </row>
    <row r="1759" spans="1:7">
      <c r="A1759" t="s">
        <v>3362</v>
      </c>
      <c r="B1759" s="2">
        <v>45768</v>
      </c>
      <c r="C1759" t="s">
        <v>95</v>
      </c>
      <c r="D1759" t="s">
        <v>1629</v>
      </c>
      <c r="E1759">
        <v>107.59</v>
      </c>
      <c r="F1759" t="s">
        <v>1578</v>
      </c>
      <c r="G1759" t="s">
        <v>1207</v>
      </c>
    </row>
    <row r="1760" spans="1:7">
      <c r="A1760" t="s">
        <v>3363</v>
      </c>
      <c r="B1760" s="2">
        <v>45768</v>
      </c>
      <c r="C1760" t="s">
        <v>97</v>
      </c>
      <c r="D1760" t="s">
        <v>1629</v>
      </c>
      <c r="E1760">
        <v>107.06</v>
      </c>
      <c r="F1760" t="s">
        <v>1578</v>
      </c>
      <c r="G1760" t="s">
        <v>1207</v>
      </c>
    </row>
    <row r="1761" spans="1:7">
      <c r="A1761" t="s">
        <v>3364</v>
      </c>
      <c r="B1761" s="2">
        <v>45768</v>
      </c>
      <c r="C1761" t="s">
        <v>99</v>
      </c>
      <c r="D1761" t="s">
        <v>1629</v>
      </c>
      <c r="E1761">
        <v>54.59</v>
      </c>
      <c r="F1761" t="s">
        <v>1578</v>
      </c>
      <c r="G1761" t="s">
        <v>1207</v>
      </c>
    </row>
    <row r="1762" spans="1:7">
      <c r="A1762" t="s">
        <v>3365</v>
      </c>
      <c r="B1762" s="2">
        <v>45768</v>
      </c>
      <c r="C1762" t="s">
        <v>102</v>
      </c>
      <c r="D1762" t="s">
        <v>1629</v>
      </c>
      <c r="E1762">
        <v>108.12</v>
      </c>
      <c r="F1762" t="s">
        <v>1578</v>
      </c>
      <c r="G1762" t="s">
        <v>1207</v>
      </c>
    </row>
    <row r="1763" spans="1:7">
      <c r="A1763" t="s">
        <v>3366</v>
      </c>
      <c r="B1763" s="2">
        <v>45768</v>
      </c>
      <c r="C1763" t="s">
        <v>108</v>
      </c>
      <c r="D1763" t="s">
        <v>1629</v>
      </c>
      <c r="E1763">
        <v>215.18</v>
      </c>
      <c r="F1763" t="s">
        <v>1578</v>
      </c>
      <c r="G1763" t="s">
        <v>1207</v>
      </c>
    </row>
    <row r="1764" spans="1:7">
      <c r="A1764" t="s">
        <v>3367</v>
      </c>
      <c r="B1764" s="2">
        <v>45768</v>
      </c>
      <c r="C1764" t="s">
        <v>110</v>
      </c>
      <c r="D1764" t="s">
        <v>1629</v>
      </c>
      <c r="E1764">
        <v>108.12</v>
      </c>
      <c r="F1764" t="s">
        <v>1578</v>
      </c>
      <c r="G1764" t="s">
        <v>1207</v>
      </c>
    </row>
    <row r="1765" spans="1:7">
      <c r="A1765" t="s">
        <v>3368</v>
      </c>
      <c r="B1765" s="2">
        <v>45768</v>
      </c>
      <c r="C1765" t="s">
        <v>114</v>
      </c>
      <c r="D1765" t="s">
        <v>1629</v>
      </c>
      <c r="E1765">
        <v>107.06</v>
      </c>
      <c r="F1765" t="s">
        <v>1578</v>
      </c>
      <c r="G1765" t="s">
        <v>1207</v>
      </c>
    </row>
    <row r="1766" spans="1:7">
      <c r="A1766" t="s">
        <v>3369</v>
      </c>
      <c r="B1766" s="2">
        <v>45768</v>
      </c>
      <c r="C1766" t="s">
        <v>117</v>
      </c>
      <c r="D1766" t="s">
        <v>1629</v>
      </c>
      <c r="E1766">
        <v>106.53</v>
      </c>
      <c r="F1766" t="s">
        <v>1578</v>
      </c>
      <c r="G1766" t="s">
        <v>1207</v>
      </c>
    </row>
    <row r="1767" spans="1:7">
      <c r="A1767" t="s">
        <v>3370</v>
      </c>
      <c r="B1767" s="2">
        <v>45768</v>
      </c>
      <c r="C1767" t="s">
        <v>119</v>
      </c>
      <c r="D1767" t="s">
        <v>1629</v>
      </c>
      <c r="E1767">
        <v>107.06</v>
      </c>
      <c r="F1767" t="s">
        <v>1578</v>
      </c>
      <c r="G1767" t="s">
        <v>1207</v>
      </c>
    </row>
    <row r="1768" spans="1:7">
      <c r="A1768" t="s">
        <v>3371</v>
      </c>
      <c r="B1768" s="2">
        <v>45768</v>
      </c>
      <c r="C1768" t="s">
        <v>75</v>
      </c>
      <c r="D1768" t="s">
        <v>1629</v>
      </c>
      <c r="E1768">
        <v>419.15</v>
      </c>
      <c r="F1768" t="s">
        <v>1578</v>
      </c>
      <c r="G1768" t="s">
        <v>1208</v>
      </c>
    </row>
    <row r="1769" spans="1:7">
      <c r="A1769" t="s">
        <v>3372</v>
      </c>
      <c r="B1769" s="2">
        <v>45768</v>
      </c>
      <c r="C1769" t="s">
        <v>91</v>
      </c>
      <c r="D1769" t="s">
        <v>1629</v>
      </c>
      <c r="E1769">
        <v>425.37</v>
      </c>
      <c r="F1769" t="s">
        <v>1578</v>
      </c>
      <c r="G1769" t="s">
        <v>1208</v>
      </c>
    </row>
    <row r="1770" spans="1:7">
      <c r="A1770" t="s">
        <v>3373</v>
      </c>
      <c r="B1770" s="2">
        <v>45768</v>
      </c>
      <c r="C1770" t="s">
        <v>93</v>
      </c>
      <c r="D1770" t="s">
        <v>1629</v>
      </c>
      <c r="E1770">
        <v>423.3</v>
      </c>
      <c r="F1770" t="s">
        <v>1578</v>
      </c>
      <c r="G1770" t="s">
        <v>1208</v>
      </c>
    </row>
    <row r="1771" spans="1:7">
      <c r="A1771" t="s">
        <v>3374</v>
      </c>
      <c r="B1771" s="2">
        <v>45768</v>
      </c>
      <c r="C1771" t="s">
        <v>95</v>
      </c>
      <c r="D1771" t="s">
        <v>1629</v>
      </c>
      <c r="E1771">
        <v>421.22</v>
      </c>
      <c r="F1771" t="s">
        <v>1578</v>
      </c>
      <c r="G1771" t="s">
        <v>1208</v>
      </c>
    </row>
    <row r="1772" spans="1:7">
      <c r="A1772" t="s">
        <v>3375</v>
      </c>
      <c r="B1772" s="2">
        <v>45768</v>
      </c>
      <c r="C1772" t="s">
        <v>97</v>
      </c>
      <c r="D1772" t="s">
        <v>1629</v>
      </c>
      <c r="E1772">
        <v>419.15</v>
      </c>
      <c r="F1772" t="s">
        <v>1578</v>
      </c>
      <c r="G1772" t="s">
        <v>1208</v>
      </c>
    </row>
    <row r="1773" spans="1:7">
      <c r="A1773" t="s">
        <v>3376</v>
      </c>
      <c r="B1773" s="2">
        <v>45768</v>
      </c>
      <c r="C1773" t="s">
        <v>99</v>
      </c>
      <c r="D1773" t="s">
        <v>1629</v>
      </c>
      <c r="E1773">
        <v>512.94000000000005</v>
      </c>
      <c r="F1773" t="s">
        <v>1578</v>
      </c>
      <c r="G1773" t="s">
        <v>1208</v>
      </c>
    </row>
    <row r="1774" spans="1:7">
      <c r="A1774" t="s">
        <v>3377</v>
      </c>
      <c r="B1774" s="2">
        <v>45768</v>
      </c>
      <c r="C1774" t="s">
        <v>102</v>
      </c>
      <c r="D1774" t="s">
        <v>1629</v>
      </c>
      <c r="E1774">
        <v>423.3</v>
      </c>
      <c r="F1774" t="s">
        <v>1578</v>
      </c>
      <c r="G1774" t="s">
        <v>1208</v>
      </c>
    </row>
    <row r="1775" spans="1:7">
      <c r="A1775" t="s">
        <v>3378</v>
      </c>
      <c r="B1775" s="2">
        <v>45768</v>
      </c>
      <c r="C1775" t="s">
        <v>108</v>
      </c>
      <c r="D1775" t="s">
        <v>1629</v>
      </c>
      <c r="E1775">
        <v>842.45</v>
      </c>
      <c r="F1775" t="s">
        <v>1578</v>
      </c>
      <c r="G1775" t="s">
        <v>1208</v>
      </c>
    </row>
    <row r="1776" spans="1:7">
      <c r="A1776" t="s">
        <v>3379</v>
      </c>
      <c r="B1776" s="2">
        <v>45768</v>
      </c>
      <c r="C1776" t="s">
        <v>110</v>
      </c>
      <c r="D1776" t="s">
        <v>1629</v>
      </c>
      <c r="E1776">
        <v>423.3</v>
      </c>
      <c r="F1776" t="s">
        <v>1578</v>
      </c>
      <c r="G1776" t="s">
        <v>1208</v>
      </c>
    </row>
    <row r="1777" spans="1:7">
      <c r="A1777" t="s">
        <v>3380</v>
      </c>
      <c r="B1777" s="2">
        <v>45768</v>
      </c>
      <c r="C1777" t="s">
        <v>114</v>
      </c>
      <c r="D1777" t="s">
        <v>1629</v>
      </c>
      <c r="E1777">
        <v>419.15</v>
      </c>
      <c r="F1777" t="s">
        <v>1578</v>
      </c>
      <c r="G1777" t="s">
        <v>1208</v>
      </c>
    </row>
    <row r="1778" spans="1:7">
      <c r="A1778" t="s">
        <v>3381</v>
      </c>
      <c r="B1778" s="2">
        <v>45768</v>
      </c>
      <c r="C1778" t="s">
        <v>117</v>
      </c>
      <c r="D1778" t="s">
        <v>1629</v>
      </c>
      <c r="E1778">
        <v>417.07</v>
      </c>
      <c r="F1778" t="s">
        <v>1578</v>
      </c>
      <c r="G1778" t="s">
        <v>1208</v>
      </c>
    </row>
    <row r="1779" spans="1:7">
      <c r="A1779" t="s">
        <v>3382</v>
      </c>
      <c r="B1779" s="2">
        <v>45768</v>
      </c>
      <c r="C1779" t="s">
        <v>119</v>
      </c>
      <c r="D1779" t="s">
        <v>1629</v>
      </c>
      <c r="E1779">
        <v>419.15</v>
      </c>
      <c r="F1779" t="s">
        <v>1578</v>
      </c>
      <c r="G1779" t="s">
        <v>1208</v>
      </c>
    </row>
    <row r="1780" spans="1:7">
      <c r="A1780" t="s">
        <v>3383</v>
      </c>
      <c r="B1780" s="2">
        <v>45768</v>
      </c>
      <c r="C1780" t="s">
        <v>75</v>
      </c>
      <c r="D1780" t="s">
        <v>1683</v>
      </c>
      <c r="E1780">
        <v>133</v>
      </c>
      <c r="F1780" t="s">
        <v>1578</v>
      </c>
      <c r="G1780" t="s">
        <v>566</v>
      </c>
    </row>
    <row r="1781" spans="1:7">
      <c r="A1781" t="s">
        <v>3384</v>
      </c>
      <c r="B1781" s="2">
        <v>45769</v>
      </c>
      <c r="C1781" t="s">
        <v>61</v>
      </c>
      <c r="D1781" t="s">
        <v>1629</v>
      </c>
      <c r="E1781">
        <v>134.63999999999999</v>
      </c>
      <c r="F1781" t="s">
        <v>1578</v>
      </c>
      <c r="G1781" t="s">
        <v>1209</v>
      </c>
    </row>
    <row r="1782" spans="1:7">
      <c r="A1782" t="s">
        <v>3385</v>
      </c>
      <c r="B1782" s="2">
        <v>45769</v>
      </c>
      <c r="C1782" t="s">
        <v>65</v>
      </c>
      <c r="D1782" t="s">
        <v>1629</v>
      </c>
      <c r="E1782">
        <v>133.97999999999999</v>
      </c>
      <c r="F1782" t="s">
        <v>1578</v>
      </c>
      <c r="G1782" t="s">
        <v>1209</v>
      </c>
    </row>
    <row r="1783" spans="1:7">
      <c r="A1783" t="s">
        <v>3386</v>
      </c>
      <c r="B1783" s="2">
        <v>45769</v>
      </c>
      <c r="C1783" t="s">
        <v>68</v>
      </c>
      <c r="D1783" t="s">
        <v>1629</v>
      </c>
      <c r="E1783">
        <v>134.63999999999999</v>
      </c>
      <c r="F1783" t="s">
        <v>1578</v>
      </c>
      <c r="G1783" t="s">
        <v>1209</v>
      </c>
    </row>
    <row r="1784" spans="1:7">
      <c r="A1784" t="s">
        <v>3387</v>
      </c>
      <c r="B1784" s="2">
        <v>45769</v>
      </c>
      <c r="C1784" t="s">
        <v>70</v>
      </c>
      <c r="D1784" t="s">
        <v>1629</v>
      </c>
      <c r="E1784">
        <v>133.32</v>
      </c>
      <c r="F1784" t="s">
        <v>1578</v>
      </c>
      <c r="G1784" t="s">
        <v>1209</v>
      </c>
    </row>
    <row r="1785" spans="1:7">
      <c r="A1785" t="s">
        <v>3388</v>
      </c>
      <c r="B1785" s="2">
        <v>45769</v>
      </c>
      <c r="C1785" t="s">
        <v>75</v>
      </c>
      <c r="D1785" t="s">
        <v>1629</v>
      </c>
      <c r="E1785">
        <v>133.32</v>
      </c>
      <c r="F1785" t="s">
        <v>1578</v>
      </c>
      <c r="G1785" t="s">
        <v>1209</v>
      </c>
    </row>
    <row r="1786" spans="1:7">
      <c r="A1786" t="s">
        <v>3389</v>
      </c>
      <c r="B1786" s="2">
        <v>45769</v>
      </c>
      <c r="C1786" t="s">
        <v>77</v>
      </c>
      <c r="D1786" t="s">
        <v>1629</v>
      </c>
      <c r="E1786">
        <v>133.32</v>
      </c>
      <c r="F1786" t="s">
        <v>1578</v>
      </c>
      <c r="G1786" t="s">
        <v>1209</v>
      </c>
    </row>
    <row r="1787" spans="1:7">
      <c r="A1787" t="s">
        <v>3390</v>
      </c>
      <c r="B1787" s="2">
        <v>45769</v>
      </c>
      <c r="C1787" t="s">
        <v>79</v>
      </c>
      <c r="D1787" t="s">
        <v>1629</v>
      </c>
      <c r="E1787">
        <v>134.63999999999999</v>
      </c>
      <c r="F1787" t="s">
        <v>1578</v>
      </c>
      <c r="G1787" t="s">
        <v>1209</v>
      </c>
    </row>
    <row r="1788" spans="1:7">
      <c r="A1788" t="s">
        <v>3391</v>
      </c>
      <c r="B1788" s="2">
        <v>45769</v>
      </c>
      <c r="C1788" t="s">
        <v>81</v>
      </c>
      <c r="D1788" t="s">
        <v>1629</v>
      </c>
      <c r="E1788">
        <v>266.64</v>
      </c>
      <c r="F1788" t="s">
        <v>1578</v>
      </c>
      <c r="G1788" t="s">
        <v>1209</v>
      </c>
    </row>
    <row r="1789" spans="1:7">
      <c r="A1789" t="s">
        <v>3392</v>
      </c>
      <c r="B1789" s="2">
        <v>45769</v>
      </c>
      <c r="C1789" t="s">
        <v>110</v>
      </c>
      <c r="D1789" t="s">
        <v>1629</v>
      </c>
      <c r="E1789">
        <v>134.63999999999999</v>
      </c>
      <c r="F1789" t="s">
        <v>1578</v>
      </c>
      <c r="G1789" t="s">
        <v>1209</v>
      </c>
    </row>
    <row r="1790" spans="1:7">
      <c r="A1790" t="s">
        <v>3393</v>
      </c>
      <c r="B1790" s="2">
        <v>45769</v>
      </c>
      <c r="C1790" t="s">
        <v>114</v>
      </c>
      <c r="D1790" t="s">
        <v>1629</v>
      </c>
      <c r="E1790">
        <v>133.32</v>
      </c>
      <c r="F1790" t="s">
        <v>1578</v>
      </c>
      <c r="G1790" t="s">
        <v>1209</v>
      </c>
    </row>
    <row r="1791" spans="1:7">
      <c r="A1791" t="s">
        <v>3394</v>
      </c>
      <c r="B1791" s="2">
        <v>45769</v>
      </c>
      <c r="C1791" t="s">
        <v>117</v>
      </c>
      <c r="D1791" t="s">
        <v>1629</v>
      </c>
      <c r="E1791">
        <v>132.66</v>
      </c>
      <c r="F1791" t="s">
        <v>1578</v>
      </c>
      <c r="G1791" t="s">
        <v>1209</v>
      </c>
    </row>
    <row r="1792" spans="1:7">
      <c r="A1792" t="s">
        <v>3395</v>
      </c>
      <c r="B1792" s="2">
        <v>45769</v>
      </c>
      <c r="C1792" t="s">
        <v>119</v>
      </c>
      <c r="D1792" t="s">
        <v>1629</v>
      </c>
      <c r="E1792">
        <v>133.32</v>
      </c>
      <c r="F1792" t="s">
        <v>1578</v>
      </c>
      <c r="G1792" t="s">
        <v>1209</v>
      </c>
    </row>
    <row r="1793" spans="1:7">
      <c r="A1793" t="s">
        <v>3396</v>
      </c>
      <c r="B1793" s="2">
        <v>45769</v>
      </c>
      <c r="C1793" t="s">
        <v>61</v>
      </c>
      <c r="D1793" t="s">
        <v>1629</v>
      </c>
      <c r="E1793">
        <v>484.5</v>
      </c>
      <c r="F1793" t="s">
        <v>1578</v>
      </c>
      <c r="G1793" t="s">
        <v>1210</v>
      </c>
    </row>
    <row r="1794" spans="1:7">
      <c r="A1794" t="s">
        <v>3397</v>
      </c>
      <c r="B1794" s="2">
        <v>45769</v>
      </c>
      <c r="C1794" t="s">
        <v>65</v>
      </c>
      <c r="D1794" t="s">
        <v>1629</v>
      </c>
      <c r="E1794">
        <v>482.12</v>
      </c>
      <c r="F1794" t="s">
        <v>1578</v>
      </c>
      <c r="G1794" t="s">
        <v>1210</v>
      </c>
    </row>
    <row r="1795" spans="1:7">
      <c r="A1795" t="s">
        <v>3398</v>
      </c>
      <c r="B1795" s="2">
        <v>45769</v>
      </c>
      <c r="C1795" t="s">
        <v>75</v>
      </c>
      <c r="D1795" t="s">
        <v>1629</v>
      </c>
      <c r="E1795">
        <v>479.75</v>
      </c>
      <c r="F1795" t="s">
        <v>1578</v>
      </c>
      <c r="G1795" t="s">
        <v>1210</v>
      </c>
    </row>
    <row r="1796" spans="1:7">
      <c r="A1796" t="s">
        <v>3399</v>
      </c>
      <c r="B1796" s="2">
        <v>45769</v>
      </c>
      <c r="C1796" t="s">
        <v>79</v>
      </c>
      <c r="D1796" t="s">
        <v>1629</v>
      </c>
      <c r="E1796">
        <v>484.5</v>
      </c>
      <c r="F1796" t="s">
        <v>1578</v>
      </c>
      <c r="G1796" t="s">
        <v>1210</v>
      </c>
    </row>
    <row r="1797" spans="1:7">
      <c r="A1797" t="s">
        <v>3400</v>
      </c>
      <c r="B1797" s="2">
        <v>45769</v>
      </c>
      <c r="C1797" t="s">
        <v>81</v>
      </c>
      <c r="D1797" t="s">
        <v>1629</v>
      </c>
      <c r="E1797">
        <v>959.5</v>
      </c>
      <c r="F1797" t="s">
        <v>1578</v>
      </c>
      <c r="G1797" t="s">
        <v>1210</v>
      </c>
    </row>
    <row r="1798" spans="1:7">
      <c r="A1798" t="s">
        <v>3401</v>
      </c>
      <c r="B1798" s="2">
        <v>45769</v>
      </c>
      <c r="C1798" t="s">
        <v>84</v>
      </c>
      <c r="D1798" t="s">
        <v>1629</v>
      </c>
      <c r="E1798">
        <v>171.24</v>
      </c>
      <c r="F1798" t="s">
        <v>1578</v>
      </c>
      <c r="G1798" t="s">
        <v>1210</v>
      </c>
    </row>
    <row r="1799" spans="1:7">
      <c r="A1799" t="s">
        <v>3402</v>
      </c>
      <c r="B1799" s="2">
        <v>45769</v>
      </c>
      <c r="C1799" t="s">
        <v>89</v>
      </c>
      <c r="D1799" t="s">
        <v>1629</v>
      </c>
      <c r="E1799">
        <v>730.31</v>
      </c>
      <c r="F1799" t="s">
        <v>1578</v>
      </c>
      <c r="G1799" t="s">
        <v>1210</v>
      </c>
    </row>
    <row r="1800" spans="1:7">
      <c r="A1800" t="s">
        <v>3403</v>
      </c>
      <c r="B1800" s="2">
        <v>45769</v>
      </c>
      <c r="C1800" t="s">
        <v>110</v>
      </c>
      <c r="D1800" t="s">
        <v>1629</v>
      </c>
      <c r="E1800">
        <v>484.5</v>
      </c>
      <c r="F1800" t="s">
        <v>1578</v>
      </c>
      <c r="G1800" t="s">
        <v>1210</v>
      </c>
    </row>
    <row r="1801" spans="1:7">
      <c r="A1801" t="s">
        <v>3404</v>
      </c>
      <c r="B1801" s="2">
        <v>45769</v>
      </c>
      <c r="C1801" t="s">
        <v>114</v>
      </c>
      <c r="D1801" t="s">
        <v>1629</v>
      </c>
      <c r="E1801">
        <v>479.75</v>
      </c>
      <c r="F1801" t="s">
        <v>1578</v>
      </c>
      <c r="G1801" t="s">
        <v>1210</v>
      </c>
    </row>
    <row r="1802" spans="1:7">
      <c r="A1802" t="s">
        <v>3405</v>
      </c>
      <c r="B1802" s="2">
        <v>45769</v>
      </c>
      <c r="C1802" t="s">
        <v>117</v>
      </c>
      <c r="D1802" t="s">
        <v>1629</v>
      </c>
      <c r="E1802">
        <v>477.37</v>
      </c>
      <c r="F1802" t="s">
        <v>1578</v>
      </c>
      <c r="G1802" t="s">
        <v>1210</v>
      </c>
    </row>
    <row r="1803" spans="1:7">
      <c r="A1803" t="s">
        <v>3406</v>
      </c>
      <c r="B1803" s="2">
        <v>45769</v>
      </c>
      <c r="C1803" t="s">
        <v>119</v>
      </c>
      <c r="D1803" t="s">
        <v>1629</v>
      </c>
      <c r="E1803">
        <v>479.75</v>
      </c>
      <c r="F1803" t="s">
        <v>1578</v>
      </c>
      <c r="G1803" t="s">
        <v>1210</v>
      </c>
    </row>
    <row r="1804" spans="1:7">
      <c r="A1804" t="s">
        <v>3407</v>
      </c>
      <c r="B1804" s="2">
        <v>45770</v>
      </c>
      <c r="C1804" t="s">
        <v>106</v>
      </c>
      <c r="D1804" t="s">
        <v>1683</v>
      </c>
      <c r="E1804">
        <v>153</v>
      </c>
      <c r="F1804" t="s">
        <v>1578</v>
      </c>
      <c r="G1804" t="s">
        <v>567</v>
      </c>
    </row>
    <row r="1805" spans="1:7">
      <c r="A1805" t="s">
        <v>3408</v>
      </c>
      <c r="B1805" s="2">
        <v>45770</v>
      </c>
      <c r="C1805" t="s">
        <v>108</v>
      </c>
      <c r="D1805" t="s">
        <v>1683</v>
      </c>
      <c r="E1805">
        <v>239</v>
      </c>
      <c r="F1805" t="s">
        <v>1578</v>
      </c>
      <c r="G1805" t="s">
        <v>568</v>
      </c>
    </row>
    <row r="1806" spans="1:7">
      <c r="A1806" t="s">
        <v>3409</v>
      </c>
      <c r="B1806" s="2">
        <v>45770</v>
      </c>
      <c r="C1806" t="s">
        <v>84</v>
      </c>
      <c r="D1806" t="s">
        <v>1683</v>
      </c>
      <c r="E1806">
        <v>176</v>
      </c>
      <c r="F1806" t="s">
        <v>1578</v>
      </c>
      <c r="G1806" t="s">
        <v>569</v>
      </c>
    </row>
    <row r="1807" spans="1:7">
      <c r="A1807" t="s">
        <v>3410</v>
      </c>
      <c r="B1807" s="2">
        <v>45771</v>
      </c>
      <c r="C1807" t="s">
        <v>73</v>
      </c>
      <c r="D1807" t="s">
        <v>1683</v>
      </c>
      <c r="E1807">
        <v>197</v>
      </c>
      <c r="F1807" t="s">
        <v>1578</v>
      </c>
      <c r="G1807" t="s">
        <v>570</v>
      </c>
    </row>
    <row r="1808" spans="1:7">
      <c r="A1808" t="s">
        <v>3411</v>
      </c>
      <c r="B1808" s="2">
        <v>45771</v>
      </c>
      <c r="C1808" t="s">
        <v>108</v>
      </c>
      <c r="D1808" t="s">
        <v>1683</v>
      </c>
      <c r="E1808">
        <v>320</v>
      </c>
      <c r="F1808" t="s">
        <v>1578</v>
      </c>
      <c r="G1808" t="s">
        <v>571</v>
      </c>
    </row>
    <row r="1809" spans="1:7">
      <c r="A1809" t="s">
        <v>3412</v>
      </c>
      <c r="B1809" s="2">
        <v>45772</v>
      </c>
      <c r="C1809" t="s">
        <v>61</v>
      </c>
      <c r="D1809" t="s">
        <v>1629</v>
      </c>
      <c r="E1809">
        <v>457.98</v>
      </c>
      <c r="F1809" t="s">
        <v>1578</v>
      </c>
      <c r="G1809" t="s">
        <v>1211</v>
      </c>
    </row>
    <row r="1810" spans="1:7">
      <c r="A1810" t="s">
        <v>3413</v>
      </c>
      <c r="B1810" s="2">
        <v>45772</v>
      </c>
      <c r="C1810" t="s">
        <v>65</v>
      </c>
      <c r="D1810" t="s">
        <v>1629</v>
      </c>
      <c r="E1810">
        <v>455.73</v>
      </c>
      <c r="F1810" t="s">
        <v>1578</v>
      </c>
      <c r="G1810" t="s">
        <v>1211</v>
      </c>
    </row>
    <row r="1811" spans="1:7">
      <c r="A1811" t="s">
        <v>3414</v>
      </c>
      <c r="B1811" s="2">
        <v>45772</v>
      </c>
      <c r="C1811" t="s">
        <v>68</v>
      </c>
      <c r="D1811" t="s">
        <v>1629</v>
      </c>
      <c r="E1811">
        <v>457.98</v>
      </c>
      <c r="F1811" t="s">
        <v>1578</v>
      </c>
      <c r="G1811" t="s">
        <v>1211</v>
      </c>
    </row>
    <row r="1812" spans="1:7">
      <c r="A1812" t="s">
        <v>3415</v>
      </c>
      <c r="B1812" s="2">
        <v>45772</v>
      </c>
      <c r="C1812" t="s">
        <v>70</v>
      </c>
      <c r="D1812" t="s">
        <v>1629</v>
      </c>
      <c r="E1812">
        <v>453.49</v>
      </c>
      <c r="F1812" t="s">
        <v>1578</v>
      </c>
      <c r="G1812" t="s">
        <v>1211</v>
      </c>
    </row>
    <row r="1813" spans="1:7">
      <c r="A1813" t="s">
        <v>3416</v>
      </c>
      <c r="B1813" s="2">
        <v>45772</v>
      </c>
      <c r="C1813" t="s">
        <v>75</v>
      </c>
      <c r="D1813" t="s">
        <v>1629</v>
      </c>
      <c r="E1813">
        <v>453.49</v>
      </c>
      <c r="F1813" t="s">
        <v>1578</v>
      </c>
      <c r="G1813" t="s">
        <v>1211</v>
      </c>
    </row>
    <row r="1814" spans="1:7">
      <c r="A1814" t="s">
        <v>3417</v>
      </c>
      <c r="B1814" s="2">
        <v>45772</v>
      </c>
      <c r="C1814" t="s">
        <v>77</v>
      </c>
      <c r="D1814" t="s">
        <v>1629</v>
      </c>
      <c r="E1814">
        <v>453.49</v>
      </c>
      <c r="F1814" t="s">
        <v>1578</v>
      </c>
      <c r="G1814" t="s">
        <v>1211</v>
      </c>
    </row>
    <row r="1815" spans="1:7">
      <c r="A1815" t="s">
        <v>3418</v>
      </c>
      <c r="B1815" s="2">
        <v>45772</v>
      </c>
      <c r="C1815" t="s">
        <v>79</v>
      </c>
      <c r="D1815" t="s">
        <v>1629</v>
      </c>
      <c r="E1815">
        <v>457.98</v>
      </c>
      <c r="F1815" t="s">
        <v>1578</v>
      </c>
      <c r="G1815" t="s">
        <v>1211</v>
      </c>
    </row>
    <row r="1816" spans="1:7">
      <c r="A1816" t="s">
        <v>3419</v>
      </c>
      <c r="B1816" s="2">
        <v>45772</v>
      </c>
      <c r="C1816" t="s">
        <v>81</v>
      </c>
      <c r="D1816" t="s">
        <v>1629</v>
      </c>
      <c r="E1816">
        <v>906.98</v>
      </c>
      <c r="F1816" t="s">
        <v>1578</v>
      </c>
      <c r="G1816" t="s">
        <v>1211</v>
      </c>
    </row>
    <row r="1817" spans="1:7">
      <c r="A1817" t="s">
        <v>3420</v>
      </c>
      <c r="B1817" s="2">
        <v>45772</v>
      </c>
      <c r="C1817" t="s">
        <v>110</v>
      </c>
      <c r="D1817" t="s">
        <v>1629</v>
      </c>
      <c r="E1817">
        <v>457.98</v>
      </c>
      <c r="F1817" t="s">
        <v>1578</v>
      </c>
      <c r="G1817" t="s">
        <v>1211</v>
      </c>
    </row>
    <row r="1818" spans="1:7">
      <c r="A1818" t="s">
        <v>3421</v>
      </c>
      <c r="B1818" s="2">
        <v>45772</v>
      </c>
      <c r="C1818" t="s">
        <v>114</v>
      </c>
      <c r="D1818" t="s">
        <v>1629</v>
      </c>
      <c r="E1818">
        <v>453.49</v>
      </c>
      <c r="F1818" t="s">
        <v>1578</v>
      </c>
      <c r="G1818" t="s">
        <v>1211</v>
      </c>
    </row>
    <row r="1819" spans="1:7">
      <c r="A1819" t="s">
        <v>3422</v>
      </c>
      <c r="B1819" s="2">
        <v>45772</v>
      </c>
      <c r="C1819" t="s">
        <v>117</v>
      </c>
      <c r="D1819" t="s">
        <v>1629</v>
      </c>
      <c r="E1819">
        <v>451.24</v>
      </c>
      <c r="F1819" t="s">
        <v>1578</v>
      </c>
      <c r="G1819" t="s">
        <v>1211</v>
      </c>
    </row>
    <row r="1820" spans="1:7">
      <c r="A1820" t="s">
        <v>3423</v>
      </c>
      <c r="B1820" s="2">
        <v>45772</v>
      </c>
      <c r="C1820" t="s">
        <v>119</v>
      </c>
      <c r="D1820" t="s">
        <v>1629</v>
      </c>
      <c r="E1820">
        <v>453.49</v>
      </c>
      <c r="F1820" t="s">
        <v>1578</v>
      </c>
      <c r="G1820" t="s">
        <v>1211</v>
      </c>
    </row>
    <row r="1821" spans="1:7">
      <c r="A1821" t="s">
        <v>3424</v>
      </c>
      <c r="B1821" s="2">
        <v>45772</v>
      </c>
      <c r="C1821" t="s">
        <v>75</v>
      </c>
      <c r="D1821" t="s">
        <v>1629</v>
      </c>
      <c r="E1821">
        <v>290.88</v>
      </c>
      <c r="F1821" t="s">
        <v>1578</v>
      </c>
      <c r="G1821" t="s">
        <v>1212</v>
      </c>
    </row>
    <row r="1822" spans="1:7">
      <c r="A1822" t="s">
        <v>3425</v>
      </c>
      <c r="B1822" s="2">
        <v>45772</v>
      </c>
      <c r="C1822" t="s">
        <v>91</v>
      </c>
      <c r="D1822" t="s">
        <v>1629</v>
      </c>
      <c r="E1822">
        <v>295.2</v>
      </c>
      <c r="F1822" t="s">
        <v>1578</v>
      </c>
      <c r="G1822" t="s">
        <v>1212</v>
      </c>
    </row>
    <row r="1823" spans="1:7">
      <c r="A1823" t="s">
        <v>3426</v>
      </c>
      <c r="B1823" s="2">
        <v>45772</v>
      </c>
      <c r="C1823" t="s">
        <v>93</v>
      </c>
      <c r="D1823" t="s">
        <v>1629</v>
      </c>
      <c r="E1823">
        <v>293.76</v>
      </c>
      <c r="F1823" t="s">
        <v>1578</v>
      </c>
      <c r="G1823" t="s">
        <v>1212</v>
      </c>
    </row>
    <row r="1824" spans="1:7">
      <c r="A1824" t="s">
        <v>3427</v>
      </c>
      <c r="B1824" s="2">
        <v>45772</v>
      </c>
      <c r="C1824" t="s">
        <v>95</v>
      </c>
      <c r="D1824" t="s">
        <v>1629</v>
      </c>
      <c r="E1824">
        <v>292.32</v>
      </c>
      <c r="F1824" t="s">
        <v>1578</v>
      </c>
      <c r="G1824" t="s">
        <v>1212</v>
      </c>
    </row>
    <row r="1825" spans="1:7">
      <c r="A1825" t="s">
        <v>3428</v>
      </c>
      <c r="B1825" s="2">
        <v>45772</v>
      </c>
      <c r="C1825" t="s">
        <v>97</v>
      </c>
      <c r="D1825" t="s">
        <v>1629</v>
      </c>
      <c r="E1825">
        <v>290.88</v>
      </c>
      <c r="F1825" t="s">
        <v>1578</v>
      </c>
      <c r="G1825" t="s">
        <v>1212</v>
      </c>
    </row>
    <row r="1826" spans="1:7">
      <c r="A1826" t="s">
        <v>3429</v>
      </c>
      <c r="B1826" s="2">
        <v>45772</v>
      </c>
      <c r="C1826" t="s">
        <v>99</v>
      </c>
      <c r="D1826" t="s">
        <v>1629</v>
      </c>
      <c r="E1826">
        <v>148.32</v>
      </c>
      <c r="F1826" t="s">
        <v>1578</v>
      </c>
      <c r="G1826" t="s">
        <v>1212</v>
      </c>
    </row>
    <row r="1827" spans="1:7">
      <c r="A1827" t="s">
        <v>3430</v>
      </c>
      <c r="B1827" s="2">
        <v>45772</v>
      </c>
      <c r="C1827" t="s">
        <v>102</v>
      </c>
      <c r="D1827" t="s">
        <v>1629</v>
      </c>
      <c r="E1827">
        <v>293.76</v>
      </c>
      <c r="F1827" t="s">
        <v>1578</v>
      </c>
      <c r="G1827" t="s">
        <v>1212</v>
      </c>
    </row>
    <row r="1828" spans="1:7">
      <c r="A1828" t="s">
        <v>3431</v>
      </c>
      <c r="B1828" s="2">
        <v>45772</v>
      </c>
      <c r="C1828" t="s">
        <v>108</v>
      </c>
      <c r="D1828" t="s">
        <v>1629</v>
      </c>
      <c r="E1828">
        <v>584.64</v>
      </c>
      <c r="F1828" t="s">
        <v>1578</v>
      </c>
      <c r="G1828" t="s">
        <v>1212</v>
      </c>
    </row>
    <row r="1829" spans="1:7">
      <c r="A1829" t="s">
        <v>3432</v>
      </c>
      <c r="B1829" s="2">
        <v>45772</v>
      </c>
      <c r="C1829" t="s">
        <v>110</v>
      </c>
      <c r="D1829" t="s">
        <v>1629</v>
      </c>
      <c r="E1829">
        <v>293.76</v>
      </c>
      <c r="F1829" t="s">
        <v>1578</v>
      </c>
      <c r="G1829" t="s">
        <v>1212</v>
      </c>
    </row>
    <row r="1830" spans="1:7">
      <c r="A1830" t="s">
        <v>3433</v>
      </c>
      <c r="B1830" s="2">
        <v>45772</v>
      </c>
      <c r="C1830" t="s">
        <v>114</v>
      </c>
      <c r="D1830" t="s">
        <v>1629</v>
      </c>
      <c r="E1830">
        <v>290.88</v>
      </c>
      <c r="F1830" t="s">
        <v>1578</v>
      </c>
      <c r="G1830" t="s">
        <v>1212</v>
      </c>
    </row>
    <row r="1831" spans="1:7">
      <c r="A1831" t="s">
        <v>3434</v>
      </c>
      <c r="B1831" s="2">
        <v>45772</v>
      </c>
      <c r="C1831" t="s">
        <v>117</v>
      </c>
      <c r="D1831" t="s">
        <v>1629</v>
      </c>
      <c r="E1831">
        <v>289.44</v>
      </c>
      <c r="F1831" t="s">
        <v>1578</v>
      </c>
      <c r="G1831" t="s">
        <v>1212</v>
      </c>
    </row>
    <row r="1832" spans="1:7">
      <c r="A1832" t="s">
        <v>3435</v>
      </c>
      <c r="B1832" s="2">
        <v>45772</v>
      </c>
      <c r="C1832" t="s">
        <v>119</v>
      </c>
      <c r="D1832" t="s">
        <v>1629</v>
      </c>
      <c r="E1832">
        <v>290.88</v>
      </c>
      <c r="F1832" t="s">
        <v>1578</v>
      </c>
      <c r="G1832" t="s">
        <v>1212</v>
      </c>
    </row>
    <row r="1833" spans="1:7">
      <c r="A1833" t="s">
        <v>3436</v>
      </c>
      <c r="B1833" s="2">
        <v>45772</v>
      </c>
      <c r="C1833" t="s">
        <v>114</v>
      </c>
      <c r="D1833" t="s">
        <v>1683</v>
      </c>
      <c r="E1833">
        <v>254</v>
      </c>
      <c r="F1833" t="s">
        <v>1578</v>
      </c>
      <c r="G1833" t="s">
        <v>573</v>
      </c>
    </row>
    <row r="1834" spans="1:7">
      <c r="A1834" t="s">
        <v>3437</v>
      </c>
      <c r="B1834" s="2">
        <v>45772</v>
      </c>
      <c r="C1834" t="s">
        <v>79</v>
      </c>
      <c r="D1834" t="s">
        <v>1683</v>
      </c>
      <c r="E1834">
        <v>146</v>
      </c>
      <c r="F1834" t="s">
        <v>1578</v>
      </c>
      <c r="G1834" t="s">
        <v>574</v>
      </c>
    </row>
    <row r="1835" spans="1:7">
      <c r="A1835" t="s">
        <v>3438</v>
      </c>
      <c r="B1835" s="2">
        <v>45772</v>
      </c>
      <c r="C1835" t="s">
        <v>65</v>
      </c>
      <c r="D1835" t="s">
        <v>1683</v>
      </c>
      <c r="E1835">
        <v>82</v>
      </c>
      <c r="F1835" t="s">
        <v>1578</v>
      </c>
      <c r="G1835" t="s">
        <v>575</v>
      </c>
    </row>
    <row r="1836" spans="1:7">
      <c r="A1836" t="s">
        <v>3439</v>
      </c>
      <c r="B1836" s="2">
        <v>45773</v>
      </c>
      <c r="C1836" t="s">
        <v>70</v>
      </c>
      <c r="D1836" t="s">
        <v>1683</v>
      </c>
      <c r="E1836">
        <v>267</v>
      </c>
      <c r="F1836" t="s">
        <v>1578</v>
      </c>
      <c r="G1836" t="s">
        <v>576</v>
      </c>
    </row>
    <row r="1837" spans="1:7">
      <c r="A1837" t="s">
        <v>3440</v>
      </c>
      <c r="B1837" s="2">
        <v>45774</v>
      </c>
      <c r="C1837" t="s">
        <v>61</v>
      </c>
      <c r="D1837" t="s">
        <v>1629</v>
      </c>
      <c r="E1837">
        <v>225.42</v>
      </c>
      <c r="F1837" t="s">
        <v>1578</v>
      </c>
      <c r="G1837" t="s">
        <v>1213</v>
      </c>
    </row>
    <row r="1838" spans="1:7">
      <c r="A1838" t="s">
        <v>3441</v>
      </c>
      <c r="B1838" s="2">
        <v>45774</v>
      </c>
      <c r="C1838" t="s">
        <v>65</v>
      </c>
      <c r="D1838" t="s">
        <v>1629</v>
      </c>
      <c r="E1838">
        <v>224.31</v>
      </c>
      <c r="F1838" t="s">
        <v>1578</v>
      </c>
      <c r="G1838" t="s">
        <v>1213</v>
      </c>
    </row>
    <row r="1839" spans="1:7">
      <c r="A1839" t="s">
        <v>3442</v>
      </c>
      <c r="B1839" s="2">
        <v>45774</v>
      </c>
      <c r="C1839" t="s">
        <v>68</v>
      </c>
      <c r="D1839" t="s">
        <v>1629</v>
      </c>
      <c r="E1839">
        <v>225.42</v>
      </c>
      <c r="F1839" t="s">
        <v>1578</v>
      </c>
      <c r="G1839" t="s">
        <v>1213</v>
      </c>
    </row>
    <row r="1840" spans="1:7">
      <c r="A1840" t="s">
        <v>3443</v>
      </c>
      <c r="B1840" s="2">
        <v>45774</v>
      </c>
      <c r="C1840" t="s">
        <v>70</v>
      </c>
      <c r="D1840" t="s">
        <v>1629</v>
      </c>
      <c r="E1840">
        <v>223.21</v>
      </c>
      <c r="F1840" t="s">
        <v>1578</v>
      </c>
      <c r="G1840" t="s">
        <v>1213</v>
      </c>
    </row>
    <row r="1841" spans="1:7">
      <c r="A1841" t="s">
        <v>3444</v>
      </c>
      <c r="B1841" s="2">
        <v>45774</v>
      </c>
      <c r="C1841" t="s">
        <v>75</v>
      </c>
      <c r="D1841" t="s">
        <v>1629</v>
      </c>
      <c r="E1841">
        <v>223.21</v>
      </c>
      <c r="F1841" t="s">
        <v>1578</v>
      </c>
      <c r="G1841" t="s">
        <v>1213</v>
      </c>
    </row>
    <row r="1842" spans="1:7">
      <c r="A1842" t="s">
        <v>3445</v>
      </c>
      <c r="B1842" s="2">
        <v>45774</v>
      </c>
      <c r="C1842" t="s">
        <v>77</v>
      </c>
      <c r="D1842" t="s">
        <v>1629</v>
      </c>
      <c r="E1842">
        <v>223.21</v>
      </c>
      <c r="F1842" t="s">
        <v>1578</v>
      </c>
      <c r="G1842" t="s">
        <v>1213</v>
      </c>
    </row>
    <row r="1843" spans="1:7">
      <c r="A1843" t="s">
        <v>3446</v>
      </c>
      <c r="B1843" s="2">
        <v>45774</v>
      </c>
      <c r="C1843" t="s">
        <v>79</v>
      </c>
      <c r="D1843" t="s">
        <v>1629</v>
      </c>
      <c r="E1843">
        <v>225.42</v>
      </c>
      <c r="F1843" t="s">
        <v>1578</v>
      </c>
      <c r="G1843" t="s">
        <v>1213</v>
      </c>
    </row>
    <row r="1844" spans="1:7">
      <c r="A1844" t="s">
        <v>3447</v>
      </c>
      <c r="B1844" s="2">
        <v>45774</v>
      </c>
      <c r="C1844" t="s">
        <v>81</v>
      </c>
      <c r="D1844" t="s">
        <v>1629</v>
      </c>
      <c r="E1844">
        <v>446.42</v>
      </c>
      <c r="F1844" t="s">
        <v>1578</v>
      </c>
      <c r="G1844" t="s">
        <v>1213</v>
      </c>
    </row>
    <row r="1845" spans="1:7">
      <c r="A1845" t="s">
        <v>3448</v>
      </c>
      <c r="B1845" s="2">
        <v>45774</v>
      </c>
      <c r="C1845" t="s">
        <v>110</v>
      </c>
      <c r="D1845" t="s">
        <v>1629</v>
      </c>
      <c r="E1845">
        <v>225.42</v>
      </c>
      <c r="F1845" t="s">
        <v>1578</v>
      </c>
      <c r="G1845" t="s">
        <v>1213</v>
      </c>
    </row>
    <row r="1846" spans="1:7">
      <c r="A1846" t="s">
        <v>3449</v>
      </c>
      <c r="B1846" s="2">
        <v>45774</v>
      </c>
      <c r="C1846" t="s">
        <v>114</v>
      </c>
      <c r="D1846" t="s">
        <v>1629</v>
      </c>
      <c r="E1846">
        <v>223.21</v>
      </c>
      <c r="F1846" t="s">
        <v>1578</v>
      </c>
      <c r="G1846" t="s">
        <v>1213</v>
      </c>
    </row>
    <row r="1847" spans="1:7">
      <c r="A1847" t="s">
        <v>3450</v>
      </c>
      <c r="B1847" s="2">
        <v>45774</v>
      </c>
      <c r="C1847" t="s">
        <v>117</v>
      </c>
      <c r="D1847" t="s">
        <v>1629</v>
      </c>
      <c r="E1847">
        <v>222.1</v>
      </c>
      <c r="F1847" t="s">
        <v>1578</v>
      </c>
      <c r="G1847" t="s">
        <v>1213</v>
      </c>
    </row>
    <row r="1848" spans="1:7">
      <c r="A1848" t="s">
        <v>3451</v>
      </c>
      <c r="B1848" s="2">
        <v>45774</v>
      </c>
      <c r="C1848" t="s">
        <v>119</v>
      </c>
      <c r="D1848" t="s">
        <v>1629</v>
      </c>
      <c r="E1848">
        <v>223.21</v>
      </c>
      <c r="F1848" t="s">
        <v>1578</v>
      </c>
      <c r="G1848" t="s">
        <v>1213</v>
      </c>
    </row>
    <row r="1849" spans="1:7">
      <c r="A1849" t="s">
        <v>3452</v>
      </c>
      <c r="B1849" s="2">
        <v>45774</v>
      </c>
      <c r="C1849" t="s">
        <v>61</v>
      </c>
      <c r="D1849" t="s">
        <v>1629</v>
      </c>
      <c r="E1849">
        <v>444.72</v>
      </c>
      <c r="F1849" t="s">
        <v>1578</v>
      </c>
      <c r="G1849" t="s">
        <v>1214</v>
      </c>
    </row>
    <row r="1850" spans="1:7">
      <c r="A1850" t="s">
        <v>3453</v>
      </c>
      <c r="B1850" s="2">
        <v>45774</v>
      </c>
      <c r="C1850" t="s">
        <v>65</v>
      </c>
      <c r="D1850" t="s">
        <v>1629</v>
      </c>
      <c r="E1850">
        <v>442.54</v>
      </c>
      <c r="F1850" t="s">
        <v>1578</v>
      </c>
      <c r="G1850" t="s">
        <v>1214</v>
      </c>
    </row>
    <row r="1851" spans="1:7">
      <c r="A1851" t="s">
        <v>3454</v>
      </c>
      <c r="B1851" s="2">
        <v>45774</v>
      </c>
      <c r="C1851" t="s">
        <v>68</v>
      </c>
      <c r="D1851" t="s">
        <v>1629</v>
      </c>
      <c r="E1851">
        <v>444.72</v>
      </c>
      <c r="F1851" t="s">
        <v>1578</v>
      </c>
      <c r="G1851" t="s">
        <v>1214</v>
      </c>
    </row>
    <row r="1852" spans="1:7">
      <c r="A1852" t="s">
        <v>3455</v>
      </c>
      <c r="B1852" s="2">
        <v>45774</v>
      </c>
      <c r="C1852" t="s">
        <v>75</v>
      </c>
      <c r="D1852" t="s">
        <v>1629</v>
      </c>
      <c r="E1852">
        <v>440.36</v>
      </c>
      <c r="F1852" t="s">
        <v>1578</v>
      </c>
      <c r="G1852" t="s">
        <v>1214</v>
      </c>
    </row>
    <row r="1853" spans="1:7">
      <c r="A1853" t="s">
        <v>3456</v>
      </c>
      <c r="B1853" s="2">
        <v>45774</v>
      </c>
      <c r="C1853" t="s">
        <v>79</v>
      </c>
      <c r="D1853" t="s">
        <v>1629</v>
      </c>
      <c r="E1853">
        <v>444.72</v>
      </c>
      <c r="F1853" t="s">
        <v>1578</v>
      </c>
      <c r="G1853" t="s">
        <v>1214</v>
      </c>
    </row>
    <row r="1854" spans="1:7">
      <c r="A1854" t="s">
        <v>3457</v>
      </c>
      <c r="B1854" s="2">
        <v>45774</v>
      </c>
      <c r="C1854" t="s">
        <v>81</v>
      </c>
      <c r="D1854" t="s">
        <v>1629</v>
      </c>
      <c r="E1854">
        <v>880.72</v>
      </c>
      <c r="F1854" t="s">
        <v>1578</v>
      </c>
      <c r="G1854" t="s">
        <v>1214</v>
      </c>
    </row>
    <row r="1855" spans="1:7">
      <c r="A1855" t="s">
        <v>3458</v>
      </c>
      <c r="B1855" s="2">
        <v>45774</v>
      </c>
      <c r="C1855" t="s">
        <v>110</v>
      </c>
      <c r="D1855" t="s">
        <v>1629</v>
      </c>
      <c r="E1855">
        <v>444.72</v>
      </c>
      <c r="F1855" t="s">
        <v>1578</v>
      </c>
      <c r="G1855" t="s">
        <v>1214</v>
      </c>
    </row>
    <row r="1856" spans="1:7">
      <c r="A1856" t="s">
        <v>3459</v>
      </c>
      <c r="B1856" s="2">
        <v>45774</v>
      </c>
      <c r="C1856" t="s">
        <v>114</v>
      </c>
      <c r="D1856" t="s">
        <v>1629</v>
      </c>
      <c r="E1856">
        <v>440.36</v>
      </c>
      <c r="F1856" t="s">
        <v>1578</v>
      </c>
      <c r="G1856" t="s">
        <v>1214</v>
      </c>
    </row>
    <row r="1857" spans="1:7">
      <c r="A1857" t="s">
        <v>3460</v>
      </c>
      <c r="B1857" s="2">
        <v>45774</v>
      </c>
      <c r="C1857" t="s">
        <v>117</v>
      </c>
      <c r="D1857" t="s">
        <v>1629</v>
      </c>
      <c r="E1857">
        <v>438.18</v>
      </c>
      <c r="F1857" t="s">
        <v>1578</v>
      </c>
      <c r="G1857" t="s">
        <v>1214</v>
      </c>
    </row>
    <row r="1858" spans="1:7">
      <c r="A1858" t="s">
        <v>3461</v>
      </c>
      <c r="B1858" s="2">
        <v>45774</v>
      </c>
      <c r="C1858" t="s">
        <v>119</v>
      </c>
      <c r="D1858" t="s">
        <v>1629</v>
      </c>
      <c r="E1858">
        <v>440.36</v>
      </c>
      <c r="F1858" t="s">
        <v>1578</v>
      </c>
      <c r="G1858" t="s">
        <v>1214</v>
      </c>
    </row>
    <row r="1859" spans="1:7">
      <c r="A1859" t="s">
        <v>3462</v>
      </c>
      <c r="B1859" s="2">
        <v>45774</v>
      </c>
      <c r="C1859" t="s">
        <v>114</v>
      </c>
      <c r="D1859" t="s">
        <v>1683</v>
      </c>
      <c r="E1859">
        <v>151</v>
      </c>
      <c r="F1859" t="s">
        <v>1578</v>
      </c>
      <c r="G1859" t="s">
        <v>577</v>
      </c>
    </row>
    <row r="1860" spans="1:7">
      <c r="A1860" t="s">
        <v>3463</v>
      </c>
      <c r="B1860" s="2">
        <v>45774</v>
      </c>
      <c r="C1860" t="s">
        <v>117</v>
      </c>
      <c r="D1860" t="s">
        <v>1683</v>
      </c>
      <c r="E1860">
        <v>449</v>
      </c>
      <c r="F1860" t="s">
        <v>1578</v>
      </c>
      <c r="G1860" t="s">
        <v>578</v>
      </c>
    </row>
    <row r="1861" spans="1:7">
      <c r="A1861" t="s">
        <v>3464</v>
      </c>
      <c r="B1861" s="2">
        <v>45775</v>
      </c>
      <c r="C1861" t="s">
        <v>110</v>
      </c>
      <c r="D1861" t="s">
        <v>1683</v>
      </c>
      <c r="E1861">
        <v>410</v>
      </c>
      <c r="F1861" t="s">
        <v>1578</v>
      </c>
      <c r="G1861" t="s">
        <v>579</v>
      </c>
    </row>
    <row r="1862" spans="1:7">
      <c r="A1862" t="s">
        <v>3465</v>
      </c>
      <c r="B1862" s="2">
        <v>45777</v>
      </c>
      <c r="C1862" t="s">
        <v>61</v>
      </c>
      <c r="D1862" t="s">
        <v>1629</v>
      </c>
      <c r="E1862">
        <v>262.14</v>
      </c>
      <c r="F1862" t="s">
        <v>1578</v>
      </c>
      <c r="G1862" t="s">
        <v>1215</v>
      </c>
    </row>
    <row r="1863" spans="1:7">
      <c r="A1863" t="s">
        <v>3466</v>
      </c>
      <c r="B1863" s="2">
        <v>45777</v>
      </c>
      <c r="C1863" t="s">
        <v>65</v>
      </c>
      <c r="D1863" t="s">
        <v>1629</v>
      </c>
      <c r="E1863">
        <v>260.85000000000002</v>
      </c>
      <c r="F1863" t="s">
        <v>1578</v>
      </c>
      <c r="G1863" t="s">
        <v>1215</v>
      </c>
    </row>
    <row r="1864" spans="1:7">
      <c r="A1864" t="s">
        <v>3467</v>
      </c>
      <c r="B1864" s="2">
        <v>45777</v>
      </c>
      <c r="C1864" t="s">
        <v>68</v>
      </c>
      <c r="D1864" t="s">
        <v>1629</v>
      </c>
      <c r="E1864">
        <v>262.14</v>
      </c>
      <c r="F1864" t="s">
        <v>1578</v>
      </c>
      <c r="G1864" t="s">
        <v>1215</v>
      </c>
    </row>
    <row r="1865" spans="1:7">
      <c r="A1865" t="s">
        <v>3468</v>
      </c>
      <c r="B1865" s="2">
        <v>45777</v>
      </c>
      <c r="C1865" t="s">
        <v>70</v>
      </c>
      <c r="D1865" t="s">
        <v>1629</v>
      </c>
      <c r="E1865">
        <v>259.57</v>
      </c>
      <c r="F1865" t="s">
        <v>1578</v>
      </c>
      <c r="G1865" t="s">
        <v>1215</v>
      </c>
    </row>
    <row r="1866" spans="1:7">
      <c r="A1866" t="s">
        <v>3469</v>
      </c>
      <c r="B1866" s="2">
        <v>45777</v>
      </c>
      <c r="C1866" t="s">
        <v>75</v>
      </c>
      <c r="D1866" t="s">
        <v>1629</v>
      </c>
      <c r="E1866">
        <v>259.57</v>
      </c>
      <c r="F1866" t="s">
        <v>1578</v>
      </c>
      <c r="G1866" t="s">
        <v>1215</v>
      </c>
    </row>
    <row r="1867" spans="1:7">
      <c r="A1867" t="s">
        <v>3470</v>
      </c>
      <c r="B1867" s="2">
        <v>45777</v>
      </c>
      <c r="C1867" t="s">
        <v>77</v>
      </c>
      <c r="D1867" t="s">
        <v>1629</v>
      </c>
      <c r="E1867">
        <v>259.57</v>
      </c>
      <c r="F1867" t="s">
        <v>1578</v>
      </c>
      <c r="G1867" t="s">
        <v>1215</v>
      </c>
    </row>
    <row r="1868" spans="1:7">
      <c r="A1868" t="s">
        <v>3471</v>
      </c>
      <c r="B1868" s="2">
        <v>45777</v>
      </c>
      <c r="C1868" t="s">
        <v>79</v>
      </c>
      <c r="D1868" t="s">
        <v>1629</v>
      </c>
      <c r="E1868">
        <v>262.14</v>
      </c>
      <c r="F1868" t="s">
        <v>1578</v>
      </c>
      <c r="G1868" t="s">
        <v>1215</v>
      </c>
    </row>
    <row r="1869" spans="1:7">
      <c r="A1869" t="s">
        <v>3472</v>
      </c>
      <c r="B1869" s="2">
        <v>45777</v>
      </c>
      <c r="C1869" t="s">
        <v>81</v>
      </c>
      <c r="D1869" t="s">
        <v>1629</v>
      </c>
      <c r="E1869">
        <v>519.14</v>
      </c>
      <c r="F1869" t="s">
        <v>1578</v>
      </c>
      <c r="G1869" t="s">
        <v>1215</v>
      </c>
    </row>
    <row r="1870" spans="1:7">
      <c r="A1870" t="s">
        <v>3473</v>
      </c>
      <c r="B1870" s="2">
        <v>45777</v>
      </c>
      <c r="C1870" t="s">
        <v>110</v>
      </c>
      <c r="D1870" t="s">
        <v>1629</v>
      </c>
      <c r="E1870">
        <v>262.14</v>
      </c>
      <c r="F1870" t="s">
        <v>1578</v>
      </c>
      <c r="G1870" t="s">
        <v>1215</v>
      </c>
    </row>
    <row r="1871" spans="1:7">
      <c r="A1871" t="s">
        <v>3474</v>
      </c>
      <c r="B1871" s="2">
        <v>45777</v>
      </c>
      <c r="C1871" t="s">
        <v>114</v>
      </c>
      <c r="D1871" t="s">
        <v>1629</v>
      </c>
      <c r="E1871">
        <v>259.57</v>
      </c>
      <c r="F1871" t="s">
        <v>1578</v>
      </c>
      <c r="G1871" t="s">
        <v>1215</v>
      </c>
    </row>
    <row r="1872" spans="1:7">
      <c r="A1872" t="s">
        <v>3475</v>
      </c>
      <c r="B1872" s="2">
        <v>45777</v>
      </c>
      <c r="C1872" t="s">
        <v>117</v>
      </c>
      <c r="D1872" t="s">
        <v>1629</v>
      </c>
      <c r="E1872">
        <v>258.27999999999997</v>
      </c>
      <c r="F1872" t="s">
        <v>1578</v>
      </c>
      <c r="G1872" t="s">
        <v>1215</v>
      </c>
    </row>
    <row r="1873" spans="1:7">
      <c r="A1873" t="s">
        <v>3476</v>
      </c>
      <c r="B1873" s="2">
        <v>45777</v>
      </c>
      <c r="C1873" t="s">
        <v>119</v>
      </c>
      <c r="D1873" t="s">
        <v>1629</v>
      </c>
      <c r="E1873">
        <v>259.57</v>
      </c>
      <c r="F1873" t="s">
        <v>1578</v>
      </c>
      <c r="G1873" t="s">
        <v>1215</v>
      </c>
    </row>
    <row r="1874" spans="1:7">
      <c r="A1874" t="s">
        <v>3477</v>
      </c>
      <c r="B1874" s="2">
        <v>45777</v>
      </c>
      <c r="C1874" t="s">
        <v>61</v>
      </c>
      <c r="D1874" t="s">
        <v>1629</v>
      </c>
      <c r="E1874">
        <v>237.66</v>
      </c>
      <c r="F1874" t="s">
        <v>1578</v>
      </c>
      <c r="G1874" t="s">
        <v>1216</v>
      </c>
    </row>
    <row r="1875" spans="1:7">
      <c r="A1875" t="s">
        <v>3478</v>
      </c>
      <c r="B1875" s="2">
        <v>45777</v>
      </c>
      <c r="C1875" t="s">
        <v>65</v>
      </c>
      <c r="D1875" t="s">
        <v>1629</v>
      </c>
      <c r="E1875">
        <v>236.49</v>
      </c>
      <c r="F1875" t="s">
        <v>1578</v>
      </c>
      <c r="G1875" t="s">
        <v>1216</v>
      </c>
    </row>
    <row r="1876" spans="1:7">
      <c r="A1876" t="s">
        <v>3479</v>
      </c>
      <c r="B1876" s="2">
        <v>45777</v>
      </c>
      <c r="C1876" t="s">
        <v>68</v>
      </c>
      <c r="D1876" t="s">
        <v>1629</v>
      </c>
      <c r="E1876">
        <v>237.66</v>
      </c>
      <c r="F1876" t="s">
        <v>1578</v>
      </c>
      <c r="G1876" t="s">
        <v>1216</v>
      </c>
    </row>
    <row r="1877" spans="1:7">
      <c r="A1877" t="s">
        <v>3480</v>
      </c>
      <c r="B1877" s="2">
        <v>45777</v>
      </c>
      <c r="C1877" t="s">
        <v>70</v>
      </c>
      <c r="D1877" t="s">
        <v>1629</v>
      </c>
      <c r="E1877">
        <v>235.33</v>
      </c>
      <c r="F1877" t="s">
        <v>1578</v>
      </c>
      <c r="G1877" t="s">
        <v>1216</v>
      </c>
    </row>
    <row r="1878" spans="1:7">
      <c r="A1878" t="s">
        <v>3481</v>
      </c>
      <c r="B1878" s="2">
        <v>45777</v>
      </c>
      <c r="C1878" t="s">
        <v>73</v>
      </c>
      <c r="D1878" t="s">
        <v>1629</v>
      </c>
      <c r="E1878">
        <v>237.66</v>
      </c>
      <c r="F1878" t="s">
        <v>1578</v>
      </c>
      <c r="G1878" t="s">
        <v>1216</v>
      </c>
    </row>
    <row r="1879" spans="1:7">
      <c r="A1879" t="s">
        <v>3482</v>
      </c>
      <c r="B1879" s="2">
        <v>45777</v>
      </c>
      <c r="C1879" t="s">
        <v>75</v>
      </c>
      <c r="D1879" t="s">
        <v>1629</v>
      </c>
      <c r="E1879">
        <v>235.33</v>
      </c>
      <c r="F1879" t="s">
        <v>1578</v>
      </c>
      <c r="G1879" t="s">
        <v>1216</v>
      </c>
    </row>
    <row r="1880" spans="1:7">
      <c r="A1880" t="s">
        <v>3483</v>
      </c>
      <c r="B1880" s="2">
        <v>45777</v>
      </c>
      <c r="C1880" t="s">
        <v>77</v>
      </c>
      <c r="D1880" t="s">
        <v>1629</v>
      </c>
      <c r="E1880">
        <v>235.33</v>
      </c>
      <c r="F1880" t="s">
        <v>1578</v>
      </c>
      <c r="G1880" t="s">
        <v>1216</v>
      </c>
    </row>
    <row r="1881" spans="1:7">
      <c r="A1881" t="s">
        <v>3484</v>
      </c>
      <c r="B1881" s="2">
        <v>45777</v>
      </c>
      <c r="C1881" t="s">
        <v>79</v>
      </c>
      <c r="D1881" t="s">
        <v>1629</v>
      </c>
      <c r="E1881">
        <v>237.66</v>
      </c>
      <c r="F1881" t="s">
        <v>1578</v>
      </c>
      <c r="G1881" t="s">
        <v>1216</v>
      </c>
    </row>
    <row r="1882" spans="1:7">
      <c r="A1882" t="s">
        <v>3485</v>
      </c>
      <c r="B1882" s="2">
        <v>45777</v>
      </c>
      <c r="C1882" t="s">
        <v>81</v>
      </c>
      <c r="D1882" t="s">
        <v>1629</v>
      </c>
      <c r="E1882">
        <v>470.66</v>
      </c>
      <c r="F1882" t="s">
        <v>1578</v>
      </c>
      <c r="G1882" t="s">
        <v>1216</v>
      </c>
    </row>
    <row r="1883" spans="1:7">
      <c r="A1883" t="s">
        <v>3486</v>
      </c>
      <c r="B1883" s="2">
        <v>45777</v>
      </c>
      <c r="C1883" t="s">
        <v>108</v>
      </c>
      <c r="D1883" t="s">
        <v>1629</v>
      </c>
      <c r="E1883">
        <v>472.99</v>
      </c>
      <c r="F1883" t="s">
        <v>1578</v>
      </c>
      <c r="G1883" t="s">
        <v>1216</v>
      </c>
    </row>
    <row r="1884" spans="1:7">
      <c r="A1884" t="s">
        <v>3487</v>
      </c>
      <c r="B1884" s="2">
        <v>45777</v>
      </c>
      <c r="C1884" t="s">
        <v>110</v>
      </c>
      <c r="D1884" t="s">
        <v>1629</v>
      </c>
      <c r="E1884">
        <v>237.66</v>
      </c>
      <c r="F1884" t="s">
        <v>1578</v>
      </c>
      <c r="G1884" t="s">
        <v>1216</v>
      </c>
    </row>
    <row r="1885" spans="1:7">
      <c r="A1885" t="s">
        <v>3488</v>
      </c>
      <c r="B1885" s="2">
        <v>45777</v>
      </c>
      <c r="C1885" t="s">
        <v>114</v>
      </c>
      <c r="D1885" t="s">
        <v>1629</v>
      </c>
      <c r="E1885">
        <v>235.33</v>
      </c>
      <c r="F1885" t="s">
        <v>1578</v>
      </c>
      <c r="G1885" t="s">
        <v>1216</v>
      </c>
    </row>
    <row r="1886" spans="1:7">
      <c r="A1886" t="s">
        <v>3489</v>
      </c>
      <c r="B1886" s="2">
        <v>45777</v>
      </c>
      <c r="C1886" t="s">
        <v>117</v>
      </c>
      <c r="D1886" t="s">
        <v>1629</v>
      </c>
      <c r="E1886">
        <v>234.16</v>
      </c>
      <c r="F1886" t="s">
        <v>1578</v>
      </c>
      <c r="G1886" t="s">
        <v>1216</v>
      </c>
    </row>
    <row r="1887" spans="1:7">
      <c r="A1887" t="s">
        <v>3490</v>
      </c>
      <c r="B1887" s="2">
        <v>45777</v>
      </c>
      <c r="C1887" t="s">
        <v>119</v>
      </c>
      <c r="D1887" t="s">
        <v>1629</v>
      </c>
      <c r="E1887">
        <v>235.33</v>
      </c>
      <c r="F1887" t="s">
        <v>1578</v>
      </c>
      <c r="G1887" t="s">
        <v>1216</v>
      </c>
    </row>
    <row r="1888" spans="1:7">
      <c r="A1888" t="s">
        <v>3491</v>
      </c>
      <c r="B1888" s="2">
        <v>45777</v>
      </c>
      <c r="C1888" t="s">
        <v>79</v>
      </c>
      <c r="D1888" t="s">
        <v>1683</v>
      </c>
      <c r="E1888">
        <v>246</v>
      </c>
      <c r="F1888" t="s">
        <v>1578</v>
      </c>
      <c r="G1888" t="s">
        <v>580</v>
      </c>
    </row>
    <row r="1889" spans="1:7">
      <c r="A1889" t="s">
        <v>3492</v>
      </c>
      <c r="B1889" s="2">
        <v>45777</v>
      </c>
      <c r="C1889" t="s">
        <v>77</v>
      </c>
      <c r="D1889" t="s">
        <v>1683</v>
      </c>
      <c r="E1889">
        <v>152</v>
      </c>
      <c r="F1889" t="s">
        <v>1578</v>
      </c>
      <c r="G1889" t="s">
        <v>581</v>
      </c>
    </row>
    <row r="1890" spans="1:7">
      <c r="A1890" t="s">
        <v>3493</v>
      </c>
      <c r="B1890" s="2">
        <v>45778</v>
      </c>
      <c r="C1890" t="s">
        <v>75</v>
      </c>
      <c r="D1890" t="s">
        <v>1629</v>
      </c>
      <c r="E1890">
        <v>420.16</v>
      </c>
      <c r="F1890" t="s">
        <v>1578</v>
      </c>
      <c r="G1890" t="s">
        <v>1217</v>
      </c>
    </row>
    <row r="1891" spans="1:7">
      <c r="A1891" t="s">
        <v>3494</v>
      </c>
      <c r="B1891" s="2">
        <v>45778</v>
      </c>
      <c r="C1891" t="s">
        <v>106</v>
      </c>
      <c r="D1891" t="s">
        <v>1629</v>
      </c>
      <c r="E1891">
        <v>428.48</v>
      </c>
      <c r="F1891" t="s">
        <v>1578</v>
      </c>
      <c r="G1891" t="s">
        <v>1217</v>
      </c>
    </row>
    <row r="1892" spans="1:7">
      <c r="A1892" t="s">
        <v>3495</v>
      </c>
      <c r="B1892" s="2">
        <v>45778</v>
      </c>
      <c r="C1892" t="s">
        <v>108</v>
      </c>
      <c r="D1892" t="s">
        <v>1629</v>
      </c>
      <c r="E1892">
        <v>844.48</v>
      </c>
      <c r="F1892" t="s">
        <v>1578</v>
      </c>
      <c r="G1892" t="s">
        <v>1217</v>
      </c>
    </row>
    <row r="1893" spans="1:7">
      <c r="A1893" t="s">
        <v>3496</v>
      </c>
      <c r="B1893" s="2">
        <v>45778</v>
      </c>
      <c r="C1893" t="s">
        <v>110</v>
      </c>
      <c r="D1893" t="s">
        <v>1629</v>
      </c>
      <c r="E1893">
        <v>424.32</v>
      </c>
      <c r="F1893" t="s">
        <v>1578</v>
      </c>
      <c r="G1893" t="s">
        <v>1217</v>
      </c>
    </row>
    <row r="1894" spans="1:7">
      <c r="A1894" t="s">
        <v>3497</v>
      </c>
      <c r="B1894" s="2">
        <v>45778</v>
      </c>
      <c r="C1894" t="s">
        <v>114</v>
      </c>
      <c r="D1894" t="s">
        <v>1629</v>
      </c>
      <c r="E1894">
        <v>420.16</v>
      </c>
      <c r="F1894" t="s">
        <v>1578</v>
      </c>
      <c r="G1894" t="s">
        <v>1217</v>
      </c>
    </row>
    <row r="1895" spans="1:7">
      <c r="A1895" t="s">
        <v>3498</v>
      </c>
      <c r="B1895" s="2">
        <v>45778</v>
      </c>
      <c r="C1895" t="s">
        <v>117</v>
      </c>
      <c r="D1895" t="s">
        <v>1629</v>
      </c>
      <c r="E1895">
        <v>418.08</v>
      </c>
      <c r="F1895" t="s">
        <v>1578</v>
      </c>
      <c r="G1895" t="s">
        <v>1217</v>
      </c>
    </row>
    <row r="1896" spans="1:7">
      <c r="A1896" t="s">
        <v>3499</v>
      </c>
      <c r="B1896" s="2">
        <v>45778</v>
      </c>
      <c r="C1896" t="s">
        <v>119</v>
      </c>
      <c r="D1896" t="s">
        <v>1629</v>
      </c>
      <c r="E1896">
        <v>420.16</v>
      </c>
      <c r="F1896" t="s">
        <v>1578</v>
      </c>
      <c r="G1896" t="s">
        <v>1217</v>
      </c>
    </row>
    <row r="1897" spans="1:7">
      <c r="A1897" t="s">
        <v>3500</v>
      </c>
      <c r="B1897" s="2">
        <v>45778</v>
      </c>
      <c r="C1897" t="s">
        <v>61</v>
      </c>
      <c r="D1897" t="s">
        <v>1629</v>
      </c>
      <c r="E1897">
        <v>95.88</v>
      </c>
      <c r="F1897" t="s">
        <v>1578</v>
      </c>
      <c r="G1897" t="s">
        <v>1218</v>
      </c>
    </row>
    <row r="1898" spans="1:7">
      <c r="A1898" t="s">
        <v>3501</v>
      </c>
      <c r="B1898" s="2">
        <v>45778</v>
      </c>
      <c r="C1898" t="s">
        <v>65</v>
      </c>
      <c r="D1898" t="s">
        <v>1629</v>
      </c>
      <c r="E1898">
        <v>95.41</v>
      </c>
      <c r="F1898" t="s">
        <v>1578</v>
      </c>
      <c r="G1898" t="s">
        <v>1218</v>
      </c>
    </row>
    <row r="1899" spans="1:7">
      <c r="A1899" t="s">
        <v>3502</v>
      </c>
      <c r="B1899" s="2">
        <v>45778</v>
      </c>
      <c r="C1899" t="s">
        <v>68</v>
      </c>
      <c r="D1899" t="s">
        <v>1629</v>
      </c>
      <c r="E1899">
        <v>95.88</v>
      </c>
      <c r="F1899" t="s">
        <v>1578</v>
      </c>
      <c r="G1899" t="s">
        <v>1218</v>
      </c>
    </row>
    <row r="1900" spans="1:7">
      <c r="A1900" t="s">
        <v>3503</v>
      </c>
      <c r="B1900" s="2">
        <v>45778</v>
      </c>
      <c r="C1900" t="s">
        <v>75</v>
      </c>
      <c r="D1900" t="s">
        <v>1629</v>
      </c>
      <c r="E1900">
        <v>94.94</v>
      </c>
      <c r="F1900" t="s">
        <v>1578</v>
      </c>
      <c r="G1900" t="s">
        <v>1218</v>
      </c>
    </row>
    <row r="1901" spans="1:7">
      <c r="A1901" t="s">
        <v>3504</v>
      </c>
      <c r="B1901" s="2">
        <v>45778</v>
      </c>
      <c r="C1901" t="s">
        <v>79</v>
      </c>
      <c r="D1901" t="s">
        <v>1629</v>
      </c>
      <c r="E1901">
        <v>95.88</v>
      </c>
      <c r="F1901" t="s">
        <v>1578</v>
      </c>
      <c r="G1901" t="s">
        <v>1218</v>
      </c>
    </row>
    <row r="1902" spans="1:7">
      <c r="A1902" t="s">
        <v>3505</v>
      </c>
      <c r="B1902" s="2">
        <v>45778</v>
      </c>
      <c r="C1902" t="s">
        <v>81</v>
      </c>
      <c r="D1902" t="s">
        <v>1629</v>
      </c>
      <c r="E1902">
        <v>189.88</v>
      </c>
      <c r="F1902" t="s">
        <v>1578</v>
      </c>
      <c r="G1902" t="s">
        <v>1218</v>
      </c>
    </row>
    <row r="1903" spans="1:7">
      <c r="A1903" t="s">
        <v>3506</v>
      </c>
      <c r="B1903" s="2">
        <v>45778</v>
      </c>
      <c r="C1903" t="s">
        <v>97</v>
      </c>
      <c r="D1903" t="s">
        <v>1629</v>
      </c>
      <c r="E1903">
        <v>95.88</v>
      </c>
      <c r="F1903" t="s">
        <v>1578</v>
      </c>
      <c r="G1903" t="s">
        <v>1218</v>
      </c>
    </row>
    <row r="1904" spans="1:7">
      <c r="A1904" t="s">
        <v>3507</v>
      </c>
      <c r="B1904" s="2">
        <v>45778</v>
      </c>
      <c r="C1904" t="s">
        <v>110</v>
      </c>
      <c r="D1904" t="s">
        <v>1629</v>
      </c>
      <c r="E1904">
        <v>95.88</v>
      </c>
      <c r="F1904" t="s">
        <v>1578</v>
      </c>
      <c r="G1904" t="s">
        <v>1218</v>
      </c>
    </row>
    <row r="1905" spans="1:7">
      <c r="A1905" t="s">
        <v>3508</v>
      </c>
      <c r="B1905" s="2">
        <v>45778</v>
      </c>
      <c r="C1905" t="s">
        <v>114</v>
      </c>
      <c r="D1905" t="s">
        <v>1629</v>
      </c>
      <c r="E1905">
        <v>94.94</v>
      </c>
      <c r="F1905" t="s">
        <v>1578</v>
      </c>
      <c r="G1905" t="s">
        <v>1218</v>
      </c>
    </row>
    <row r="1906" spans="1:7">
      <c r="A1906" t="s">
        <v>3509</v>
      </c>
      <c r="B1906" s="2">
        <v>45778</v>
      </c>
      <c r="C1906" t="s">
        <v>117</v>
      </c>
      <c r="D1906" t="s">
        <v>1629</v>
      </c>
      <c r="E1906">
        <v>94.47</v>
      </c>
      <c r="F1906" t="s">
        <v>1578</v>
      </c>
      <c r="G1906" t="s">
        <v>1218</v>
      </c>
    </row>
    <row r="1907" spans="1:7">
      <c r="A1907" t="s">
        <v>3510</v>
      </c>
      <c r="B1907" s="2">
        <v>45778</v>
      </c>
      <c r="C1907" t="s">
        <v>119</v>
      </c>
      <c r="D1907" t="s">
        <v>1629</v>
      </c>
      <c r="E1907">
        <v>94.94</v>
      </c>
      <c r="F1907" t="s">
        <v>1578</v>
      </c>
      <c r="G1907" t="s">
        <v>1218</v>
      </c>
    </row>
    <row r="1908" spans="1:7">
      <c r="A1908" t="s">
        <v>3511</v>
      </c>
      <c r="B1908" s="2">
        <v>45778</v>
      </c>
      <c r="C1908" t="s">
        <v>117</v>
      </c>
      <c r="D1908" t="s">
        <v>1683</v>
      </c>
      <c r="E1908">
        <v>455</v>
      </c>
      <c r="F1908" t="s">
        <v>1578</v>
      </c>
      <c r="G1908" t="s">
        <v>582</v>
      </c>
    </row>
    <row r="1909" spans="1:7">
      <c r="A1909" t="s">
        <v>3512</v>
      </c>
      <c r="B1909" s="2">
        <v>45778</v>
      </c>
      <c r="C1909" t="s">
        <v>89</v>
      </c>
      <c r="D1909" t="s">
        <v>1683</v>
      </c>
      <c r="E1909">
        <v>442</v>
      </c>
      <c r="F1909" t="s">
        <v>1578</v>
      </c>
      <c r="G1909" t="s">
        <v>583</v>
      </c>
    </row>
    <row r="1910" spans="1:7">
      <c r="A1910" t="s">
        <v>3513</v>
      </c>
      <c r="B1910" s="2">
        <v>45779</v>
      </c>
      <c r="C1910" t="s">
        <v>75</v>
      </c>
      <c r="D1910" t="s">
        <v>1629</v>
      </c>
      <c r="E1910">
        <v>461.57</v>
      </c>
      <c r="F1910" t="s">
        <v>1578</v>
      </c>
      <c r="G1910" t="s">
        <v>1219</v>
      </c>
    </row>
    <row r="1911" spans="1:7">
      <c r="A1911" t="s">
        <v>3514</v>
      </c>
      <c r="B1911" s="2">
        <v>45779</v>
      </c>
      <c r="C1911" t="s">
        <v>106</v>
      </c>
      <c r="D1911" t="s">
        <v>1629</v>
      </c>
      <c r="E1911">
        <v>470.71</v>
      </c>
      <c r="F1911" t="s">
        <v>1578</v>
      </c>
      <c r="G1911" t="s">
        <v>1219</v>
      </c>
    </row>
    <row r="1912" spans="1:7">
      <c r="A1912" t="s">
        <v>3515</v>
      </c>
      <c r="B1912" s="2">
        <v>45779</v>
      </c>
      <c r="C1912" t="s">
        <v>108</v>
      </c>
      <c r="D1912" t="s">
        <v>1629</v>
      </c>
      <c r="E1912">
        <v>927.71</v>
      </c>
      <c r="F1912" t="s">
        <v>1578</v>
      </c>
      <c r="G1912" t="s">
        <v>1219</v>
      </c>
    </row>
    <row r="1913" spans="1:7">
      <c r="A1913" t="s">
        <v>3516</v>
      </c>
      <c r="B1913" s="2">
        <v>45779</v>
      </c>
      <c r="C1913" t="s">
        <v>110</v>
      </c>
      <c r="D1913" t="s">
        <v>1629</v>
      </c>
      <c r="E1913">
        <v>466.14</v>
      </c>
      <c r="F1913" t="s">
        <v>1578</v>
      </c>
      <c r="G1913" t="s">
        <v>1219</v>
      </c>
    </row>
    <row r="1914" spans="1:7">
      <c r="A1914" t="s">
        <v>3517</v>
      </c>
      <c r="B1914" s="2">
        <v>45779</v>
      </c>
      <c r="C1914" t="s">
        <v>114</v>
      </c>
      <c r="D1914" t="s">
        <v>1629</v>
      </c>
      <c r="E1914">
        <v>461.57</v>
      </c>
      <c r="F1914" t="s">
        <v>1578</v>
      </c>
      <c r="G1914" t="s">
        <v>1219</v>
      </c>
    </row>
    <row r="1915" spans="1:7">
      <c r="A1915" t="s">
        <v>3518</v>
      </c>
      <c r="B1915" s="2">
        <v>45779</v>
      </c>
      <c r="C1915" t="s">
        <v>117</v>
      </c>
      <c r="D1915" t="s">
        <v>1629</v>
      </c>
      <c r="E1915">
        <v>459.28</v>
      </c>
      <c r="F1915" t="s">
        <v>1578</v>
      </c>
      <c r="G1915" t="s">
        <v>1219</v>
      </c>
    </row>
    <row r="1916" spans="1:7">
      <c r="A1916" t="s">
        <v>3519</v>
      </c>
      <c r="B1916" s="2">
        <v>45779</v>
      </c>
      <c r="C1916" t="s">
        <v>119</v>
      </c>
      <c r="D1916" t="s">
        <v>1629</v>
      </c>
      <c r="E1916">
        <v>461.57</v>
      </c>
      <c r="F1916" t="s">
        <v>1578</v>
      </c>
      <c r="G1916" t="s">
        <v>1219</v>
      </c>
    </row>
    <row r="1917" spans="1:7">
      <c r="A1917" t="s">
        <v>3520</v>
      </c>
      <c r="B1917" s="2">
        <v>45779</v>
      </c>
      <c r="C1917" t="s">
        <v>93</v>
      </c>
      <c r="D1917" t="s">
        <v>1683</v>
      </c>
      <c r="E1917">
        <v>196</v>
      </c>
      <c r="F1917" t="s">
        <v>1578</v>
      </c>
      <c r="G1917" t="s">
        <v>585</v>
      </c>
    </row>
    <row r="1918" spans="1:7">
      <c r="A1918" t="s">
        <v>3521</v>
      </c>
      <c r="B1918" s="2">
        <v>45779</v>
      </c>
      <c r="C1918" t="s">
        <v>81</v>
      </c>
      <c r="D1918" t="s">
        <v>1683</v>
      </c>
      <c r="E1918">
        <v>104</v>
      </c>
      <c r="F1918" t="s">
        <v>1578</v>
      </c>
      <c r="G1918" t="s">
        <v>586</v>
      </c>
    </row>
    <row r="1919" spans="1:7">
      <c r="A1919" t="s">
        <v>3522</v>
      </c>
      <c r="B1919" s="2">
        <v>45780</v>
      </c>
      <c r="C1919" t="s">
        <v>87</v>
      </c>
      <c r="D1919" t="s">
        <v>1683</v>
      </c>
      <c r="E1919">
        <v>196</v>
      </c>
      <c r="F1919" t="s">
        <v>1578</v>
      </c>
      <c r="G1919" t="s">
        <v>587</v>
      </c>
    </row>
    <row r="1920" spans="1:7">
      <c r="A1920" t="s">
        <v>3523</v>
      </c>
      <c r="B1920" s="2">
        <v>45780</v>
      </c>
      <c r="C1920" t="s">
        <v>114</v>
      </c>
      <c r="D1920" t="s">
        <v>1683</v>
      </c>
      <c r="E1920">
        <v>262</v>
      </c>
      <c r="F1920" t="s">
        <v>1578</v>
      </c>
      <c r="G1920" t="s">
        <v>588</v>
      </c>
    </row>
    <row r="1921" spans="1:7">
      <c r="A1921" t="s">
        <v>3524</v>
      </c>
      <c r="B1921" s="2">
        <v>45780</v>
      </c>
      <c r="C1921" t="s">
        <v>104</v>
      </c>
      <c r="D1921" t="s">
        <v>1683</v>
      </c>
      <c r="E1921">
        <v>460</v>
      </c>
      <c r="F1921" t="s">
        <v>1578</v>
      </c>
      <c r="G1921" t="s">
        <v>589</v>
      </c>
    </row>
    <row r="1922" spans="1:7">
      <c r="A1922" t="s">
        <v>3525</v>
      </c>
      <c r="B1922" s="2">
        <v>45781</v>
      </c>
      <c r="C1922" t="s">
        <v>75</v>
      </c>
      <c r="D1922" t="s">
        <v>1629</v>
      </c>
      <c r="E1922">
        <v>358.55</v>
      </c>
      <c r="F1922" t="s">
        <v>1578</v>
      </c>
      <c r="G1922" t="s">
        <v>1220</v>
      </c>
    </row>
    <row r="1923" spans="1:7">
      <c r="A1923" t="s">
        <v>3526</v>
      </c>
      <c r="B1923" s="2">
        <v>45781</v>
      </c>
      <c r="C1923" t="s">
        <v>91</v>
      </c>
      <c r="D1923" t="s">
        <v>1629</v>
      </c>
      <c r="E1923">
        <v>363.87</v>
      </c>
      <c r="F1923" t="s">
        <v>1578</v>
      </c>
      <c r="G1923" t="s">
        <v>1220</v>
      </c>
    </row>
    <row r="1924" spans="1:7">
      <c r="A1924" t="s">
        <v>3527</v>
      </c>
      <c r="B1924" s="2">
        <v>45781</v>
      </c>
      <c r="C1924" t="s">
        <v>93</v>
      </c>
      <c r="D1924" t="s">
        <v>1629</v>
      </c>
      <c r="E1924">
        <v>362.1</v>
      </c>
      <c r="F1924" t="s">
        <v>1578</v>
      </c>
      <c r="G1924" t="s">
        <v>1220</v>
      </c>
    </row>
    <row r="1925" spans="1:7">
      <c r="A1925" t="s">
        <v>3528</v>
      </c>
      <c r="B1925" s="2">
        <v>45781</v>
      </c>
      <c r="C1925" t="s">
        <v>95</v>
      </c>
      <c r="D1925" t="s">
        <v>1629</v>
      </c>
      <c r="E1925">
        <v>360.32</v>
      </c>
      <c r="F1925" t="s">
        <v>1578</v>
      </c>
      <c r="G1925" t="s">
        <v>1220</v>
      </c>
    </row>
    <row r="1926" spans="1:7">
      <c r="A1926" t="s">
        <v>3529</v>
      </c>
      <c r="B1926" s="2">
        <v>45781</v>
      </c>
      <c r="C1926" t="s">
        <v>97</v>
      </c>
      <c r="D1926" t="s">
        <v>1629</v>
      </c>
      <c r="E1926">
        <v>358.55</v>
      </c>
      <c r="F1926" t="s">
        <v>1578</v>
      </c>
      <c r="G1926" t="s">
        <v>1220</v>
      </c>
    </row>
    <row r="1927" spans="1:7">
      <c r="A1927" t="s">
        <v>3530</v>
      </c>
      <c r="B1927" s="2">
        <v>45781</v>
      </c>
      <c r="C1927" t="s">
        <v>99</v>
      </c>
      <c r="D1927" t="s">
        <v>1629</v>
      </c>
      <c r="E1927">
        <v>438.78</v>
      </c>
      <c r="F1927" t="s">
        <v>1578</v>
      </c>
      <c r="G1927" t="s">
        <v>1220</v>
      </c>
    </row>
    <row r="1928" spans="1:7">
      <c r="A1928" t="s">
        <v>3531</v>
      </c>
      <c r="B1928" s="2">
        <v>45781</v>
      </c>
      <c r="C1928" t="s">
        <v>102</v>
      </c>
      <c r="D1928" t="s">
        <v>1629</v>
      </c>
      <c r="E1928">
        <v>362.1</v>
      </c>
      <c r="F1928" t="s">
        <v>1578</v>
      </c>
      <c r="G1928" t="s">
        <v>1220</v>
      </c>
    </row>
    <row r="1929" spans="1:7">
      <c r="A1929" t="s">
        <v>3532</v>
      </c>
      <c r="B1929" s="2">
        <v>45781</v>
      </c>
      <c r="C1929" t="s">
        <v>108</v>
      </c>
      <c r="D1929" t="s">
        <v>1629</v>
      </c>
      <c r="E1929">
        <v>720.65</v>
      </c>
      <c r="F1929" t="s">
        <v>1578</v>
      </c>
      <c r="G1929" t="s">
        <v>1220</v>
      </c>
    </row>
    <row r="1930" spans="1:7">
      <c r="A1930" t="s">
        <v>3533</v>
      </c>
      <c r="B1930" s="2">
        <v>45781</v>
      </c>
      <c r="C1930" t="s">
        <v>110</v>
      </c>
      <c r="D1930" t="s">
        <v>1629</v>
      </c>
      <c r="E1930">
        <v>362.1</v>
      </c>
      <c r="F1930" t="s">
        <v>1578</v>
      </c>
      <c r="G1930" t="s">
        <v>1220</v>
      </c>
    </row>
    <row r="1931" spans="1:7">
      <c r="A1931" t="s">
        <v>3534</v>
      </c>
      <c r="B1931" s="2">
        <v>45781</v>
      </c>
      <c r="C1931" t="s">
        <v>114</v>
      </c>
      <c r="D1931" t="s">
        <v>1629</v>
      </c>
      <c r="E1931">
        <v>358.55</v>
      </c>
      <c r="F1931" t="s">
        <v>1578</v>
      </c>
      <c r="G1931" t="s">
        <v>1220</v>
      </c>
    </row>
    <row r="1932" spans="1:7">
      <c r="A1932" t="s">
        <v>3535</v>
      </c>
      <c r="B1932" s="2">
        <v>45781</v>
      </c>
      <c r="C1932" t="s">
        <v>117</v>
      </c>
      <c r="D1932" t="s">
        <v>1629</v>
      </c>
      <c r="E1932">
        <v>356.78</v>
      </c>
      <c r="F1932" t="s">
        <v>1578</v>
      </c>
      <c r="G1932" t="s">
        <v>1220</v>
      </c>
    </row>
    <row r="1933" spans="1:7">
      <c r="A1933" t="s">
        <v>3536</v>
      </c>
      <c r="B1933" s="2">
        <v>45781</v>
      </c>
      <c r="C1933" t="s">
        <v>119</v>
      </c>
      <c r="D1933" t="s">
        <v>1629</v>
      </c>
      <c r="E1933">
        <v>358.55</v>
      </c>
      <c r="F1933" t="s">
        <v>1578</v>
      </c>
      <c r="G1933" t="s">
        <v>1220</v>
      </c>
    </row>
    <row r="1934" spans="1:7">
      <c r="A1934" t="s">
        <v>3537</v>
      </c>
      <c r="B1934" s="2">
        <v>45781</v>
      </c>
      <c r="C1934" t="s">
        <v>73</v>
      </c>
      <c r="D1934" t="s">
        <v>1683</v>
      </c>
      <c r="E1934">
        <v>97</v>
      </c>
      <c r="F1934" t="s">
        <v>1578</v>
      </c>
      <c r="G1934" t="s">
        <v>590</v>
      </c>
    </row>
    <row r="1935" spans="1:7">
      <c r="A1935" t="s">
        <v>3538</v>
      </c>
      <c r="B1935" s="2">
        <v>45781</v>
      </c>
      <c r="C1935" t="s">
        <v>104</v>
      </c>
      <c r="D1935" t="s">
        <v>1683</v>
      </c>
      <c r="E1935">
        <v>94</v>
      </c>
      <c r="F1935" t="s">
        <v>1578</v>
      </c>
      <c r="G1935" t="s">
        <v>591</v>
      </c>
    </row>
    <row r="1936" spans="1:7">
      <c r="A1936" t="s">
        <v>3539</v>
      </c>
      <c r="B1936" s="2">
        <v>45781</v>
      </c>
      <c r="C1936" t="s">
        <v>84</v>
      </c>
      <c r="D1936" t="s">
        <v>1683</v>
      </c>
      <c r="E1936">
        <v>167</v>
      </c>
      <c r="F1936" t="s">
        <v>1578</v>
      </c>
      <c r="G1936" t="s">
        <v>592</v>
      </c>
    </row>
    <row r="1937" spans="1:7">
      <c r="A1937" t="s">
        <v>3540</v>
      </c>
      <c r="B1937" s="2">
        <v>45782</v>
      </c>
      <c r="C1937" t="s">
        <v>61</v>
      </c>
      <c r="D1937" t="s">
        <v>1629</v>
      </c>
      <c r="E1937">
        <v>284.58</v>
      </c>
      <c r="F1937" t="s">
        <v>1578</v>
      </c>
      <c r="G1937" t="s">
        <v>1221</v>
      </c>
    </row>
    <row r="1938" spans="1:7">
      <c r="A1938" t="s">
        <v>3541</v>
      </c>
      <c r="B1938" s="2">
        <v>45782</v>
      </c>
      <c r="C1938" t="s">
        <v>65</v>
      </c>
      <c r="D1938" t="s">
        <v>1629</v>
      </c>
      <c r="E1938">
        <v>283.18</v>
      </c>
      <c r="F1938" t="s">
        <v>1578</v>
      </c>
      <c r="G1938" t="s">
        <v>1221</v>
      </c>
    </row>
    <row r="1939" spans="1:7">
      <c r="A1939" t="s">
        <v>3542</v>
      </c>
      <c r="B1939" s="2">
        <v>45782</v>
      </c>
      <c r="C1939" t="s">
        <v>68</v>
      </c>
      <c r="D1939" t="s">
        <v>1629</v>
      </c>
      <c r="E1939">
        <v>284.58</v>
      </c>
      <c r="F1939" t="s">
        <v>1578</v>
      </c>
      <c r="G1939" t="s">
        <v>1221</v>
      </c>
    </row>
    <row r="1940" spans="1:7">
      <c r="A1940" t="s">
        <v>3543</v>
      </c>
      <c r="B1940" s="2">
        <v>45782</v>
      </c>
      <c r="C1940" t="s">
        <v>70</v>
      </c>
      <c r="D1940" t="s">
        <v>1629</v>
      </c>
      <c r="E1940">
        <v>281.79000000000002</v>
      </c>
      <c r="F1940" t="s">
        <v>1578</v>
      </c>
      <c r="G1940" t="s">
        <v>1221</v>
      </c>
    </row>
    <row r="1941" spans="1:7">
      <c r="A1941" t="s">
        <v>3544</v>
      </c>
      <c r="B1941" s="2">
        <v>45782</v>
      </c>
      <c r="C1941" t="s">
        <v>75</v>
      </c>
      <c r="D1941" t="s">
        <v>1629</v>
      </c>
      <c r="E1941">
        <v>281.79000000000002</v>
      </c>
      <c r="F1941" t="s">
        <v>1578</v>
      </c>
      <c r="G1941" t="s">
        <v>1221</v>
      </c>
    </row>
    <row r="1942" spans="1:7">
      <c r="A1942" t="s">
        <v>3545</v>
      </c>
      <c r="B1942" s="2">
        <v>45782</v>
      </c>
      <c r="C1942" t="s">
        <v>77</v>
      </c>
      <c r="D1942" t="s">
        <v>1629</v>
      </c>
      <c r="E1942">
        <v>281.79000000000002</v>
      </c>
      <c r="F1942" t="s">
        <v>1578</v>
      </c>
      <c r="G1942" t="s">
        <v>1221</v>
      </c>
    </row>
    <row r="1943" spans="1:7">
      <c r="A1943" t="s">
        <v>3546</v>
      </c>
      <c r="B1943" s="2">
        <v>45782</v>
      </c>
      <c r="C1943" t="s">
        <v>79</v>
      </c>
      <c r="D1943" t="s">
        <v>1629</v>
      </c>
      <c r="E1943">
        <v>284.58</v>
      </c>
      <c r="F1943" t="s">
        <v>1578</v>
      </c>
      <c r="G1943" t="s">
        <v>1221</v>
      </c>
    </row>
    <row r="1944" spans="1:7">
      <c r="A1944" t="s">
        <v>3547</v>
      </c>
      <c r="B1944" s="2">
        <v>45782</v>
      </c>
      <c r="C1944" t="s">
        <v>81</v>
      </c>
      <c r="D1944" t="s">
        <v>1629</v>
      </c>
      <c r="E1944">
        <v>563.58000000000004</v>
      </c>
      <c r="F1944" t="s">
        <v>1578</v>
      </c>
      <c r="G1944" t="s">
        <v>1221</v>
      </c>
    </row>
    <row r="1945" spans="1:7">
      <c r="A1945" t="s">
        <v>3548</v>
      </c>
      <c r="B1945" s="2">
        <v>45782</v>
      </c>
      <c r="C1945" t="s">
        <v>110</v>
      </c>
      <c r="D1945" t="s">
        <v>1629</v>
      </c>
      <c r="E1945">
        <v>284.58</v>
      </c>
      <c r="F1945" t="s">
        <v>1578</v>
      </c>
      <c r="G1945" t="s">
        <v>1221</v>
      </c>
    </row>
    <row r="1946" spans="1:7">
      <c r="A1946" t="s">
        <v>3549</v>
      </c>
      <c r="B1946" s="2">
        <v>45782</v>
      </c>
      <c r="C1946" t="s">
        <v>114</v>
      </c>
      <c r="D1946" t="s">
        <v>1629</v>
      </c>
      <c r="E1946">
        <v>281.79000000000002</v>
      </c>
      <c r="F1946" t="s">
        <v>1578</v>
      </c>
      <c r="G1946" t="s">
        <v>1221</v>
      </c>
    </row>
    <row r="1947" spans="1:7">
      <c r="A1947" t="s">
        <v>3550</v>
      </c>
      <c r="B1947" s="2">
        <v>45782</v>
      </c>
      <c r="C1947" t="s">
        <v>117</v>
      </c>
      <c r="D1947" t="s">
        <v>1629</v>
      </c>
      <c r="E1947">
        <v>280.39999999999998</v>
      </c>
      <c r="F1947" t="s">
        <v>1578</v>
      </c>
      <c r="G1947" t="s">
        <v>1221</v>
      </c>
    </row>
    <row r="1948" spans="1:7">
      <c r="A1948" t="s">
        <v>3551</v>
      </c>
      <c r="B1948" s="2">
        <v>45782</v>
      </c>
      <c r="C1948" t="s">
        <v>119</v>
      </c>
      <c r="D1948" t="s">
        <v>1629</v>
      </c>
      <c r="E1948">
        <v>281.79000000000002</v>
      </c>
      <c r="F1948" t="s">
        <v>1578</v>
      </c>
      <c r="G1948" t="s">
        <v>1221</v>
      </c>
    </row>
    <row r="1949" spans="1:7">
      <c r="A1949" t="s">
        <v>3552</v>
      </c>
      <c r="B1949" s="2">
        <v>45782</v>
      </c>
      <c r="C1949" t="s">
        <v>61</v>
      </c>
      <c r="D1949" t="s">
        <v>1629</v>
      </c>
      <c r="E1949">
        <v>94.86</v>
      </c>
      <c r="F1949" t="s">
        <v>1578</v>
      </c>
      <c r="G1949" t="s">
        <v>1222</v>
      </c>
    </row>
    <row r="1950" spans="1:7">
      <c r="A1950" t="s">
        <v>3553</v>
      </c>
      <c r="B1950" s="2">
        <v>45782</v>
      </c>
      <c r="C1950" t="s">
        <v>65</v>
      </c>
      <c r="D1950" t="s">
        <v>1629</v>
      </c>
      <c r="E1950">
        <v>94.4</v>
      </c>
      <c r="F1950" t="s">
        <v>1578</v>
      </c>
      <c r="G1950" t="s">
        <v>1222</v>
      </c>
    </row>
    <row r="1951" spans="1:7">
      <c r="A1951" t="s">
        <v>3554</v>
      </c>
      <c r="B1951" s="2">
        <v>45782</v>
      </c>
      <c r="C1951" t="s">
        <v>68</v>
      </c>
      <c r="D1951" t="s">
        <v>1629</v>
      </c>
      <c r="E1951">
        <v>94.86</v>
      </c>
      <c r="F1951" t="s">
        <v>1578</v>
      </c>
      <c r="G1951" t="s">
        <v>1222</v>
      </c>
    </row>
    <row r="1952" spans="1:7">
      <c r="A1952" t="s">
        <v>3555</v>
      </c>
      <c r="B1952" s="2">
        <v>45782</v>
      </c>
      <c r="C1952" t="s">
        <v>70</v>
      </c>
      <c r="D1952" t="s">
        <v>1629</v>
      </c>
      <c r="E1952">
        <v>93.93</v>
      </c>
      <c r="F1952" t="s">
        <v>1578</v>
      </c>
      <c r="G1952" t="s">
        <v>1222</v>
      </c>
    </row>
    <row r="1953" spans="1:7">
      <c r="A1953" t="s">
        <v>3556</v>
      </c>
      <c r="B1953" s="2">
        <v>45782</v>
      </c>
      <c r="C1953" t="s">
        <v>73</v>
      </c>
      <c r="D1953" t="s">
        <v>1629</v>
      </c>
      <c r="E1953">
        <v>94.86</v>
      </c>
      <c r="F1953" t="s">
        <v>1578</v>
      </c>
      <c r="G1953" t="s">
        <v>1222</v>
      </c>
    </row>
    <row r="1954" spans="1:7">
      <c r="A1954" t="s">
        <v>3557</v>
      </c>
      <c r="B1954" s="2">
        <v>45782</v>
      </c>
      <c r="C1954" t="s">
        <v>75</v>
      </c>
      <c r="D1954" t="s">
        <v>1629</v>
      </c>
      <c r="E1954">
        <v>93.93</v>
      </c>
      <c r="F1954" t="s">
        <v>1578</v>
      </c>
      <c r="G1954" t="s">
        <v>1222</v>
      </c>
    </row>
    <row r="1955" spans="1:7">
      <c r="A1955" t="s">
        <v>3558</v>
      </c>
      <c r="B1955" s="2">
        <v>45782</v>
      </c>
      <c r="C1955" t="s">
        <v>77</v>
      </c>
      <c r="D1955" t="s">
        <v>1629</v>
      </c>
      <c r="E1955">
        <v>93.93</v>
      </c>
      <c r="F1955" t="s">
        <v>1578</v>
      </c>
      <c r="G1955" t="s">
        <v>1222</v>
      </c>
    </row>
    <row r="1956" spans="1:7">
      <c r="A1956" t="s">
        <v>3559</v>
      </c>
      <c r="B1956" s="2">
        <v>45782</v>
      </c>
      <c r="C1956" t="s">
        <v>79</v>
      </c>
      <c r="D1956" t="s">
        <v>1629</v>
      </c>
      <c r="E1956">
        <v>94.86</v>
      </c>
      <c r="F1956" t="s">
        <v>1578</v>
      </c>
      <c r="G1956" t="s">
        <v>1222</v>
      </c>
    </row>
    <row r="1957" spans="1:7">
      <c r="A1957" t="s">
        <v>3560</v>
      </c>
      <c r="B1957" s="2">
        <v>45782</v>
      </c>
      <c r="C1957" t="s">
        <v>81</v>
      </c>
      <c r="D1957" t="s">
        <v>1629</v>
      </c>
      <c r="E1957">
        <v>187.86</v>
      </c>
      <c r="F1957" t="s">
        <v>1578</v>
      </c>
      <c r="G1957" t="s">
        <v>1222</v>
      </c>
    </row>
    <row r="1958" spans="1:7">
      <c r="A1958" t="s">
        <v>3561</v>
      </c>
      <c r="B1958" s="2">
        <v>45782</v>
      </c>
      <c r="C1958" t="s">
        <v>108</v>
      </c>
      <c r="D1958" t="s">
        <v>1629</v>
      </c>
      <c r="E1958">
        <v>188.79</v>
      </c>
      <c r="F1958" t="s">
        <v>1578</v>
      </c>
      <c r="G1958" t="s">
        <v>1222</v>
      </c>
    </row>
    <row r="1959" spans="1:7">
      <c r="A1959" t="s">
        <v>3562</v>
      </c>
      <c r="B1959" s="2">
        <v>45782</v>
      </c>
      <c r="C1959" t="s">
        <v>110</v>
      </c>
      <c r="D1959" t="s">
        <v>1629</v>
      </c>
      <c r="E1959">
        <v>94.86</v>
      </c>
      <c r="F1959" t="s">
        <v>1578</v>
      </c>
      <c r="G1959" t="s">
        <v>1222</v>
      </c>
    </row>
    <row r="1960" spans="1:7">
      <c r="A1960" t="s">
        <v>3563</v>
      </c>
      <c r="B1960" s="2">
        <v>45782</v>
      </c>
      <c r="C1960" t="s">
        <v>114</v>
      </c>
      <c r="D1960" t="s">
        <v>1629</v>
      </c>
      <c r="E1960">
        <v>93.93</v>
      </c>
      <c r="F1960" t="s">
        <v>1578</v>
      </c>
      <c r="G1960" t="s">
        <v>1222</v>
      </c>
    </row>
    <row r="1961" spans="1:7">
      <c r="A1961" t="s">
        <v>3564</v>
      </c>
      <c r="B1961" s="2">
        <v>45782</v>
      </c>
      <c r="C1961" t="s">
        <v>117</v>
      </c>
      <c r="D1961" t="s">
        <v>1629</v>
      </c>
      <c r="E1961">
        <v>93.46</v>
      </c>
      <c r="F1961" t="s">
        <v>1578</v>
      </c>
      <c r="G1961" t="s">
        <v>1222</v>
      </c>
    </row>
    <row r="1962" spans="1:7">
      <c r="A1962" t="s">
        <v>3565</v>
      </c>
      <c r="B1962" s="2">
        <v>45782</v>
      </c>
      <c r="C1962" t="s">
        <v>119</v>
      </c>
      <c r="D1962" t="s">
        <v>1629</v>
      </c>
      <c r="E1962">
        <v>93.93</v>
      </c>
      <c r="F1962" t="s">
        <v>1578</v>
      </c>
      <c r="G1962" t="s">
        <v>1222</v>
      </c>
    </row>
    <row r="1963" spans="1:7">
      <c r="A1963" t="s">
        <v>3566</v>
      </c>
      <c r="B1963" s="2">
        <v>45782</v>
      </c>
      <c r="C1963" t="s">
        <v>95</v>
      </c>
      <c r="D1963" t="s">
        <v>1683</v>
      </c>
      <c r="E1963">
        <v>302</v>
      </c>
      <c r="F1963" t="s">
        <v>1578</v>
      </c>
      <c r="G1963" t="s">
        <v>593</v>
      </c>
    </row>
    <row r="1964" spans="1:7">
      <c r="A1964" t="s">
        <v>3567</v>
      </c>
      <c r="B1964" s="2">
        <v>45783</v>
      </c>
      <c r="C1964" t="s">
        <v>61</v>
      </c>
      <c r="D1964" t="s">
        <v>1629</v>
      </c>
      <c r="E1964">
        <v>415.14</v>
      </c>
      <c r="F1964" t="s">
        <v>1578</v>
      </c>
      <c r="G1964" t="s">
        <v>1223</v>
      </c>
    </row>
    <row r="1965" spans="1:7">
      <c r="A1965" t="s">
        <v>3568</v>
      </c>
      <c r="B1965" s="2">
        <v>45783</v>
      </c>
      <c r="C1965" t="s">
        <v>65</v>
      </c>
      <c r="D1965" t="s">
        <v>1629</v>
      </c>
      <c r="E1965">
        <v>413.1</v>
      </c>
      <c r="F1965" t="s">
        <v>1578</v>
      </c>
      <c r="G1965" t="s">
        <v>1223</v>
      </c>
    </row>
    <row r="1966" spans="1:7">
      <c r="A1966" t="s">
        <v>3569</v>
      </c>
      <c r="B1966" s="2">
        <v>45783</v>
      </c>
      <c r="C1966" t="s">
        <v>68</v>
      </c>
      <c r="D1966" t="s">
        <v>1629</v>
      </c>
      <c r="E1966">
        <v>415.14</v>
      </c>
      <c r="F1966" t="s">
        <v>1578</v>
      </c>
      <c r="G1966" t="s">
        <v>1223</v>
      </c>
    </row>
    <row r="1967" spans="1:7">
      <c r="A1967" t="s">
        <v>3570</v>
      </c>
      <c r="B1967" s="2">
        <v>45783</v>
      </c>
      <c r="C1967" t="s">
        <v>75</v>
      </c>
      <c r="D1967" t="s">
        <v>1629</v>
      </c>
      <c r="E1967">
        <v>411.07</v>
      </c>
      <c r="F1967" t="s">
        <v>1578</v>
      </c>
      <c r="G1967" t="s">
        <v>1223</v>
      </c>
    </row>
    <row r="1968" spans="1:7">
      <c r="A1968" t="s">
        <v>3571</v>
      </c>
      <c r="B1968" s="2">
        <v>45783</v>
      </c>
      <c r="C1968" t="s">
        <v>79</v>
      </c>
      <c r="D1968" t="s">
        <v>1629</v>
      </c>
      <c r="E1968">
        <v>415.14</v>
      </c>
      <c r="F1968" t="s">
        <v>1578</v>
      </c>
      <c r="G1968" t="s">
        <v>1223</v>
      </c>
    </row>
    <row r="1969" spans="1:7">
      <c r="A1969" t="s">
        <v>3572</v>
      </c>
      <c r="B1969" s="2">
        <v>45783</v>
      </c>
      <c r="C1969" t="s">
        <v>81</v>
      </c>
      <c r="D1969" t="s">
        <v>1629</v>
      </c>
      <c r="E1969">
        <v>822.14</v>
      </c>
      <c r="F1969" t="s">
        <v>1578</v>
      </c>
      <c r="G1969" t="s">
        <v>1223</v>
      </c>
    </row>
    <row r="1970" spans="1:7">
      <c r="A1970" t="s">
        <v>3573</v>
      </c>
      <c r="B1970" s="2">
        <v>45783</v>
      </c>
      <c r="C1970" t="s">
        <v>97</v>
      </c>
      <c r="D1970" t="s">
        <v>1629</v>
      </c>
      <c r="E1970">
        <v>415.14</v>
      </c>
      <c r="F1970" t="s">
        <v>1578</v>
      </c>
      <c r="G1970" t="s">
        <v>1223</v>
      </c>
    </row>
    <row r="1971" spans="1:7">
      <c r="A1971" t="s">
        <v>3574</v>
      </c>
      <c r="B1971" s="2">
        <v>45783</v>
      </c>
      <c r="C1971" t="s">
        <v>110</v>
      </c>
      <c r="D1971" t="s">
        <v>1629</v>
      </c>
      <c r="E1971">
        <v>415.14</v>
      </c>
      <c r="F1971" t="s">
        <v>1578</v>
      </c>
      <c r="G1971" t="s">
        <v>1223</v>
      </c>
    </row>
    <row r="1972" spans="1:7">
      <c r="A1972" t="s">
        <v>3575</v>
      </c>
      <c r="B1972" s="2">
        <v>45783</v>
      </c>
      <c r="C1972" t="s">
        <v>114</v>
      </c>
      <c r="D1972" t="s">
        <v>1629</v>
      </c>
      <c r="E1972">
        <v>411.07</v>
      </c>
      <c r="F1972" t="s">
        <v>1578</v>
      </c>
      <c r="G1972" t="s">
        <v>1223</v>
      </c>
    </row>
    <row r="1973" spans="1:7">
      <c r="A1973" t="s">
        <v>3576</v>
      </c>
      <c r="B1973" s="2">
        <v>45783</v>
      </c>
      <c r="C1973" t="s">
        <v>117</v>
      </c>
      <c r="D1973" t="s">
        <v>1629</v>
      </c>
      <c r="E1973">
        <v>409.04</v>
      </c>
      <c r="F1973" t="s">
        <v>1578</v>
      </c>
      <c r="G1973" t="s">
        <v>1223</v>
      </c>
    </row>
    <row r="1974" spans="1:7">
      <c r="A1974" t="s">
        <v>3577</v>
      </c>
      <c r="B1974" s="2">
        <v>45783</v>
      </c>
      <c r="C1974" t="s">
        <v>119</v>
      </c>
      <c r="D1974" t="s">
        <v>1629</v>
      </c>
      <c r="E1974">
        <v>411.07</v>
      </c>
      <c r="F1974" t="s">
        <v>1578</v>
      </c>
      <c r="G1974" t="s">
        <v>1223</v>
      </c>
    </row>
    <row r="1975" spans="1:7">
      <c r="A1975" t="s">
        <v>3578</v>
      </c>
      <c r="B1975" s="2">
        <v>45783</v>
      </c>
      <c r="C1975" t="s">
        <v>61</v>
      </c>
      <c r="D1975" t="s">
        <v>1629</v>
      </c>
      <c r="E1975">
        <v>92.82</v>
      </c>
      <c r="F1975" t="s">
        <v>1578</v>
      </c>
      <c r="G1975" t="s">
        <v>1224</v>
      </c>
    </row>
    <row r="1976" spans="1:7">
      <c r="A1976" t="s">
        <v>3579</v>
      </c>
      <c r="B1976" s="2">
        <v>45783</v>
      </c>
      <c r="C1976" t="s">
        <v>65</v>
      </c>
      <c r="D1976" t="s">
        <v>1629</v>
      </c>
      <c r="E1976">
        <v>92.36</v>
      </c>
      <c r="F1976" t="s">
        <v>1578</v>
      </c>
      <c r="G1976" t="s">
        <v>1224</v>
      </c>
    </row>
    <row r="1977" spans="1:7">
      <c r="A1977" t="s">
        <v>3580</v>
      </c>
      <c r="B1977" s="2">
        <v>45783</v>
      </c>
      <c r="C1977" t="s">
        <v>75</v>
      </c>
      <c r="D1977" t="s">
        <v>1629</v>
      </c>
      <c r="E1977">
        <v>91.91</v>
      </c>
      <c r="F1977" t="s">
        <v>1578</v>
      </c>
      <c r="G1977" t="s">
        <v>1224</v>
      </c>
    </row>
    <row r="1978" spans="1:7">
      <c r="A1978" t="s">
        <v>3581</v>
      </c>
      <c r="B1978" s="2">
        <v>45783</v>
      </c>
      <c r="C1978" t="s">
        <v>79</v>
      </c>
      <c r="D1978" t="s">
        <v>1629</v>
      </c>
      <c r="E1978">
        <v>92.82</v>
      </c>
      <c r="F1978" t="s">
        <v>1578</v>
      </c>
      <c r="G1978" t="s">
        <v>1224</v>
      </c>
    </row>
    <row r="1979" spans="1:7">
      <c r="A1979" t="s">
        <v>3582</v>
      </c>
      <c r="B1979" s="2">
        <v>45783</v>
      </c>
      <c r="C1979" t="s">
        <v>81</v>
      </c>
      <c r="D1979" t="s">
        <v>1629</v>
      </c>
      <c r="E1979">
        <v>183.82</v>
      </c>
      <c r="F1979" t="s">
        <v>1578</v>
      </c>
      <c r="G1979" t="s">
        <v>1224</v>
      </c>
    </row>
    <row r="1980" spans="1:7">
      <c r="A1980" t="s">
        <v>3583</v>
      </c>
      <c r="B1980" s="2">
        <v>45783</v>
      </c>
      <c r="C1980" t="s">
        <v>84</v>
      </c>
      <c r="D1980" t="s">
        <v>1629</v>
      </c>
      <c r="E1980">
        <v>32.81</v>
      </c>
      <c r="F1980" t="s">
        <v>1578</v>
      </c>
      <c r="G1980" t="s">
        <v>1224</v>
      </c>
    </row>
    <row r="1981" spans="1:7">
      <c r="A1981" t="s">
        <v>3584</v>
      </c>
      <c r="B1981" s="2">
        <v>45783</v>
      </c>
      <c r="C1981" t="s">
        <v>89</v>
      </c>
      <c r="D1981" t="s">
        <v>1629</v>
      </c>
      <c r="E1981">
        <v>139.91</v>
      </c>
      <c r="F1981" t="s">
        <v>1578</v>
      </c>
      <c r="G1981" t="s">
        <v>1224</v>
      </c>
    </row>
    <row r="1982" spans="1:7">
      <c r="A1982" t="s">
        <v>3585</v>
      </c>
      <c r="B1982" s="2">
        <v>45783</v>
      </c>
      <c r="C1982" t="s">
        <v>110</v>
      </c>
      <c r="D1982" t="s">
        <v>1629</v>
      </c>
      <c r="E1982">
        <v>92.82</v>
      </c>
      <c r="F1982" t="s">
        <v>1578</v>
      </c>
      <c r="G1982" t="s">
        <v>1224</v>
      </c>
    </row>
    <row r="1983" spans="1:7">
      <c r="A1983" t="s">
        <v>3586</v>
      </c>
      <c r="B1983" s="2">
        <v>45783</v>
      </c>
      <c r="C1983" t="s">
        <v>114</v>
      </c>
      <c r="D1983" t="s">
        <v>1629</v>
      </c>
      <c r="E1983">
        <v>91.91</v>
      </c>
      <c r="F1983" t="s">
        <v>1578</v>
      </c>
      <c r="G1983" t="s">
        <v>1224</v>
      </c>
    </row>
    <row r="1984" spans="1:7">
      <c r="A1984" t="s">
        <v>3587</v>
      </c>
      <c r="B1984" s="2">
        <v>45783</v>
      </c>
      <c r="C1984" t="s">
        <v>117</v>
      </c>
      <c r="D1984" t="s">
        <v>1629</v>
      </c>
      <c r="E1984">
        <v>91.45</v>
      </c>
      <c r="F1984" t="s">
        <v>1578</v>
      </c>
      <c r="G1984" t="s">
        <v>1224</v>
      </c>
    </row>
    <row r="1985" spans="1:7">
      <c r="A1985" t="s">
        <v>3588</v>
      </c>
      <c r="B1985" s="2">
        <v>45783</v>
      </c>
      <c r="C1985" t="s">
        <v>119</v>
      </c>
      <c r="D1985" t="s">
        <v>1629</v>
      </c>
      <c r="E1985">
        <v>91.91</v>
      </c>
      <c r="F1985" t="s">
        <v>1578</v>
      </c>
      <c r="G1985" t="s">
        <v>1224</v>
      </c>
    </row>
    <row r="1986" spans="1:7">
      <c r="A1986" t="s">
        <v>3589</v>
      </c>
      <c r="B1986" s="2">
        <v>45783</v>
      </c>
      <c r="C1986" t="s">
        <v>79</v>
      </c>
      <c r="D1986" t="s">
        <v>1683</v>
      </c>
      <c r="E1986">
        <v>320</v>
      </c>
      <c r="F1986" t="s">
        <v>1578</v>
      </c>
      <c r="G1986" t="s">
        <v>594</v>
      </c>
    </row>
    <row r="1987" spans="1:7">
      <c r="A1987" t="s">
        <v>3590</v>
      </c>
      <c r="B1987" s="2">
        <v>45784</v>
      </c>
      <c r="C1987" t="s">
        <v>75</v>
      </c>
      <c r="D1987" t="s">
        <v>1629</v>
      </c>
      <c r="E1987">
        <v>406.02</v>
      </c>
      <c r="F1987" t="s">
        <v>1578</v>
      </c>
      <c r="G1987" t="s">
        <v>1225</v>
      </c>
    </row>
    <row r="1988" spans="1:7">
      <c r="A1988" t="s">
        <v>3591</v>
      </c>
      <c r="B1988" s="2">
        <v>45784</v>
      </c>
      <c r="C1988" t="s">
        <v>106</v>
      </c>
      <c r="D1988" t="s">
        <v>1629</v>
      </c>
      <c r="E1988">
        <v>414.06</v>
      </c>
      <c r="F1988" t="s">
        <v>1578</v>
      </c>
      <c r="G1988" t="s">
        <v>1225</v>
      </c>
    </row>
    <row r="1989" spans="1:7">
      <c r="A1989" t="s">
        <v>3592</v>
      </c>
      <c r="B1989" s="2">
        <v>45784</v>
      </c>
      <c r="C1989" t="s">
        <v>108</v>
      </c>
      <c r="D1989" t="s">
        <v>1629</v>
      </c>
      <c r="E1989">
        <v>816.06</v>
      </c>
      <c r="F1989" t="s">
        <v>1578</v>
      </c>
      <c r="G1989" t="s">
        <v>1225</v>
      </c>
    </row>
    <row r="1990" spans="1:7">
      <c r="A1990" t="s">
        <v>3593</v>
      </c>
      <c r="B1990" s="2">
        <v>45784</v>
      </c>
      <c r="C1990" t="s">
        <v>110</v>
      </c>
      <c r="D1990" t="s">
        <v>1629</v>
      </c>
      <c r="E1990">
        <v>410.04</v>
      </c>
      <c r="F1990" t="s">
        <v>1578</v>
      </c>
      <c r="G1990" t="s">
        <v>1225</v>
      </c>
    </row>
    <row r="1991" spans="1:7">
      <c r="A1991" t="s">
        <v>3594</v>
      </c>
      <c r="B1991" s="2">
        <v>45784</v>
      </c>
      <c r="C1991" t="s">
        <v>114</v>
      </c>
      <c r="D1991" t="s">
        <v>1629</v>
      </c>
      <c r="E1991">
        <v>406.02</v>
      </c>
      <c r="F1991" t="s">
        <v>1578</v>
      </c>
      <c r="G1991" t="s">
        <v>1225</v>
      </c>
    </row>
    <row r="1992" spans="1:7">
      <c r="A1992" t="s">
        <v>3595</v>
      </c>
      <c r="B1992" s="2">
        <v>45784</v>
      </c>
      <c r="C1992" t="s">
        <v>117</v>
      </c>
      <c r="D1992" t="s">
        <v>1629</v>
      </c>
      <c r="E1992">
        <v>404.01</v>
      </c>
      <c r="F1992" t="s">
        <v>1578</v>
      </c>
      <c r="G1992" t="s">
        <v>1225</v>
      </c>
    </row>
    <row r="1993" spans="1:7">
      <c r="A1993" t="s">
        <v>3596</v>
      </c>
      <c r="B1993" s="2">
        <v>45784</v>
      </c>
      <c r="C1993" t="s">
        <v>119</v>
      </c>
      <c r="D1993" t="s">
        <v>1629</v>
      </c>
      <c r="E1993">
        <v>406.02</v>
      </c>
      <c r="F1993" t="s">
        <v>1578</v>
      </c>
      <c r="G1993" t="s">
        <v>1225</v>
      </c>
    </row>
    <row r="1994" spans="1:7">
      <c r="A1994" t="s">
        <v>3597</v>
      </c>
      <c r="B1994" s="2">
        <v>45784</v>
      </c>
      <c r="C1994" t="s">
        <v>75</v>
      </c>
      <c r="D1994" t="s">
        <v>1629</v>
      </c>
      <c r="E1994">
        <v>196.95</v>
      </c>
      <c r="F1994" t="s">
        <v>1578</v>
      </c>
      <c r="G1994" t="s">
        <v>1226</v>
      </c>
    </row>
    <row r="1995" spans="1:7">
      <c r="A1995" t="s">
        <v>3598</v>
      </c>
      <c r="B1995" s="2">
        <v>45784</v>
      </c>
      <c r="C1995" t="s">
        <v>106</v>
      </c>
      <c r="D1995" t="s">
        <v>1629</v>
      </c>
      <c r="E1995">
        <v>200.85</v>
      </c>
      <c r="F1995" t="s">
        <v>1578</v>
      </c>
      <c r="G1995" t="s">
        <v>1226</v>
      </c>
    </row>
    <row r="1996" spans="1:7">
      <c r="A1996" t="s">
        <v>3599</v>
      </c>
      <c r="B1996" s="2">
        <v>45784</v>
      </c>
      <c r="C1996" t="s">
        <v>108</v>
      </c>
      <c r="D1996" t="s">
        <v>1629</v>
      </c>
      <c r="E1996">
        <v>395.85</v>
      </c>
      <c r="F1996" t="s">
        <v>1578</v>
      </c>
      <c r="G1996" t="s">
        <v>1226</v>
      </c>
    </row>
    <row r="1997" spans="1:7">
      <c r="A1997" t="s">
        <v>3600</v>
      </c>
      <c r="B1997" s="2">
        <v>45784</v>
      </c>
      <c r="C1997" t="s">
        <v>110</v>
      </c>
      <c r="D1997" t="s">
        <v>1629</v>
      </c>
      <c r="E1997">
        <v>198.9</v>
      </c>
      <c r="F1997" t="s">
        <v>1578</v>
      </c>
      <c r="G1997" t="s">
        <v>1226</v>
      </c>
    </row>
    <row r="1998" spans="1:7">
      <c r="A1998" t="s">
        <v>3601</v>
      </c>
      <c r="B1998" s="2">
        <v>45784</v>
      </c>
      <c r="C1998" t="s">
        <v>114</v>
      </c>
      <c r="D1998" t="s">
        <v>1629</v>
      </c>
      <c r="E1998">
        <v>196.95</v>
      </c>
      <c r="F1998" t="s">
        <v>1578</v>
      </c>
      <c r="G1998" t="s">
        <v>1226</v>
      </c>
    </row>
    <row r="1999" spans="1:7">
      <c r="A1999" t="s">
        <v>3602</v>
      </c>
      <c r="B1999" s="2">
        <v>45784</v>
      </c>
      <c r="C1999" t="s">
        <v>117</v>
      </c>
      <c r="D1999" t="s">
        <v>1629</v>
      </c>
      <c r="E1999">
        <v>195.97</v>
      </c>
      <c r="F1999" t="s">
        <v>1578</v>
      </c>
      <c r="G1999" t="s">
        <v>1226</v>
      </c>
    </row>
    <row r="2000" spans="1:7">
      <c r="A2000" t="s">
        <v>3603</v>
      </c>
      <c r="B2000" s="2">
        <v>45784</v>
      </c>
      <c r="C2000" t="s">
        <v>119</v>
      </c>
      <c r="D2000" t="s">
        <v>1629</v>
      </c>
      <c r="E2000">
        <v>196.95</v>
      </c>
      <c r="F2000" t="s">
        <v>1578</v>
      </c>
      <c r="G2000" t="s">
        <v>1226</v>
      </c>
    </row>
    <row r="2001" spans="1:7">
      <c r="A2001" t="s">
        <v>3604</v>
      </c>
      <c r="B2001" s="2">
        <v>45784</v>
      </c>
      <c r="C2001" t="s">
        <v>95</v>
      </c>
      <c r="D2001" t="s">
        <v>1683</v>
      </c>
      <c r="E2001">
        <v>217</v>
      </c>
      <c r="F2001" t="s">
        <v>1578</v>
      </c>
      <c r="G2001" t="s">
        <v>595</v>
      </c>
    </row>
    <row r="2002" spans="1:7">
      <c r="A2002" t="s">
        <v>3605</v>
      </c>
      <c r="B2002" s="2">
        <v>45784</v>
      </c>
      <c r="C2002" t="s">
        <v>61</v>
      </c>
      <c r="D2002" t="s">
        <v>1683</v>
      </c>
      <c r="E2002">
        <v>238</v>
      </c>
      <c r="F2002" t="s">
        <v>1578</v>
      </c>
      <c r="G2002" t="s">
        <v>596</v>
      </c>
    </row>
    <row r="2003" spans="1:7">
      <c r="A2003" t="s">
        <v>3606</v>
      </c>
      <c r="B2003" s="2">
        <v>45785</v>
      </c>
      <c r="C2003" t="s">
        <v>61</v>
      </c>
      <c r="D2003" t="s">
        <v>1629</v>
      </c>
      <c r="E2003">
        <v>335.58</v>
      </c>
      <c r="F2003" t="s">
        <v>1578</v>
      </c>
      <c r="G2003" t="s">
        <v>1227</v>
      </c>
    </row>
    <row r="2004" spans="1:7">
      <c r="A2004" t="s">
        <v>3607</v>
      </c>
      <c r="B2004" s="2">
        <v>45785</v>
      </c>
      <c r="C2004" t="s">
        <v>65</v>
      </c>
      <c r="D2004" t="s">
        <v>1629</v>
      </c>
      <c r="E2004">
        <v>333.93</v>
      </c>
      <c r="F2004" t="s">
        <v>1578</v>
      </c>
      <c r="G2004" t="s">
        <v>1227</v>
      </c>
    </row>
    <row r="2005" spans="1:7">
      <c r="A2005" t="s">
        <v>3608</v>
      </c>
      <c r="B2005" s="2">
        <v>45785</v>
      </c>
      <c r="C2005" t="s">
        <v>68</v>
      </c>
      <c r="D2005" t="s">
        <v>1629</v>
      </c>
      <c r="E2005">
        <v>335.58</v>
      </c>
      <c r="F2005" t="s">
        <v>1578</v>
      </c>
      <c r="G2005" t="s">
        <v>1227</v>
      </c>
    </row>
    <row r="2006" spans="1:7">
      <c r="A2006" t="s">
        <v>3609</v>
      </c>
      <c r="B2006" s="2">
        <v>45785</v>
      </c>
      <c r="C2006" t="s">
        <v>75</v>
      </c>
      <c r="D2006" t="s">
        <v>1629</v>
      </c>
      <c r="E2006">
        <v>332.29</v>
      </c>
      <c r="F2006" t="s">
        <v>1578</v>
      </c>
      <c r="G2006" t="s">
        <v>1227</v>
      </c>
    </row>
    <row r="2007" spans="1:7">
      <c r="A2007" t="s">
        <v>3610</v>
      </c>
      <c r="B2007" s="2">
        <v>45785</v>
      </c>
      <c r="C2007" t="s">
        <v>79</v>
      </c>
      <c r="D2007" t="s">
        <v>1629</v>
      </c>
      <c r="E2007">
        <v>335.58</v>
      </c>
      <c r="F2007" t="s">
        <v>1578</v>
      </c>
      <c r="G2007" t="s">
        <v>1227</v>
      </c>
    </row>
    <row r="2008" spans="1:7">
      <c r="A2008" t="s">
        <v>3611</v>
      </c>
      <c r="B2008" s="2">
        <v>45785</v>
      </c>
      <c r="C2008" t="s">
        <v>81</v>
      </c>
      <c r="D2008" t="s">
        <v>1629</v>
      </c>
      <c r="E2008">
        <v>664.58</v>
      </c>
      <c r="F2008" t="s">
        <v>1578</v>
      </c>
      <c r="G2008" t="s">
        <v>1227</v>
      </c>
    </row>
    <row r="2009" spans="1:7">
      <c r="A2009" t="s">
        <v>3612</v>
      </c>
      <c r="B2009" s="2">
        <v>45785</v>
      </c>
      <c r="C2009" t="s">
        <v>97</v>
      </c>
      <c r="D2009" t="s">
        <v>1629</v>
      </c>
      <c r="E2009">
        <v>335.58</v>
      </c>
      <c r="F2009" t="s">
        <v>1578</v>
      </c>
      <c r="G2009" t="s">
        <v>1227</v>
      </c>
    </row>
    <row r="2010" spans="1:7">
      <c r="A2010" t="s">
        <v>3613</v>
      </c>
      <c r="B2010" s="2">
        <v>45785</v>
      </c>
      <c r="C2010" t="s">
        <v>110</v>
      </c>
      <c r="D2010" t="s">
        <v>1629</v>
      </c>
      <c r="E2010">
        <v>335.58</v>
      </c>
      <c r="F2010" t="s">
        <v>1578</v>
      </c>
      <c r="G2010" t="s">
        <v>1227</v>
      </c>
    </row>
    <row r="2011" spans="1:7">
      <c r="A2011" t="s">
        <v>3614</v>
      </c>
      <c r="B2011" s="2">
        <v>45785</v>
      </c>
      <c r="C2011" t="s">
        <v>114</v>
      </c>
      <c r="D2011" t="s">
        <v>1629</v>
      </c>
      <c r="E2011">
        <v>332.29</v>
      </c>
      <c r="F2011" t="s">
        <v>1578</v>
      </c>
      <c r="G2011" t="s">
        <v>1227</v>
      </c>
    </row>
    <row r="2012" spans="1:7">
      <c r="A2012" t="s">
        <v>3615</v>
      </c>
      <c r="B2012" s="2">
        <v>45785</v>
      </c>
      <c r="C2012" t="s">
        <v>117</v>
      </c>
      <c r="D2012" t="s">
        <v>1629</v>
      </c>
      <c r="E2012">
        <v>330.64</v>
      </c>
      <c r="F2012" t="s">
        <v>1578</v>
      </c>
      <c r="G2012" t="s">
        <v>1227</v>
      </c>
    </row>
    <row r="2013" spans="1:7">
      <c r="A2013" t="s">
        <v>3616</v>
      </c>
      <c r="B2013" s="2">
        <v>45785</v>
      </c>
      <c r="C2013" t="s">
        <v>119</v>
      </c>
      <c r="D2013" t="s">
        <v>1629</v>
      </c>
      <c r="E2013">
        <v>332.29</v>
      </c>
      <c r="F2013" t="s">
        <v>1578</v>
      </c>
      <c r="G2013" t="s">
        <v>1227</v>
      </c>
    </row>
    <row r="2014" spans="1:7">
      <c r="A2014" t="s">
        <v>3617</v>
      </c>
      <c r="B2014" s="2">
        <v>45785</v>
      </c>
      <c r="C2014" t="s">
        <v>108</v>
      </c>
      <c r="D2014" t="s">
        <v>1683</v>
      </c>
      <c r="E2014">
        <v>159</v>
      </c>
      <c r="F2014" t="s">
        <v>1578</v>
      </c>
      <c r="G2014" t="s">
        <v>597</v>
      </c>
    </row>
    <row r="2015" spans="1:7">
      <c r="A2015" t="s">
        <v>3618</v>
      </c>
      <c r="B2015" s="2">
        <v>45786</v>
      </c>
      <c r="C2015" t="s">
        <v>75</v>
      </c>
      <c r="D2015" t="s">
        <v>1629</v>
      </c>
      <c r="E2015">
        <v>157.56</v>
      </c>
      <c r="F2015" t="s">
        <v>1578</v>
      </c>
      <c r="G2015" t="s">
        <v>1228</v>
      </c>
    </row>
    <row r="2016" spans="1:7">
      <c r="A2016" t="s">
        <v>3619</v>
      </c>
      <c r="B2016" s="2">
        <v>45786</v>
      </c>
      <c r="C2016" t="s">
        <v>91</v>
      </c>
      <c r="D2016" t="s">
        <v>1629</v>
      </c>
      <c r="E2016">
        <v>159.9</v>
      </c>
      <c r="F2016" t="s">
        <v>1578</v>
      </c>
      <c r="G2016" t="s">
        <v>1228</v>
      </c>
    </row>
    <row r="2017" spans="1:7">
      <c r="A2017" t="s">
        <v>3620</v>
      </c>
      <c r="B2017" s="2">
        <v>45786</v>
      </c>
      <c r="C2017" t="s">
        <v>93</v>
      </c>
      <c r="D2017" t="s">
        <v>1629</v>
      </c>
      <c r="E2017">
        <v>159.12</v>
      </c>
      <c r="F2017" t="s">
        <v>1578</v>
      </c>
      <c r="G2017" t="s">
        <v>1228</v>
      </c>
    </row>
    <row r="2018" spans="1:7">
      <c r="A2018" t="s">
        <v>3621</v>
      </c>
      <c r="B2018" s="2">
        <v>45786</v>
      </c>
      <c r="C2018" t="s">
        <v>95</v>
      </c>
      <c r="D2018" t="s">
        <v>1629</v>
      </c>
      <c r="E2018">
        <v>158.34</v>
      </c>
      <c r="F2018" t="s">
        <v>1578</v>
      </c>
      <c r="G2018" t="s">
        <v>1228</v>
      </c>
    </row>
    <row r="2019" spans="1:7">
      <c r="A2019" t="s">
        <v>3622</v>
      </c>
      <c r="B2019" s="2">
        <v>45786</v>
      </c>
      <c r="C2019" t="s">
        <v>97</v>
      </c>
      <c r="D2019" t="s">
        <v>1629</v>
      </c>
      <c r="E2019">
        <v>157.56</v>
      </c>
      <c r="F2019" t="s">
        <v>1578</v>
      </c>
      <c r="G2019" t="s">
        <v>1228</v>
      </c>
    </row>
    <row r="2020" spans="1:7">
      <c r="A2020" t="s">
        <v>3623</v>
      </c>
      <c r="B2020" s="2">
        <v>45786</v>
      </c>
      <c r="C2020" t="s">
        <v>99</v>
      </c>
      <c r="D2020" t="s">
        <v>1629</v>
      </c>
      <c r="E2020">
        <v>80.34</v>
      </c>
      <c r="F2020" t="s">
        <v>1578</v>
      </c>
      <c r="G2020" t="s">
        <v>1228</v>
      </c>
    </row>
    <row r="2021" spans="1:7">
      <c r="A2021" t="s">
        <v>3624</v>
      </c>
      <c r="B2021" s="2">
        <v>45786</v>
      </c>
      <c r="C2021" t="s">
        <v>102</v>
      </c>
      <c r="D2021" t="s">
        <v>1629</v>
      </c>
      <c r="E2021">
        <v>159.12</v>
      </c>
      <c r="F2021" t="s">
        <v>1578</v>
      </c>
      <c r="G2021" t="s">
        <v>1228</v>
      </c>
    </row>
    <row r="2022" spans="1:7">
      <c r="A2022" t="s">
        <v>3625</v>
      </c>
      <c r="B2022" s="2">
        <v>45786</v>
      </c>
      <c r="C2022" t="s">
        <v>108</v>
      </c>
      <c r="D2022" t="s">
        <v>1629</v>
      </c>
      <c r="E2022">
        <v>316.68</v>
      </c>
      <c r="F2022" t="s">
        <v>1578</v>
      </c>
      <c r="G2022" t="s">
        <v>1228</v>
      </c>
    </row>
    <row r="2023" spans="1:7">
      <c r="A2023" t="s">
        <v>3626</v>
      </c>
      <c r="B2023" s="2">
        <v>45786</v>
      </c>
      <c r="C2023" t="s">
        <v>110</v>
      </c>
      <c r="D2023" t="s">
        <v>1629</v>
      </c>
      <c r="E2023">
        <v>159.12</v>
      </c>
      <c r="F2023" t="s">
        <v>1578</v>
      </c>
      <c r="G2023" t="s">
        <v>1228</v>
      </c>
    </row>
    <row r="2024" spans="1:7">
      <c r="A2024" t="s">
        <v>3627</v>
      </c>
      <c r="B2024" s="2">
        <v>45786</v>
      </c>
      <c r="C2024" t="s">
        <v>114</v>
      </c>
      <c r="D2024" t="s">
        <v>1629</v>
      </c>
      <c r="E2024">
        <v>157.56</v>
      </c>
      <c r="F2024" t="s">
        <v>1578</v>
      </c>
      <c r="G2024" t="s">
        <v>1228</v>
      </c>
    </row>
    <row r="2025" spans="1:7">
      <c r="A2025" t="s">
        <v>3628</v>
      </c>
      <c r="B2025" s="2">
        <v>45786</v>
      </c>
      <c r="C2025" t="s">
        <v>117</v>
      </c>
      <c r="D2025" t="s">
        <v>1629</v>
      </c>
      <c r="E2025">
        <v>156.78</v>
      </c>
      <c r="F2025" t="s">
        <v>1578</v>
      </c>
      <c r="G2025" t="s">
        <v>1228</v>
      </c>
    </row>
    <row r="2026" spans="1:7">
      <c r="A2026" t="s">
        <v>3629</v>
      </c>
      <c r="B2026" s="2">
        <v>45786</v>
      </c>
      <c r="C2026" t="s">
        <v>119</v>
      </c>
      <c r="D2026" t="s">
        <v>1629</v>
      </c>
      <c r="E2026">
        <v>157.56</v>
      </c>
      <c r="F2026" t="s">
        <v>1578</v>
      </c>
      <c r="G2026" t="s">
        <v>1228</v>
      </c>
    </row>
    <row r="2027" spans="1:7">
      <c r="A2027" t="s">
        <v>3630</v>
      </c>
      <c r="B2027" s="2">
        <v>45786</v>
      </c>
      <c r="C2027" t="s">
        <v>87</v>
      </c>
      <c r="D2027" t="s">
        <v>1683</v>
      </c>
      <c r="E2027">
        <v>329</v>
      </c>
      <c r="F2027" t="s">
        <v>1578</v>
      </c>
      <c r="G2027" t="s">
        <v>598</v>
      </c>
    </row>
    <row r="2028" spans="1:7">
      <c r="A2028" t="s">
        <v>3631</v>
      </c>
      <c r="B2028" s="2">
        <v>45786</v>
      </c>
      <c r="C2028" t="s">
        <v>91</v>
      </c>
      <c r="D2028" t="s">
        <v>1683</v>
      </c>
      <c r="E2028">
        <v>193</v>
      </c>
      <c r="F2028" t="s">
        <v>1578</v>
      </c>
      <c r="G2028" t="s">
        <v>599</v>
      </c>
    </row>
    <row r="2029" spans="1:7">
      <c r="A2029" t="s">
        <v>3632</v>
      </c>
      <c r="B2029" s="2">
        <v>45788</v>
      </c>
      <c r="C2029" t="s">
        <v>61</v>
      </c>
      <c r="D2029" t="s">
        <v>1629</v>
      </c>
      <c r="E2029">
        <v>477.36</v>
      </c>
      <c r="F2029" t="s">
        <v>1578</v>
      </c>
      <c r="G2029" t="s">
        <v>1229</v>
      </c>
    </row>
    <row r="2030" spans="1:7">
      <c r="A2030" t="s">
        <v>3633</v>
      </c>
      <c r="B2030" s="2">
        <v>45788</v>
      </c>
      <c r="C2030" t="s">
        <v>65</v>
      </c>
      <c r="D2030" t="s">
        <v>1629</v>
      </c>
      <c r="E2030">
        <v>475.02</v>
      </c>
      <c r="F2030" t="s">
        <v>1578</v>
      </c>
      <c r="G2030" t="s">
        <v>1229</v>
      </c>
    </row>
    <row r="2031" spans="1:7">
      <c r="A2031" t="s">
        <v>3634</v>
      </c>
      <c r="B2031" s="2">
        <v>45788</v>
      </c>
      <c r="C2031" t="s">
        <v>68</v>
      </c>
      <c r="D2031" t="s">
        <v>1629</v>
      </c>
      <c r="E2031">
        <v>477.36</v>
      </c>
      <c r="F2031" t="s">
        <v>1578</v>
      </c>
      <c r="G2031" t="s">
        <v>1229</v>
      </c>
    </row>
    <row r="2032" spans="1:7">
      <c r="A2032" t="s">
        <v>3635</v>
      </c>
      <c r="B2032" s="2">
        <v>45788</v>
      </c>
      <c r="C2032" t="s">
        <v>70</v>
      </c>
      <c r="D2032" t="s">
        <v>1629</v>
      </c>
      <c r="E2032">
        <v>472.68</v>
      </c>
      <c r="F2032" t="s">
        <v>1578</v>
      </c>
      <c r="G2032" t="s">
        <v>1229</v>
      </c>
    </row>
    <row r="2033" spans="1:7">
      <c r="A2033" t="s">
        <v>3636</v>
      </c>
      <c r="B2033" s="2">
        <v>45788</v>
      </c>
      <c r="C2033" t="s">
        <v>75</v>
      </c>
      <c r="D2033" t="s">
        <v>1629</v>
      </c>
      <c r="E2033">
        <v>472.68</v>
      </c>
      <c r="F2033" t="s">
        <v>1578</v>
      </c>
      <c r="G2033" t="s">
        <v>1229</v>
      </c>
    </row>
    <row r="2034" spans="1:7">
      <c r="A2034" t="s">
        <v>3637</v>
      </c>
      <c r="B2034" s="2">
        <v>45788</v>
      </c>
      <c r="C2034" t="s">
        <v>77</v>
      </c>
      <c r="D2034" t="s">
        <v>1629</v>
      </c>
      <c r="E2034">
        <v>472.68</v>
      </c>
      <c r="F2034" t="s">
        <v>1578</v>
      </c>
      <c r="G2034" t="s">
        <v>1229</v>
      </c>
    </row>
    <row r="2035" spans="1:7">
      <c r="A2035" t="s">
        <v>3638</v>
      </c>
      <c r="B2035" s="2">
        <v>45788</v>
      </c>
      <c r="C2035" t="s">
        <v>79</v>
      </c>
      <c r="D2035" t="s">
        <v>1629</v>
      </c>
      <c r="E2035">
        <v>477.36</v>
      </c>
      <c r="F2035" t="s">
        <v>1578</v>
      </c>
      <c r="G2035" t="s">
        <v>1229</v>
      </c>
    </row>
    <row r="2036" spans="1:7">
      <c r="A2036" t="s">
        <v>3639</v>
      </c>
      <c r="B2036" s="2">
        <v>45788</v>
      </c>
      <c r="C2036" t="s">
        <v>81</v>
      </c>
      <c r="D2036" t="s">
        <v>1629</v>
      </c>
      <c r="E2036">
        <v>945.36</v>
      </c>
      <c r="F2036" t="s">
        <v>1578</v>
      </c>
      <c r="G2036" t="s">
        <v>1229</v>
      </c>
    </row>
    <row r="2037" spans="1:7">
      <c r="A2037" t="s">
        <v>3640</v>
      </c>
      <c r="B2037" s="2">
        <v>45788</v>
      </c>
      <c r="C2037" t="s">
        <v>110</v>
      </c>
      <c r="D2037" t="s">
        <v>1629</v>
      </c>
      <c r="E2037">
        <v>477.36</v>
      </c>
      <c r="F2037" t="s">
        <v>1578</v>
      </c>
      <c r="G2037" t="s">
        <v>1229</v>
      </c>
    </row>
    <row r="2038" spans="1:7">
      <c r="A2038" t="s">
        <v>3641</v>
      </c>
      <c r="B2038" s="2">
        <v>45788</v>
      </c>
      <c r="C2038" t="s">
        <v>114</v>
      </c>
      <c r="D2038" t="s">
        <v>1629</v>
      </c>
      <c r="E2038">
        <v>472.68</v>
      </c>
      <c r="F2038" t="s">
        <v>1578</v>
      </c>
      <c r="G2038" t="s">
        <v>1229</v>
      </c>
    </row>
    <row r="2039" spans="1:7">
      <c r="A2039" t="s">
        <v>3642</v>
      </c>
      <c r="B2039" s="2">
        <v>45788</v>
      </c>
      <c r="C2039" t="s">
        <v>117</v>
      </c>
      <c r="D2039" t="s">
        <v>1629</v>
      </c>
      <c r="E2039">
        <v>470.34</v>
      </c>
      <c r="F2039" t="s">
        <v>1578</v>
      </c>
      <c r="G2039" t="s">
        <v>1229</v>
      </c>
    </row>
    <row r="2040" spans="1:7">
      <c r="A2040" t="s">
        <v>3643</v>
      </c>
      <c r="B2040" s="2">
        <v>45788</v>
      </c>
      <c r="C2040" t="s">
        <v>119</v>
      </c>
      <c r="D2040" t="s">
        <v>1629</v>
      </c>
      <c r="E2040">
        <v>472.68</v>
      </c>
      <c r="F2040" t="s">
        <v>1578</v>
      </c>
      <c r="G2040" t="s">
        <v>1229</v>
      </c>
    </row>
    <row r="2041" spans="1:7">
      <c r="A2041" t="s">
        <v>3644</v>
      </c>
      <c r="B2041" s="2">
        <v>45788</v>
      </c>
      <c r="C2041" t="s">
        <v>61</v>
      </c>
      <c r="D2041" t="s">
        <v>1629</v>
      </c>
      <c r="E2041">
        <v>95.88</v>
      </c>
      <c r="F2041" t="s">
        <v>1578</v>
      </c>
      <c r="G2041" t="s">
        <v>1230</v>
      </c>
    </row>
    <row r="2042" spans="1:7">
      <c r="A2042" t="s">
        <v>3645</v>
      </c>
      <c r="B2042" s="2">
        <v>45788</v>
      </c>
      <c r="C2042" t="s">
        <v>65</v>
      </c>
      <c r="D2042" t="s">
        <v>1629</v>
      </c>
      <c r="E2042">
        <v>95.41</v>
      </c>
      <c r="F2042" t="s">
        <v>1578</v>
      </c>
      <c r="G2042" t="s">
        <v>1230</v>
      </c>
    </row>
    <row r="2043" spans="1:7">
      <c r="A2043" t="s">
        <v>3646</v>
      </c>
      <c r="B2043" s="2">
        <v>45788</v>
      </c>
      <c r="C2043" t="s">
        <v>68</v>
      </c>
      <c r="D2043" t="s">
        <v>1629</v>
      </c>
      <c r="E2043">
        <v>95.88</v>
      </c>
      <c r="F2043" t="s">
        <v>1578</v>
      </c>
      <c r="G2043" t="s">
        <v>1230</v>
      </c>
    </row>
    <row r="2044" spans="1:7">
      <c r="A2044" t="s">
        <v>3647</v>
      </c>
      <c r="B2044" s="2">
        <v>45788</v>
      </c>
      <c r="C2044" t="s">
        <v>70</v>
      </c>
      <c r="D2044" t="s">
        <v>1629</v>
      </c>
      <c r="E2044">
        <v>94.94</v>
      </c>
      <c r="F2044" t="s">
        <v>1578</v>
      </c>
      <c r="G2044" t="s">
        <v>1230</v>
      </c>
    </row>
    <row r="2045" spans="1:7">
      <c r="A2045" t="s">
        <v>3648</v>
      </c>
      <c r="B2045" s="2">
        <v>45788</v>
      </c>
      <c r="C2045" t="s">
        <v>75</v>
      </c>
      <c r="D2045" t="s">
        <v>1629</v>
      </c>
      <c r="E2045">
        <v>94.94</v>
      </c>
      <c r="F2045" t="s">
        <v>1578</v>
      </c>
      <c r="G2045" t="s">
        <v>1230</v>
      </c>
    </row>
    <row r="2046" spans="1:7">
      <c r="A2046" t="s">
        <v>3649</v>
      </c>
      <c r="B2046" s="2">
        <v>45788</v>
      </c>
      <c r="C2046" t="s">
        <v>77</v>
      </c>
      <c r="D2046" t="s">
        <v>1629</v>
      </c>
      <c r="E2046">
        <v>94.94</v>
      </c>
      <c r="F2046" t="s">
        <v>1578</v>
      </c>
      <c r="G2046" t="s">
        <v>1230</v>
      </c>
    </row>
    <row r="2047" spans="1:7">
      <c r="A2047" t="s">
        <v>3650</v>
      </c>
      <c r="B2047" s="2">
        <v>45788</v>
      </c>
      <c r="C2047" t="s">
        <v>79</v>
      </c>
      <c r="D2047" t="s">
        <v>1629</v>
      </c>
      <c r="E2047">
        <v>95.88</v>
      </c>
      <c r="F2047" t="s">
        <v>1578</v>
      </c>
      <c r="G2047" t="s">
        <v>1230</v>
      </c>
    </row>
    <row r="2048" spans="1:7">
      <c r="A2048" t="s">
        <v>3651</v>
      </c>
      <c r="B2048" s="2">
        <v>45788</v>
      </c>
      <c r="C2048" t="s">
        <v>81</v>
      </c>
      <c r="D2048" t="s">
        <v>1629</v>
      </c>
      <c r="E2048">
        <v>189.88</v>
      </c>
      <c r="F2048" t="s">
        <v>1578</v>
      </c>
      <c r="G2048" t="s">
        <v>1230</v>
      </c>
    </row>
    <row r="2049" spans="1:7">
      <c r="A2049" t="s">
        <v>3652</v>
      </c>
      <c r="B2049" s="2">
        <v>45788</v>
      </c>
      <c r="C2049" t="s">
        <v>110</v>
      </c>
      <c r="D2049" t="s">
        <v>1629</v>
      </c>
      <c r="E2049">
        <v>95.88</v>
      </c>
      <c r="F2049" t="s">
        <v>1578</v>
      </c>
      <c r="G2049" t="s">
        <v>1230</v>
      </c>
    </row>
    <row r="2050" spans="1:7">
      <c r="A2050" t="s">
        <v>3653</v>
      </c>
      <c r="B2050" s="2">
        <v>45788</v>
      </c>
      <c r="C2050" t="s">
        <v>114</v>
      </c>
      <c r="D2050" t="s">
        <v>1629</v>
      </c>
      <c r="E2050">
        <v>94.94</v>
      </c>
      <c r="F2050" t="s">
        <v>1578</v>
      </c>
      <c r="G2050" t="s">
        <v>1230</v>
      </c>
    </row>
    <row r="2051" spans="1:7">
      <c r="A2051" t="s">
        <v>3654</v>
      </c>
      <c r="B2051" s="2">
        <v>45788</v>
      </c>
      <c r="C2051" t="s">
        <v>117</v>
      </c>
      <c r="D2051" t="s">
        <v>1629</v>
      </c>
      <c r="E2051">
        <v>94.47</v>
      </c>
      <c r="F2051" t="s">
        <v>1578</v>
      </c>
      <c r="G2051" t="s">
        <v>1230</v>
      </c>
    </row>
    <row r="2052" spans="1:7">
      <c r="A2052" t="s">
        <v>3655</v>
      </c>
      <c r="B2052" s="2">
        <v>45788</v>
      </c>
      <c r="C2052" t="s">
        <v>119</v>
      </c>
      <c r="D2052" t="s">
        <v>1629</v>
      </c>
      <c r="E2052">
        <v>94.94</v>
      </c>
      <c r="F2052" t="s">
        <v>1578</v>
      </c>
      <c r="G2052" t="s">
        <v>1230</v>
      </c>
    </row>
    <row r="2053" spans="1:7">
      <c r="A2053" t="s">
        <v>3656</v>
      </c>
      <c r="B2053" s="2">
        <v>45788</v>
      </c>
      <c r="C2053" t="s">
        <v>61</v>
      </c>
      <c r="D2053" t="s">
        <v>1629</v>
      </c>
      <c r="E2053">
        <v>131.58000000000001</v>
      </c>
      <c r="F2053" t="s">
        <v>1578</v>
      </c>
      <c r="G2053" t="s">
        <v>1231</v>
      </c>
    </row>
    <row r="2054" spans="1:7">
      <c r="A2054" t="s">
        <v>3657</v>
      </c>
      <c r="B2054" s="2">
        <v>45788</v>
      </c>
      <c r="C2054" t="s">
        <v>65</v>
      </c>
      <c r="D2054" t="s">
        <v>1629</v>
      </c>
      <c r="E2054">
        <v>130.93</v>
      </c>
      <c r="F2054" t="s">
        <v>1578</v>
      </c>
      <c r="G2054" t="s">
        <v>1231</v>
      </c>
    </row>
    <row r="2055" spans="1:7">
      <c r="A2055" t="s">
        <v>3658</v>
      </c>
      <c r="B2055" s="2">
        <v>45788</v>
      </c>
      <c r="C2055" t="s">
        <v>68</v>
      </c>
      <c r="D2055" t="s">
        <v>1629</v>
      </c>
      <c r="E2055">
        <v>131.58000000000001</v>
      </c>
      <c r="F2055" t="s">
        <v>1578</v>
      </c>
      <c r="G2055" t="s">
        <v>1231</v>
      </c>
    </row>
    <row r="2056" spans="1:7">
      <c r="A2056" t="s">
        <v>3659</v>
      </c>
      <c r="B2056" s="2">
        <v>45788</v>
      </c>
      <c r="C2056" t="s">
        <v>70</v>
      </c>
      <c r="D2056" t="s">
        <v>1629</v>
      </c>
      <c r="E2056">
        <v>130.29</v>
      </c>
      <c r="F2056" t="s">
        <v>1578</v>
      </c>
      <c r="G2056" t="s">
        <v>1231</v>
      </c>
    </row>
    <row r="2057" spans="1:7">
      <c r="A2057" t="s">
        <v>3660</v>
      </c>
      <c r="B2057" s="2">
        <v>45788</v>
      </c>
      <c r="C2057" t="s">
        <v>75</v>
      </c>
      <c r="D2057" t="s">
        <v>1629</v>
      </c>
      <c r="E2057">
        <v>130.29</v>
      </c>
      <c r="F2057" t="s">
        <v>1578</v>
      </c>
      <c r="G2057" t="s">
        <v>1231</v>
      </c>
    </row>
    <row r="2058" spans="1:7">
      <c r="A2058" t="s">
        <v>3661</v>
      </c>
      <c r="B2058" s="2">
        <v>45788</v>
      </c>
      <c r="C2058" t="s">
        <v>77</v>
      </c>
      <c r="D2058" t="s">
        <v>1629</v>
      </c>
      <c r="E2058">
        <v>130.29</v>
      </c>
      <c r="F2058" t="s">
        <v>1578</v>
      </c>
      <c r="G2058" t="s">
        <v>1231</v>
      </c>
    </row>
    <row r="2059" spans="1:7">
      <c r="A2059" t="s">
        <v>3662</v>
      </c>
      <c r="B2059" s="2">
        <v>45788</v>
      </c>
      <c r="C2059" t="s">
        <v>79</v>
      </c>
      <c r="D2059" t="s">
        <v>1629</v>
      </c>
      <c r="E2059">
        <v>131.58000000000001</v>
      </c>
      <c r="F2059" t="s">
        <v>1578</v>
      </c>
      <c r="G2059" t="s">
        <v>1231</v>
      </c>
    </row>
    <row r="2060" spans="1:7">
      <c r="A2060" t="s">
        <v>3663</v>
      </c>
      <c r="B2060" s="2">
        <v>45788</v>
      </c>
      <c r="C2060" t="s">
        <v>81</v>
      </c>
      <c r="D2060" t="s">
        <v>1629</v>
      </c>
      <c r="E2060">
        <v>260.58</v>
      </c>
      <c r="F2060" t="s">
        <v>1578</v>
      </c>
      <c r="G2060" t="s">
        <v>1231</v>
      </c>
    </row>
    <row r="2061" spans="1:7">
      <c r="A2061" t="s">
        <v>3664</v>
      </c>
      <c r="B2061" s="2">
        <v>45788</v>
      </c>
      <c r="C2061" t="s">
        <v>110</v>
      </c>
      <c r="D2061" t="s">
        <v>1629</v>
      </c>
      <c r="E2061">
        <v>131.58000000000001</v>
      </c>
      <c r="F2061" t="s">
        <v>1578</v>
      </c>
      <c r="G2061" t="s">
        <v>1231</v>
      </c>
    </row>
    <row r="2062" spans="1:7">
      <c r="A2062" t="s">
        <v>3665</v>
      </c>
      <c r="B2062" s="2">
        <v>45788</v>
      </c>
      <c r="C2062" t="s">
        <v>114</v>
      </c>
      <c r="D2062" t="s">
        <v>1629</v>
      </c>
      <c r="E2062">
        <v>130.29</v>
      </c>
      <c r="F2062" t="s">
        <v>1578</v>
      </c>
      <c r="G2062" t="s">
        <v>1231</v>
      </c>
    </row>
    <row r="2063" spans="1:7">
      <c r="A2063" t="s">
        <v>3666</v>
      </c>
      <c r="B2063" s="2">
        <v>45788</v>
      </c>
      <c r="C2063" t="s">
        <v>117</v>
      </c>
      <c r="D2063" t="s">
        <v>1629</v>
      </c>
      <c r="E2063">
        <v>129.63999999999999</v>
      </c>
      <c r="F2063" t="s">
        <v>1578</v>
      </c>
      <c r="G2063" t="s">
        <v>1231</v>
      </c>
    </row>
    <row r="2064" spans="1:7">
      <c r="A2064" t="s">
        <v>3667</v>
      </c>
      <c r="B2064" s="2">
        <v>45788</v>
      </c>
      <c r="C2064" t="s">
        <v>119</v>
      </c>
      <c r="D2064" t="s">
        <v>1629</v>
      </c>
      <c r="E2064">
        <v>130.29</v>
      </c>
      <c r="F2064" t="s">
        <v>1578</v>
      </c>
      <c r="G2064" t="s">
        <v>1231</v>
      </c>
    </row>
    <row r="2065" spans="1:7">
      <c r="A2065" t="s">
        <v>3668</v>
      </c>
      <c r="B2065" s="2">
        <v>45788</v>
      </c>
      <c r="C2065" t="s">
        <v>61</v>
      </c>
      <c r="D2065" t="s">
        <v>1629</v>
      </c>
      <c r="E2065">
        <v>370.26</v>
      </c>
      <c r="F2065" t="s">
        <v>1578</v>
      </c>
      <c r="G2065" t="s">
        <v>1232</v>
      </c>
    </row>
    <row r="2066" spans="1:7">
      <c r="A2066" t="s">
        <v>3669</v>
      </c>
      <c r="B2066" s="2">
        <v>45788</v>
      </c>
      <c r="C2066" t="s">
        <v>65</v>
      </c>
      <c r="D2066" t="s">
        <v>1629</v>
      </c>
      <c r="E2066">
        <v>368.44</v>
      </c>
      <c r="F2066" t="s">
        <v>1578</v>
      </c>
      <c r="G2066" t="s">
        <v>1232</v>
      </c>
    </row>
    <row r="2067" spans="1:7">
      <c r="A2067" t="s">
        <v>3670</v>
      </c>
      <c r="B2067" s="2">
        <v>45788</v>
      </c>
      <c r="C2067" t="s">
        <v>68</v>
      </c>
      <c r="D2067" t="s">
        <v>1629</v>
      </c>
      <c r="E2067">
        <v>370.26</v>
      </c>
      <c r="F2067" t="s">
        <v>1578</v>
      </c>
      <c r="G2067" t="s">
        <v>1232</v>
      </c>
    </row>
    <row r="2068" spans="1:7">
      <c r="A2068" t="s">
        <v>3671</v>
      </c>
      <c r="B2068" s="2">
        <v>45788</v>
      </c>
      <c r="C2068" t="s">
        <v>70</v>
      </c>
      <c r="D2068" t="s">
        <v>1629</v>
      </c>
      <c r="E2068">
        <v>366.63</v>
      </c>
      <c r="F2068" t="s">
        <v>1578</v>
      </c>
      <c r="G2068" t="s">
        <v>1232</v>
      </c>
    </row>
    <row r="2069" spans="1:7">
      <c r="A2069" t="s">
        <v>3672</v>
      </c>
      <c r="B2069" s="2">
        <v>45788</v>
      </c>
      <c r="C2069" t="s">
        <v>75</v>
      </c>
      <c r="D2069" t="s">
        <v>1629</v>
      </c>
      <c r="E2069">
        <v>366.63</v>
      </c>
      <c r="F2069" t="s">
        <v>1578</v>
      </c>
      <c r="G2069" t="s">
        <v>1232</v>
      </c>
    </row>
    <row r="2070" spans="1:7">
      <c r="A2070" t="s">
        <v>3673</v>
      </c>
      <c r="B2070" s="2">
        <v>45788</v>
      </c>
      <c r="C2070" t="s">
        <v>77</v>
      </c>
      <c r="D2070" t="s">
        <v>1629</v>
      </c>
      <c r="E2070">
        <v>366.63</v>
      </c>
      <c r="F2070" t="s">
        <v>1578</v>
      </c>
      <c r="G2070" t="s">
        <v>1232</v>
      </c>
    </row>
    <row r="2071" spans="1:7">
      <c r="A2071" t="s">
        <v>3674</v>
      </c>
      <c r="B2071" s="2">
        <v>45788</v>
      </c>
      <c r="C2071" t="s">
        <v>79</v>
      </c>
      <c r="D2071" t="s">
        <v>1629</v>
      </c>
      <c r="E2071">
        <v>370.26</v>
      </c>
      <c r="F2071" t="s">
        <v>1578</v>
      </c>
      <c r="G2071" t="s">
        <v>1232</v>
      </c>
    </row>
    <row r="2072" spans="1:7">
      <c r="A2072" t="s">
        <v>3675</v>
      </c>
      <c r="B2072" s="2">
        <v>45788</v>
      </c>
      <c r="C2072" t="s">
        <v>81</v>
      </c>
      <c r="D2072" t="s">
        <v>1629</v>
      </c>
      <c r="E2072">
        <v>733.26</v>
      </c>
      <c r="F2072" t="s">
        <v>1578</v>
      </c>
      <c r="G2072" t="s">
        <v>1232</v>
      </c>
    </row>
    <row r="2073" spans="1:7">
      <c r="A2073" t="s">
        <v>3676</v>
      </c>
      <c r="B2073" s="2">
        <v>45788</v>
      </c>
      <c r="C2073" t="s">
        <v>110</v>
      </c>
      <c r="D2073" t="s">
        <v>1629</v>
      </c>
      <c r="E2073">
        <v>370.26</v>
      </c>
      <c r="F2073" t="s">
        <v>1578</v>
      </c>
      <c r="G2073" t="s">
        <v>1232</v>
      </c>
    </row>
    <row r="2074" spans="1:7">
      <c r="A2074" t="s">
        <v>3677</v>
      </c>
      <c r="B2074" s="2">
        <v>45788</v>
      </c>
      <c r="C2074" t="s">
        <v>114</v>
      </c>
      <c r="D2074" t="s">
        <v>1629</v>
      </c>
      <c r="E2074">
        <v>366.63</v>
      </c>
      <c r="F2074" t="s">
        <v>1578</v>
      </c>
      <c r="G2074" t="s">
        <v>1232</v>
      </c>
    </row>
    <row r="2075" spans="1:7">
      <c r="A2075" t="s">
        <v>3678</v>
      </c>
      <c r="B2075" s="2">
        <v>45788</v>
      </c>
      <c r="C2075" t="s">
        <v>117</v>
      </c>
      <c r="D2075" t="s">
        <v>1629</v>
      </c>
      <c r="E2075">
        <v>364.81</v>
      </c>
      <c r="F2075" t="s">
        <v>1578</v>
      </c>
      <c r="G2075" t="s">
        <v>1232</v>
      </c>
    </row>
    <row r="2076" spans="1:7">
      <c r="A2076" t="s">
        <v>3679</v>
      </c>
      <c r="B2076" s="2">
        <v>45788</v>
      </c>
      <c r="C2076" t="s">
        <v>119</v>
      </c>
      <c r="D2076" t="s">
        <v>1629</v>
      </c>
      <c r="E2076">
        <v>366.63</v>
      </c>
      <c r="F2076" t="s">
        <v>1578</v>
      </c>
      <c r="G2076" t="s">
        <v>1232</v>
      </c>
    </row>
    <row r="2077" spans="1:7">
      <c r="A2077" t="s">
        <v>3680</v>
      </c>
      <c r="B2077" s="2">
        <v>45788</v>
      </c>
      <c r="C2077" t="s">
        <v>61</v>
      </c>
      <c r="D2077" t="s">
        <v>1629</v>
      </c>
      <c r="E2077">
        <v>371.28</v>
      </c>
      <c r="F2077" t="s">
        <v>1578</v>
      </c>
      <c r="G2077" t="s">
        <v>1233</v>
      </c>
    </row>
    <row r="2078" spans="1:7">
      <c r="A2078" t="s">
        <v>3681</v>
      </c>
      <c r="B2078" s="2">
        <v>45788</v>
      </c>
      <c r="C2078" t="s">
        <v>65</v>
      </c>
      <c r="D2078" t="s">
        <v>1629</v>
      </c>
      <c r="E2078">
        <v>369.46</v>
      </c>
      <c r="F2078" t="s">
        <v>1578</v>
      </c>
      <c r="G2078" t="s">
        <v>1233</v>
      </c>
    </row>
    <row r="2079" spans="1:7">
      <c r="A2079" t="s">
        <v>3682</v>
      </c>
      <c r="B2079" s="2">
        <v>45788</v>
      </c>
      <c r="C2079" t="s">
        <v>68</v>
      </c>
      <c r="D2079" t="s">
        <v>1629</v>
      </c>
      <c r="E2079">
        <v>371.28</v>
      </c>
      <c r="F2079" t="s">
        <v>1578</v>
      </c>
      <c r="G2079" t="s">
        <v>1233</v>
      </c>
    </row>
    <row r="2080" spans="1:7">
      <c r="A2080" t="s">
        <v>3683</v>
      </c>
      <c r="B2080" s="2">
        <v>45788</v>
      </c>
      <c r="C2080" t="s">
        <v>70</v>
      </c>
      <c r="D2080" t="s">
        <v>1629</v>
      </c>
      <c r="E2080">
        <v>367.64</v>
      </c>
      <c r="F2080" t="s">
        <v>1578</v>
      </c>
      <c r="G2080" t="s">
        <v>1233</v>
      </c>
    </row>
    <row r="2081" spans="1:7">
      <c r="A2081" t="s">
        <v>3684</v>
      </c>
      <c r="B2081" s="2">
        <v>45788</v>
      </c>
      <c r="C2081" t="s">
        <v>73</v>
      </c>
      <c r="D2081" t="s">
        <v>1629</v>
      </c>
      <c r="E2081">
        <v>371.28</v>
      </c>
      <c r="F2081" t="s">
        <v>1578</v>
      </c>
      <c r="G2081" t="s">
        <v>1233</v>
      </c>
    </row>
    <row r="2082" spans="1:7">
      <c r="A2082" t="s">
        <v>3685</v>
      </c>
      <c r="B2082" s="2">
        <v>45788</v>
      </c>
      <c r="C2082" t="s">
        <v>75</v>
      </c>
      <c r="D2082" t="s">
        <v>1629</v>
      </c>
      <c r="E2082">
        <v>367.64</v>
      </c>
      <c r="F2082" t="s">
        <v>1578</v>
      </c>
      <c r="G2082" t="s">
        <v>1233</v>
      </c>
    </row>
    <row r="2083" spans="1:7">
      <c r="A2083" t="s">
        <v>3686</v>
      </c>
      <c r="B2083" s="2">
        <v>45788</v>
      </c>
      <c r="C2083" t="s">
        <v>77</v>
      </c>
      <c r="D2083" t="s">
        <v>1629</v>
      </c>
      <c r="E2083">
        <v>367.64</v>
      </c>
      <c r="F2083" t="s">
        <v>1578</v>
      </c>
      <c r="G2083" t="s">
        <v>1233</v>
      </c>
    </row>
    <row r="2084" spans="1:7">
      <c r="A2084" t="s">
        <v>3687</v>
      </c>
      <c r="B2084" s="2">
        <v>45788</v>
      </c>
      <c r="C2084" t="s">
        <v>79</v>
      </c>
      <c r="D2084" t="s">
        <v>1629</v>
      </c>
      <c r="E2084">
        <v>371.28</v>
      </c>
      <c r="F2084" t="s">
        <v>1578</v>
      </c>
      <c r="G2084" t="s">
        <v>1233</v>
      </c>
    </row>
    <row r="2085" spans="1:7">
      <c r="A2085" t="s">
        <v>3688</v>
      </c>
      <c r="B2085" s="2">
        <v>45788</v>
      </c>
      <c r="C2085" t="s">
        <v>81</v>
      </c>
      <c r="D2085" t="s">
        <v>1629</v>
      </c>
      <c r="E2085">
        <v>735.28</v>
      </c>
      <c r="F2085" t="s">
        <v>1578</v>
      </c>
      <c r="G2085" t="s">
        <v>1233</v>
      </c>
    </row>
    <row r="2086" spans="1:7">
      <c r="A2086" t="s">
        <v>3689</v>
      </c>
      <c r="B2086" s="2">
        <v>45788</v>
      </c>
      <c r="C2086" t="s">
        <v>108</v>
      </c>
      <c r="D2086" t="s">
        <v>1629</v>
      </c>
      <c r="E2086">
        <v>738.92</v>
      </c>
      <c r="F2086" t="s">
        <v>1578</v>
      </c>
      <c r="G2086" t="s">
        <v>1233</v>
      </c>
    </row>
    <row r="2087" spans="1:7">
      <c r="A2087" t="s">
        <v>3690</v>
      </c>
      <c r="B2087" s="2">
        <v>45788</v>
      </c>
      <c r="C2087" t="s">
        <v>110</v>
      </c>
      <c r="D2087" t="s">
        <v>1629</v>
      </c>
      <c r="E2087">
        <v>371.28</v>
      </c>
      <c r="F2087" t="s">
        <v>1578</v>
      </c>
      <c r="G2087" t="s">
        <v>1233</v>
      </c>
    </row>
    <row r="2088" spans="1:7">
      <c r="A2088" t="s">
        <v>3691</v>
      </c>
      <c r="B2088" s="2">
        <v>45788</v>
      </c>
      <c r="C2088" t="s">
        <v>114</v>
      </c>
      <c r="D2088" t="s">
        <v>1629</v>
      </c>
      <c r="E2088">
        <v>367.64</v>
      </c>
      <c r="F2088" t="s">
        <v>1578</v>
      </c>
      <c r="G2088" t="s">
        <v>1233</v>
      </c>
    </row>
    <row r="2089" spans="1:7">
      <c r="A2089" t="s">
        <v>3692</v>
      </c>
      <c r="B2089" s="2">
        <v>45788</v>
      </c>
      <c r="C2089" t="s">
        <v>117</v>
      </c>
      <c r="D2089" t="s">
        <v>1629</v>
      </c>
      <c r="E2089">
        <v>365.82</v>
      </c>
      <c r="F2089" t="s">
        <v>1578</v>
      </c>
      <c r="G2089" t="s">
        <v>1233</v>
      </c>
    </row>
    <row r="2090" spans="1:7">
      <c r="A2090" t="s">
        <v>3693</v>
      </c>
      <c r="B2090" s="2">
        <v>45788</v>
      </c>
      <c r="C2090" t="s">
        <v>119</v>
      </c>
      <c r="D2090" t="s">
        <v>1629</v>
      </c>
      <c r="E2090">
        <v>367.64</v>
      </c>
      <c r="F2090" t="s">
        <v>1578</v>
      </c>
      <c r="G2090" t="s">
        <v>1233</v>
      </c>
    </row>
    <row r="2091" spans="1:7">
      <c r="A2091" t="s">
        <v>3694</v>
      </c>
      <c r="B2091" s="2">
        <v>45788</v>
      </c>
      <c r="C2091" t="s">
        <v>99</v>
      </c>
      <c r="D2091" t="s">
        <v>1683</v>
      </c>
      <c r="E2091">
        <v>1209</v>
      </c>
      <c r="F2091" t="s">
        <v>1578</v>
      </c>
      <c r="G2091" t="s">
        <v>600</v>
      </c>
    </row>
    <row r="2092" spans="1:7">
      <c r="A2092" t="s">
        <v>3695</v>
      </c>
      <c r="B2092" s="2">
        <v>45788</v>
      </c>
      <c r="C2092" t="s">
        <v>93</v>
      </c>
      <c r="D2092" t="s">
        <v>1683</v>
      </c>
      <c r="E2092">
        <v>293</v>
      </c>
      <c r="F2092" t="s">
        <v>1578</v>
      </c>
      <c r="G2092" t="s">
        <v>601</v>
      </c>
    </row>
    <row r="2093" spans="1:7">
      <c r="A2093" t="s">
        <v>3696</v>
      </c>
      <c r="B2093" s="2">
        <v>45790</v>
      </c>
      <c r="C2093" t="s">
        <v>61</v>
      </c>
      <c r="D2093" t="s">
        <v>1629</v>
      </c>
      <c r="E2093">
        <v>284.58</v>
      </c>
      <c r="F2093" t="s">
        <v>1578</v>
      </c>
      <c r="G2093" t="s">
        <v>1234</v>
      </c>
    </row>
    <row r="2094" spans="1:7">
      <c r="A2094" t="s">
        <v>3697</v>
      </c>
      <c r="B2094" s="2">
        <v>45790</v>
      </c>
      <c r="C2094" t="s">
        <v>65</v>
      </c>
      <c r="D2094" t="s">
        <v>1629</v>
      </c>
      <c r="E2094">
        <v>283.18</v>
      </c>
      <c r="F2094" t="s">
        <v>1578</v>
      </c>
      <c r="G2094" t="s">
        <v>1234</v>
      </c>
    </row>
    <row r="2095" spans="1:7">
      <c r="A2095" t="s">
        <v>3698</v>
      </c>
      <c r="B2095" s="2">
        <v>45790</v>
      </c>
      <c r="C2095" t="s">
        <v>68</v>
      </c>
      <c r="D2095" t="s">
        <v>1629</v>
      </c>
      <c r="E2095">
        <v>284.58</v>
      </c>
      <c r="F2095" t="s">
        <v>1578</v>
      </c>
      <c r="G2095" t="s">
        <v>1234</v>
      </c>
    </row>
    <row r="2096" spans="1:7">
      <c r="A2096" t="s">
        <v>3699</v>
      </c>
      <c r="B2096" s="2">
        <v>45790</v>
      </c>
      <c r="C2096" t="s">
        <v>70</v>
      </c>
      <c r="D2096" t="s">
        <v>1629</v>
      </c>
      <c r="E2096">
        <v>281.79000000000002</v>
      </c>
      <c r="F2096" t="s">
        <v>1578</v>
      </c>
      <c r="G2096" t="s">
        <v>1234</v>
      </c>
    </row>
    <row r="2097" spans="1:7">
      <c r="A2097" t="s">
        <v>3700</v>
      </c>
      <c r="B2097" s="2">
        <v>45790</v>
      </c>
      <c r="C2097" t="s">
        <v>75</v>
      </c>
      <c r="D2097" t="s">
        <v>1629</v>
      </c>
      <c r="E2097">
        <v>281.79000000000002</v>
      </c>
      <c r="F2097" t="s">
        <v>1578</v>
      </c>
      <c r="G2097" t="s">
        <v>1234</v>
      </c>
    </row>
    <row r="2098" spans="1:7">
      <c r="A2098" t="s">
        <v>3701</v>
      </c>
      <c r="B2098" s="2">
        <v>45790</v>
      </c>
      <c r="C2098" t="s">
        <v>77</v>
      </c>
      <c r="D2098" t="s">
        <v>1629</v>
      </c>
      <c r="E2098">
        <v>281.79000000000002</v>
      </c>
      <c r="F2098" t="s">
        <v>1578</v>
      </c>
      <c r="G2098" t="s">
        <v>1234</v>
      </c>
    </row>
    <row r="2099" spans="1:7">
      <c r="A2099" t="s">
        <v>3702</v>
      </c>
      <c r="B2099" s="2">
        <v>45790</v>
      </c>
      <c r="C2099" t="s">
        <v>79</v>
      </c>
      <c r="D2099" t="s">
        <v>1629</v>
      </c>
      <c r="E2099">
        <v>284.58</v>
      </c>
      <c r="F2099" t="s">
        <v>1578</v>
      </c>
      <c r="G2099" t="s">
        <v>1234</v>
      </c>
    </row>
    <row r="2100" spans="1:7">
      <c r="A2100" t="s">
        <v>3703</v>
      </c>
      <c r="B2100" s="2">
        <v>45790</v>
      </c>
      <c r="C2100" t="s">
        <v>81</v>
      </c>
      <c r="D2100" t="s">
        <v>1629</v>
      </c>
      <c r="E2100">
        <v>563.58000000000004</v>
      </c>
      <c r="F2100" t="s">
        <v>1578</v>
      </c>
      <c r="G2100" t="s">
        <v>1234</v>
      </c>
    </row>
    <row r="2101" spans="1:7">
      <c r="A2101" t="s">
        <v>3704</v>
      </c>
      <c r="B2101" s="2">
        <v>45790</v>
      </c>
      <c r="C2101" t="s">
        <v>108</v>
      </c>
      <c r="D2101" t="s">
        <v>1629</v>
      </c>
      <c r="E2101">
        <v>566.37</v>
      </c>
      <c r="F2101" t="s">
        <v>1578</v>
      </c>
      <c r="G2101" t="s">
        <v>1234</v>
      </c>
    </row>
    <row r="2102" spans="1:7">
      <c r="A2102" t="s">
        <v>3705</v>
      </c>
      <c r="B2102" s="2">
        <v>45790</v>
      </c>
      <c r="C2102" t="s">
        <v>110</v>
      </c>
      <c r="D2102" t="s">
        <v>1629</v>
      </c>
      <c r="E2102">
        <v>284.58</v>
      </c>
      <c r="F2102" t="s">
        <v>1578</v>
      </c>
      <c r="G2102" t="s">
        <v>1234</v>
      </c>
    </row>
    <row r="2103" spans="1:7">
      <c r="A2103" t="s">
        <v>3706</v>
      </c>
      <c r="B2103" s="2">
        <v>45790</v>
      </c>
      <c r="C2103" t="s">
        <v>114</v>
      </c>
      <c r="D2103" t="s">
        <v>1629</v>
      </c>
      <c r="E2103">
        <v>281.79000000000002</v>
      </c>
      <c r="F2103" t="s">
        <v>1578</v>
      </c>
      <c r="G2103" t="s">
        <v>1234</v>
      </c>
    </row>
    <row r="2104" spans="1:7">
      <c r="A2104" t="s">
        <v>3707</v>
      </c>
      <c r="B2104" s="2">
        <v>45790</v>
      </c>
      <c r="C2104" t="s">
        <v>117</v>
      </c>
      <c r="D2104" t="s">
        <v>1629</v>
      </c>
      <c r="E2104">
        <v>280.39999999999998</v>
      </c>
      <c r="F2104" t="s">
        <v>1578</v>
      </c>
      <c r="G2104" t="s">
        <v>1234</v>
      </c>
    </row>
    <row r="2105" spans="1:7">
      <c r="A2105" t="s">
        <v>3708</v>
      </c>
      <c r="B2105" s="2">
        <v>45790</v>
      </c>
      <c r="C2105" t="s">
        <v>119</v>
      </c>
      <c r="D2105" t="s">
        <v>1629</v>
      </c>
      <c r="E2105">
        <v>281.79000000000002</v>
      </c>
      <c r="F2105" t="s">
        <v>1578</v>
      </c>
      <c r="G2105" t="s">
        <v>1234</v>
      </c>
    </row>
    <row r="2106" spans="1:7">
      <c r="A2106" t="s">
        <v>3709</v>
      </c>
      <c r="B2106" s="2">
        <v>45790</v>
      </c>
      <c r="C2106" t="s">
        <v>91</v>
      </c>
      <c r="D2106" t="s">
        <v>1683</v>
      </c>
      <c r="E2106">
        <v>122</v>
      </c>
      <c r="F2106" t="s">
        <v>1578</v>
      </c>
      <c r="G2106" t="s">
        <v>602</v>
      </c>
    </row>
    <row r="2107" spans="1:7">
      <c r="A2107" t="s">
        <v>3710</v>
      </c>
      <c r="B2107" s="2">
        <v>45791</v>
      </c>
      <c r="C2107" t="s">
        <v>75</v>
      </c>
      <c r="D2107" t="s">
        <v>1629</v>
      </c>
      <c r="E2107">
        <v>450.46</v>
      </c>
      <c r="F2107" t="s">
        <v>1578</v>
      </c>
      <c r="G2107" t="s">
        <v>1235</v>
      </c>
    </row>
    <row r="2108" spans="1:7">
      <c r="A2108" t="s">
        <v>3711</v>
      </c>
      <c r="B2108" s="2">
        <v>45791</v>
      </c>
      <c r="C2108" t="s">
        <v>106</v>
      </c>
      <c r="D2108" t="s">
        <v>1629</v>
      </c>
      <c r="E2108">
        <v>459.38</v>
      </c>
      <c r="F2108" t="s">
        <v>1578</v>
      </c>
      <c r="G2108" t="s">
        <v>1235</v>
      </c>
    </row>
    <row r="2109" spans="1:7">
      <c r="A2109" t="s">
        <v>3712</v>
      </c>
      <c r="B2109" s="2">
        <v>45791</v>
      </c>
      <c r="C2109" t="s">
        <v>108</v>
      </c>
      <c r="D2109" t="s">
        <v>1629</v>
      </c>
      <c r="E2109">
        <v>905.38</v>
      </c>
      <c r="F2109" t="s">
        <v>1578</v>
      </c>
      <c r="G2109" t="s">
        <v>1235</v>
      </c>
    </row>
    <row r="2110" spans="1:7">
      <c r="A2110" t="s">
        <v>3713</v>
      </c>
      <c r="B2110" s="2">
        <v>45791</v>
      </c>
      <c r="C2110" t="s">
        <v>110</v>
      </c>
      <c r="D2110" t="s">
        <v>1629</v>
      </c>
      <c r="E2110">
        <v>454.92</v>
      </c>
      <c r="F2110" t="s">
        <v>1578</v>
      </c>
      <c r="G2110" t="s">
        <v>1235</v>
      </c>
    </row>
    <row r="2111" spans="1:7">
      <c r="A2111" t="s">
        <v>3714</v>
      </c>
      <c r="B2111" s="2">
        <v>45791</v>
      </c>
      <c r="C2111" t="s">
        <v>114</v>
      </c>
      <c r="D2111" t="s">
        <v>1629</v>
      </c>
      <c r="E2111">
        <v>450.46</v>
      </c>
      <c r="F2111" t="s">
        <v>1578</v>
      </c>
      <c r="G2111" t="s">
        <v>1235</v>
      </c>
    </row>
    <row r="2112" spans="1:7">
      <c r="A2112" t="s">
        <v>3715</v>
      </c>
      <c r="B2112" s="2">
        <v>45791</v>
      </c>
      <c r="C2112" t="s">
        <v>117</v>
      </c>
      <c r="D2112" t="s">
        <v>1629</v>
      </c>
      <c r="E2112">
        <v>448.23</v>
      </c>
      <c r="F2112" t="s">
        <v>1578</v>
      </c>
      <c r="G2112" t="s">
        <v>1235</v>
      </c>
    </row>
    <row r="2113" spans="1:7">
      <c r="A2113" t="s">
        <v>3716</v>
      </c>
      <c r="B2113" s="2">
        <v>45791</v>
      </c>
      <c r="C2113" t="s">
        <v>119</v>
      </c>
      <c r="D2113" t="s">
        <v>1629</v>
      </c>
      <c r="E2113">
        <v>450.46</v>
      </c>
      <c r="F2113" t="s">
        <v>1578</v>
      </c>
      <c r="G2113" t="s">
        <v>1235</v>
      </c>
    </row>
    <row r="2114" spans="1:7">
      <c r="A2114" t="s">
        <v>3717</v>
      </c>
      <c r="B2114" s="2">
        <v>45791</v>
      </c>
      <c r="C2114" t="s">
        <v>99</v>
      </c>
      <c r="D2114" t="s">
        <v>1683</v>
      </c>
      <c r="E2114">
        <v>251</v>
      </c>
      <c r="F2114" t="s">
        <v>1578</v>
      </c>
      <c r="G2114" t="s">
        <v>603</v>
      </c>
    </row>
    <row r="2115" spans="1:7">
      <c r="A2115" t="s">
        <v>3718</v>
      </c>
      <c r="B2115" s="2">
        <v>45792</v>
      </c>
      <c r="C2115" t="s">
        <v>104</v>
      </c>
      <c r="D2115" t="s">
        <v>1683</v>
      </c>
      <c r="E2115">
        <v>191</v>
      </c>
      <c r="F2115" t="s">
        <v>1578</v>
      </c>
      <c r="G2115" t="s">
        <v>604</v>
      </c>
    </row>
    <row r="2116" spans="1:7">
      <c r="A2116" t="s">
        <v>3719</v>
      </c>
      <c r="B2116" s="2">
        <v>45793</v>
      </c>
      <c r="C2116" t="s">
        <v>61</v>
      </c>
      <c r="D2116" t="s">
        <v>1629</v>
      </c>
      <c r="E2116">
        <v>278.45999999999998</v>
      </c>
      <c r="F2116" t="s">
        <v>1578</v>
      </c>
      <c r="G2116" t="s">
        <v>1236</v>
      </c>
    </row>
    <row r="2117" spans="1:7">
      <c r="A2117" t="s">
        <v>3720</v>
      </c>
      <c r="B2117" s="2">
        <v>45793</v>
      </c>
      <c r="C2117" t="s">
        <v>65</v>
      </c>
      <c r="D2117" t="s">
        <v>1629</v>
      </c>
      <c r="E2117">
        <v>277.08999999999997</v>
      </c>
      <c r="F2117" t="s">
        <v>1578</v>
      </c>
      <c r="G2117" t="s">
        <v>1236</v>
      </c>
    </row>
    <row r="2118" spans="1:7">
      <c r="A2118" t="s">
        <v>3721</v>
      </c>
      <c r="B2118" s="2">
        <v>45793</v>
      </c>
      <c r="C2118" t="s">
        <v>68</v>
      </c>
      <c r="D2118" t="s">
        <v>1629</v>
      </c>
      <c r="E2118">
        <v>278.45999999999998</v>
      </c>
      <c r="F2118" t="s">
        <v>1578</v>
      </c>
      <c r="G2118" t="s">
        <v>1236</v>
      </c>
    </row>
    <row r="2119" spans="1:7">
      <c r="A2119" t="s">
        <v>3722</v>
      </c>
      <c r="B2119" s="2">
        <v>45793</v>
      </c>
      <c r="C2119" t="s">
        <v>70</v>
      </c>
      <c r="D2119" t="s">
        <v>1629</v>
      </c>
      <c r="E2119">
        <v>275.73</v>
      </c>
      <c r="F2119" t="s">
        <v>1578</v>
      </c>
      <c r="G2119" t="s">
        <v>1236</v>
      </c>
    </row>
    <row r="2120" spans="1:7">
      <c r="A2120" t="s">
        <v>3723</v>
      </c>
      <c r="B2120" s="2">
        <v>45793</v>
      </c>
      <c r="C2120" t="s">
        <v>75</v>
      </c>
      <c r="D2120" t="s">
        <v>1629</v>
      </c>
      <c r="E2120">
        <v>275.73</v>
      </c>
      <c r="F2120" t="s">
        <v>1578</v>
      </c>
      <c r="G2120" t="s">
        <v>1236</v>
      </c>
    </row>
    <row r="2121" spans="1:7">
      <c r="A2121" t="s">
        <v>3724</v>
      </c>
      <c r="B2121" s="2">
        <v>45793</v>
      </c>
      <c r="C2121" t="s">
        <v>77</v>
      </c>
      <c r="D2121" t="s">
        <v>1629</v>
      </c>
      <c r="E2121">
        <v>275.73</v>
      </c>
      <c r="F2121" t="s">
        <v>1578</v>
      </c>
      <c r="G2121" t="s">
        <v>1236</v>
      </c>
    </row>
    <row r="2122" spans="1:7">
      <c r="A2122" t="s">
        <v>3725</v>
      </c>
      <c r="B2122" s="2">
        <v>45793</v>
      </c>
      <c r="C2122" t="s">
        <v>79</v>
      </c>
      <c r="D2122" t="s">
        <v>1629</v>
      </c>
      <c r="E2122">
        <v>278.45999999999998</v>
      </c>
      <c r="F2122" t="s">
        <v>1578</v>
      </c>
      <c r="G2122" t="s">
        <v>1236</v>
      </c>
    </row>
    <row r="2123" spans="1:7">
      <c r="A2123" t="s">
        <v>3726</v>
      </c>
      <c r="B2123" s="2">
        <v>45793</v>
      </c>
      <c r="C2123" t="s">
        <v>81</v>
      </c>
      <c r="D2123" t="s">
        <v>1629</v>
      </c>
      <c r="E2123">
        <v>551.46</v>
      </c>
      <c r="F2123" t="s">
        <v>1578</v>
      </c>
      <c r="G2123" t="s">
        <v>1236</v>
      </c>
    </row>
    <row r="2124" spans="1:7">
      <c r="A2124" t="s">
        <v>3727</v>
      </c>
      <c r="B2124" s="2">
        <v>45793</v>
      </c>
      <c r="C2124" t="s">
        <v>110</v>
      </c>
      <c r="D2124" t="s">
        <v>1629</v>
      </c>
      <c r="E2124">
        <v>278.45999999999998</v>
      </c>
      <c r="F2124" t="s">
        <v>1578</v>
      </c>
      <c r="G2124" t="s">
        <v>1236</v>
      </c>
    </row>
    <row r="2125" spans="1:7">
      <c r="A2125" t="s">
        <v>3728</v>
      </c>
      <c r="B2125" s="2">
        <v>45793</v>
      </c>
      <c r="C2125" t="s">
        <v>114</v>
      </c>
      <c r="D2125" t="s">
        <v>1629</v>
      </c>
      <c r="E2125">
        <v>275.73</v>
      </c>
      <c r="F2125" t="s">
        <v>1578</v>
      </c>
      <c r="G2125" t="s">
        <v>1236</v>
      </c>
    </row>
    <row r="2126" spans="1:7">
      <c r="A2126" t="s">
        <v>3729</v>
      </c>
      <c r="B2126" s="2">
        <v>45793</v>
      </c>
      <c r="C2126" t="s">
        <v>117</v>
      </c>
      <c r="D2126" t="s">
        <v>1629</v>
      </c>
      <c r="E2126">
        <v>274.36</v>
      </c>
      <c r="F2126" t="s">
        <v>1578</v>
      </c>
      <c r="G2126" t="s">
        <v>1236</v>
      </c>
    </row>
    <row r="2127" spans="1:7">
      <c r="A2127" t="s">
        <v>3730</v>
      </c>
      <c r="B2127" s="2">
        <v>45793</v>
      </c>
      <c r="C2127" t="s">
        <v>119</v>
      </c>
      <c r="D2127" t="s">
        <v>1629</v>
      </c>
      <c r="E2127">
        <v>275.73</v>
      </c>
      <c r="F2127" t="s">
        <v>1578</v>
      </c>
      <c r="G2127" t="s">
        <v>1236</v>
      </c>
    </row>
    <row r="2128" spans="1:7">
      <c r="A2128" t="s">
        <v>3731</v>
      </c>
      <c r="B2128" s="2">
        <v>45793</v>
      </c>
      <c r="C2128" t="s">
        <v>75</v>
      </c>
      <c r="D2128" t="s">
        <v>1629</v>
      </c>
      <c r="E2128">
        <v>271.69</v>
      </c>
      <c r="F2128" t="s">
        <v>1578</v>
      </c>
      <c r="G2128" t="s">
        <v>1237</v>
      </c>
    </row>
    <row r="2129" spans="1:7">
      <c r="A2129" t="s">
        <v>3732</v>
      </c>
      <c r="B2129" s="2">
        <v>45793</v>
      </c>
      <c r="C2129" t="s">
        <v>91</v>
      </c>
      <c r="D2129" t="s">
        <v>1629</v>
      </c>
      <c r="E2129">
        <v>275.72000000000003</v>
      </c>
      <c r="F2129" t="s">
        <v>1578</v>
      </c>
      <c r="G2129" t="s">
        <v>1237</v>
      </c>
    </row>
    <row r="2130" spans="1:7">
      <c r="A2130" t="s">
        <v>3733</v>
      </c>
      <c r="B2130" s="2">
        <v>45793</v>
      </c>
      <c r="C2130" t="s">
        <v>93</v>
      </c>
      <c r="D2130" t="s">
        <v>1629</v>
      </c>
      <c r="E2130">
        <v>274.38</v>
      </c>
      <c r="F2130" t="s">
        <v>1578</v>
      </c>
      <c r="G2130" t="s">
        <v>1237</v>
      </c>
    </row>
    <row r="2131" spans="1:7">
      <c r="A2131" t="s">
        <v>3734</v>
      </c>
      <c r="B2131" s="2">
        <v>45793</v>
      </c>
      <c r="C2131" t="s">
        <v>95</v>
      </c>
      <c r="D2131" t="s">
        <v>1629</v>
      </c>
      <c r="E2131">
        <v>273.02999999999997</v>
      </c>
      <c r="F2131" t="s">
        <v>1578</v>
      </c>
      <c r="G2131" t="s">
        <v>1237</v>
      </c>
    </row>
    <row r="2132" spans="1:7">
      <c r="A2132" t="s">
        <v>3735</v>
      </c>
      <c r="B2132" s="2">
        <v>45793</v>
      </c>
      <c r="C2132" t="s">
        <v>97</v>
      </c>
      <c r="D2132" t="s">
        <v>1629</v>
      </c>
      <c r="E2132">
        <v>271.69</v>
      </c>
      <c r="F2132" t="s">
        <v>1578</v>
      </c>
      <c r="G2132" t="s">
        <v>1237</v>
      </c>
    </row>
    <row r="2133" spans="1:7">
      <c r="A2133" t="s">
        <v>3736</v>
      </c>
      <c r="B2133" s="2">
        <v>45793</v>
      </c>
      <c r="C2133" t="s">
        <v>99</v>
      </c>
      <c r="D2133" t="s">
        <v>1629</v>
      </c>
      <c r="E2133">
        <v>332.48</v>
      </c>
      <c r="F2133" t="s">
        <v>1578</v>
      </c>
      <c r="G2133" t="s">
        <v>1237</v>
      </c>
    </row>
    <row r="2134" spans="1:7">
      <c r="A2134" t="s">
        <v>3737</v>
      </c>
      <c r="B2134" s="2">
        <v>45793</v>
      </c>
      <c r="C2134" t="s">
        <v>102</v>
      </c>
      <c r="D2134" t="s">
        <v>1629</v>
      </c>
      <c r="E2134">
        <v>274.38</v>
      </c>
      <c r="F2134" t="s">
        <v>1578</v>
      </c>
      <c r="G2134" t="s">
        <v>1237</v>
      </c>
    </row>
    <row r="2135" spans="1:7">
      <c r="A2135" t="s">
        <v>3738</v>
      </c>
      <c r="B2135" s="2">
        <v>45793</v>
      </c>
      <c r="C2135" t="s">
        <v>108</v>
      </c>
      <c r="D2135" t="s">
        <v>1629</v>
      </c>
      <c r="E2135">
        <v>546.07000000000005</v>
      </c>
      <c r="F2135" t="s">
        <v>1578</v>
      </c>
      <c r="G2135" t="s">
        <v>1237</v>
      </c>
    </row>
    <row r="2136" spans="1:7">
      <c r="A2136" t="s">
        <v>3739</v>
      </c>
      <c r="B2136" s="2">
        <v>45793</v>
      </c>
      <c r="C2136" t="s">
        <v>110</v>
      </c>
      <c r="D2136" t="s">
        <v>1629</v>
      </c>
      <c r="E2136">
        <v>274.38</v>
      </c>
      <c r="F2136" t="s">
        <v>1578</v>
      </c>
      <c r="G2136" t="s">
        <v>1237</v>
      </c>
    </row>
    <row r="2137" spans="1:7">
      <c r="A2137" t="s">
        <v>3740</v>
      </c>
      <c r="B2137" s="2">
        <v>45793</v>
      </c>
      <c r="C2137" t="s">
        <v>114</v>
      </c>
      <c r="D2137" t="s">
        <v>1629</v>
      </c>
      <c r="E2137">
        <v>271.69</v>
      </c>
      <c r="F2137" t="s">
        <v>1578</v>
      </c>
      <c r="G2137" t="s">
        <v>1237</v>
      </c>
    </row>
    <row r="2138" spans="1:7">
      <c r="A2138" t="s">
        <v>3741</v>
      </c>
      <c r="B2138" s="2">
        <v>45793</v>
      </c>
      <c r="C2138" t="s">
        <v>117</v>
      </c>
      <c r="D2138" t="s">
        <v>1629</v>
      </c>
      <c r="E2138">
        <v>270.33999999999997</v>
      </c>
      <c r="F2138" t="s">
        <v>1578</v>
      </c>
      <c r="G2138" t="s">
        <v>1237</v>
      </c>
    </row>
    <row r="2139" spans="1:7">
      <c r="A2139" t="s">
        <v>3742</v>
      </c>
      <c r="B2139" s="2">
        <v>45793</v>
      </c>
      <c r="C2139" t="s">
        <v>119</v>
      </c>
      <c r="D2139" t="s">
        <v>1629</v>
      </c>
      <c r="E2139">
        <v>271.69</v>
      </c>
      <c r="F2139" t="s">
        <v>1578</v>
      </c>
      <c r="G2139" t="s">
        <v>1237</v>
      </c>
    </row>
    <row r="2140" spans="1:7">
      <c r="A2140" t="s">
        <v>3743</v>
      </c>
      <c r="B2140" s="2">
        <v>45793</v>
      </c>
      <c r="C2140" t="s">
        <v>61</v>
      </c>
      <c r="D2140" t="s">
        <v>1629</v>
      </c>
      <c r="E2140">
        <v>207.06</v>
      </c>
      <c r="F2140" t="s">
        <v>1578</v>
      </c>
      <c r="G2140" t="s">
        <v>1238</v>
      </c>
    </row>
    <row r="2141" spans="1:7">
      <c r="A2141" t="s">
        <v>3744</v>
      </c>
      <c r="B2141" s="2">
        <v>45793</v>
      </c>
      <c r="C2141" t="s">
        <v>65</v>
      </c>
      <c r="D2141" t="s">
        <v>1629</v>
      </c>
      <c r="E2141">
        <v>206.04</v>
      </c>
      <c r="F2141" t="s">
        <v>1578</v>
      </c>
      <c r="G2141" t="s">
        <v>1238</v>
      </c>
    </row>
    <row r="2142" spans="1:7">
      <c r="A2142" t="s">
        <v>3745</v>
      </c>
      <c r="B2142" s="2">
        <v>45793</v>
      </c>
      <c r="C2142" t="s">
        <v>68</v>
      </c>
      <c r="D2142" t="s">
        <v>1629</v>
      </c>
      <c r="E2142">
        <v>207.06</v>
      </c>
      <c r="F2142" t="s">
        <v>1578</v>
      </c>
      <c r="G2142" t="s">
        <v>1238</v>
      </c>
    </row>
    <row r="2143" spans="1:7">
      <c r="A2143" t="s">
        <v>3746</v>
      </c>
      <c r="B2143" s="2">
        <v>45793</v>
      </c>
      <c r="C2143" t="s">
        <v>75</v>
      </c>
      <c r="D2143" t="s">
        <v>1629</v>
      </c>
      <c r="E2143">
        <v>205.03</v>
      </c>
      <c r="F2143" t="s">
        <v>1578</v>
      </c>
      <c r="G2143" t="s">
        <v>1238</v>
      </c>
    </row>
    <row r="2144" spans="1:7">
      <c r="A2144" t="s">
        <v>3747</v>
      </c>
      <c r="B2144" s="2">
        <v>45793</v>
      </c>
      <c r="C2144" t="s">
        <v>79</v>
      </c>
      <c r="D2144" t="s">
        <v>1629</v>
      </c>
      <c r="E2144">
        <v>207.06</v>
      </c>
      <c r="F2144" t="s">
        <v>1578</v>
      </c>
      <c r="G2144" t="s">
        <v>1238</v>
      </c>
    </row>
    <row r="2145" spans="1:7">
      <c r="A2145" t="s">
        <v>3748</v>
      </c>
      <c r="B2145" s="2">
        <v>45793</v>
      </c>
      <c r="C2145" t="s">
        <v>81</v>
      </c>
      <c r="D2145" t="s">
        <v>1629</v>
      </c>
      <c r="E2145">
        <v>410.06</v>
      </c>
      <c r="F2145" t="s">
        <v>1578</v>
      </c>
      <c r="G2145" t="s">
        <v>1238</v>
      </c>
    </row>
    <row r="2146" spans="1:7">
      <c r="A2146" t="s">
        <v>3749</v>
      </c>
      <c r="B2146" s="2">
        <v>45793</v>
      </c>
      <c r="C2146" t="s">
        <v>97</v>
      </c>
      <c r="D2146" t="s">
        <v>1629</v>
      </c>
      <c r="E2146">
        <v>207.06</v>
      </c>
      <c r="F2146" t="s">
        <v>1578</v>
      </c>
      <c r="G2146" t="s">
        <v>1238</v>
      </c>
    </row>
    <row r="2147" spans="1:7">
      <c r="A2147" t="s">
        <v>3750</v>
      </c>
      <c r="B2147" s="2">
        <v>45793</v>
      </c>
      <c r="C2147" t="s">
        <v>110</v>
      </c>
      <c r="D2147" t="s">
        <v>1629</v>
      </c>
      <c r="E2147">
        <v>207.06</v>
      </c>
      <c r="F2147" t="s">
        <v>1578</v>
      </c>
      <c r="G2147" t="s">
        <v>1238</v>
      </c>
    </row>
    <row r="2148" spans="1:7">
      <c r="A2148" t="s">
        <v>3751</v>
      </c>
      <c r="B2148" s="2">
        <v>45793</v>
      </c>
      <c r="C2148" t="s">
        <v>114</v>
      </c>
      <c r="D2148" t="s">
        <v>1629</v>
      </c>
      <c r="E2148">
        <v>205.03</v>
      </c>
      <c r="F2148" t="s">
        <v>1578</v>
      </c>
      <c r="G2148" t="s">
        <v>1238</v>
      </c>
    </row>
    <row r="2149" spans="1:7">
      <c r="A2149" t="s">
        <v>3752</v>
      </c>
      <c r="B2149" s="2">
        <v>45793</v>
      </c>
      <c r="C2149" t="s">
        <v>117</v>
      </c>
      <c r="D2149" t="s">
        <v>1629</v>
      </c>
      <c r="E2149">
        <v>204.02</v>
      </c>
      <c r="F2149" t="s">
        <v>1578</v>
      </c>
      <c r="G2149" t="s">
        <v>1238</v>
      </c>
    </row>
    <row r="2150" spans="1:7">
      <c r="A2150" t="s">
        <v>3753</v>
      </c>
      <c r="B2150" s="2">
        <v>45793</v>
      </c>
      <c r="C2150" t="s">
        <v>119</v>
      </c>
      <c r="D2150" t="s">
        <v>1629</v>
      </c>
      <c r="E2150">
        <v>205.03</v>
      </c>
      <c r="F2150" t="s">
        <v>1578</v>
      </c>
      <c r="G2150" t="s">
        <v>1238</v>
      </c>
    </row>
    <row r="2151" spans="1:7">
      <c r="A2151" t="s">
        <v>3754</v>
      </c>
      <c r="B2151" s="2">
        <v>45793</v>
      </c>
      <c r="C2151" t="s">
        <v>75</v>
      </c>
      <c r="D2151" t="s">
        <v>1629</v>
      </c>
      <c r="E2151">
        <v>178.77</v>
      </c>
      <c r="F2151" t="s">
        <v>1578</v>
      </c>
      <c r="G2151" t="s">
        <v>1239</v>
      </c>
    </row>
    <row r="2152" spans="1:7">
      <c r="A2152" t="s">
        <v>3755</v>
      </c>
      <c r="B2152" s="2">
        <v>45793</v>
      </c>
      <c r="C2152" t="s">
        <v>91</v>
      </c>
      <c r="D2152" t="s">
        <v>1629</v>
      </c>
      <c r="E2152">
        <v>181.42</v>
      </c>
      <c r="F2152" t="s">
        <v>1578</v>
      </c>
      <c r="G2152" t="s">
        <v>1239</v>
      </c>
    </row>
    <row r="2153" spans="1:7">
      <c r="A2153" t="s">
        <v>3756</v>
      </c>
      <c r="B2153" s="2">
        <v>45793</v>
      </c>
      <c r="C2153" t="s">
        <v>93</v>
      </c>
      <c r="D2153" t="s">
        <v>1629</v>
      </c>
      <c r="E2153">
        <v>180.54</v>
      </c>
      <c r="F2153" t="s">
        <v>1578</v>
      </c>
      <c r="G2153" t="s">
        <v>1239</v>
      </c>
    </row>
    <row r="2154" spans="1:7">
      <c r="A2154" t="s">
        <v>3757</v>
      </c>
      <c r="B2154" s="2">
        <v>45793</v>
      </c>
      <c r="C2154" t="s">
        <v>95</v>
      </c>
      <c r="D2154" t="s">
        <v>1629</v>
      </c>
      <c r="E2154">
        <v>179.65</v>
      </c>
      <c r="F2154" t="s">
        <v>1578</v>
      </c>
      <c r="G2154" t="s">
        <v>1239</v>
      </c>
    </row>
    <row r="2155" spans="1:7">
      <c r="A2155" t="s">
        <v>3758</v>
      </c>
      <c r="B2155" s="2">
        <v>45793</v>
      </c>
      <c r="C2155" t="s">
        <v>97</v>
      </c>
      <c r="D2155" t="s">
        <v>1629</v>
      </c>
      <c r="E2155">
        <v>178.77</v>
      </c>
      <c r="F2155" t="s">
        <v>1578</v>
      </c>
      <c r="G2155" t="s">
        <v>1239</v>
      </c>
    </row>
    <row r="2156" spans="1:7">
      <c r="A2156" t="s">
        <v>3759</v>
      </c>
      <c r="B2156" s="2">
        <v>45793</v>
      </c>
      <c r="C2156" t="s">
        <v>99</v>
      </c>
      <c r="D2156" t="s">
        <v>1629</v>
      </c>
      <c r="E2156">
        <v>91.16</v>
      </c>
      <c r="F2156" t="s">
        <v>1578</v>
      </c>
      <c r="G2156" t="s">
        <v>1239</v>
      </c>
    </row>
    <row r="2157" spans="1:7">
      <c r="A2157" t="s">
        <v>3760</v>
      </c>
      <c r="B2157" s="2">
        <v>45793</v>
      </c>
      <c r="C2157" t="s">
        <v>102</v>
      </c>
      <c r="D2157" t="s">
        <v>1629</v>
      </c>
      <c r="E2157">
        <v>180.54</v>
      </c>
      <c r="F2157" t="s">
        <v>1578</v>
      </c>
      <c r="G2157" t="s">
        <v>1239</v>
      </c>
    </row>
    <row r="2158" spans="1:7">
      <c r="A2158" t="s">
        <v>3761</v>
      </c>
      <c r="B2158" s="2">
        <v>45793</v>
      </c>
      <c r="C2158" t="s">
        <v>108</v>
      </c>
      <c r="D2158" t="s">
        <v>1629</v>
      </c>
      <c r="E2158">
        <v>359.31</v>
      </c>
      <c r="F2158" t="s">
        <v>1578</v>
      </c>
      <c r="G2158" t="s">
        <v>1239</v>
      </c>
    </row>
    <row r="2159" spans="1:7">
      <c r="A2159" t="s">
        <v>3762</v>
      </c>
      <c r="B2159" s="2">
        <v>45793</v>
      </c>
      <c r="C2159" t="s">
        <v>110</v>
      </c>
      <c r="D2159" t="s">
        <v>1629</v>
      </c>
      <c r="E2159">
        <v>180.54</v>
      </c>
      <c r="F2159" t="s">
        <v>1578</v>
      </c>
      <c r="G2159" t="s">
        <v>1239</v>
      </c>
    </row>
    <row r="2160" spans="1:7">
      <c r="A2160" t="s">
        <v>3763</v>
      </c>
      <c r="B2160" s="2">
        <v>45793</v>
      </c>
      <c r="C2160" t="s">
        <v>114</v>
      </c>
      <c r="D2160" t="s">
        <v>1629</v>
      </c>
      <c r="E2160">
        <v>178.77</v>
      </c>
      <c r="F2160" t="s">
        <v>1578</v>
      </c>
      <c r="G2160" t="s">
        <v>1239</v>
      </c>
    </row>
    <row r="2161" spans="1:7">
      <c r="A2161" t="s">
        <v>3764</v>
      </c>
      <c r="B2161" s="2">
        <v>45793</v>
      </c>
      <c r="C2161" t="s">
        <v>117</v>
      </c>
      <c r="D2161" t="s">
        <v>1629</v>
      </c>
      <c r="E2161">
        <v>177.88</v>
      </c>
      <c r="F2161" t="s">
        <v>1578</v>
      </c>
      <c r="G2161" t="s">
        <v>1239</v>
      </c>
    </row>
    <row r="2162" spans="1:7">
      <c r="A2162" t="s">
        <v>3765</v>
      </c>
      <c r="B2162" s="2">
        <v>45793</v>
      </c>
      <c r="C2162" t="s">
        <v>119</v>
      </c>
      <c r="D2162" t="s">
        <v>1629</v>
      </c>
      <c r="E2162">
        <v>178.77</v>
      </c>
      <c r="F2162" t="s">
        <v>1578</v>
      </c>
      <c r="G2162" t="s">
        <v>1239</v>
      </c>
    </row>
    <row r="2163" spans="1:7">
      <c r="A2163" t="s">
        <v>3766</v>
      </c>
      <c r="B2163" s="2">
        <v>45793</v>
      </c>
      <c r="C2163" t="s">
        <v>106</v>
      </c>
      <c r="D2163" t="s">
        <v>1683</v>
      </c>
      <c r="E2163">
        <v>435</v>
      </c>
      <c r="F2163" t="s">
        <v>1578</v>
      </c>
      <c r="G2163" t="s">
        <v>605</v>
      </c>
    </row>
    <row r="2164" spans="1:7">
      <c r="A2164" t="s">
        <v>3767</v>
      </c>
      <c r="B2164" s="2">
        <v>45793</v>
      </c>
      <c r="C2164" t="s">
        <v>110</v>
      </c>
      <c r="D2164" t="s">
        <v>1683</v>
      </c>
      <c r="E2164">
        <v>195</v>
      </c>
      <c r="F2164" t="s">
        <v>1578</v>
      </c>
      <c r="G2164" t="s">
        <v>606</v>
      </c>
    </row>
    <row r="2165" spans="1:7">
      <c r="A2165" t="s">
        <v>3768</v>
      </c>
      <c r="B2165" s="2">
        <v>45793</v>
      </c>
      <c r="C2165" t="s">
        <v>65</v>
      </c>
      <c r="D2165" t="s">
        <v>1683</v>
      </c>
      <c r="E2165">
        <v>464</v>
      </c>
      <c r="F2165" t="s">
        <v>1578</v>
      </c>
      <c r="G2165" t="s">
        <v>607</v>
      </c>
    </row>
    <row r="2166" spans="1:7">
      <c r="A2166" t="s">
        <v>3769</v>
      </c>
      <c r="B2166" s="2">
        <v>45793</v>
      </c>
      <c r="C2166" t="s">
        <v>104</v>
      </c>
      <c r="D2166" t="s">
        <v>1683</v>
      </c>
      <c r="E2166">
        <v>502</v>
      </c>
      <c r="F2166" t="s">
        <v>1578</v>
      </c>
      <c r="G2166" t="s">
        <v>608</v>
      </c>
    </row>
    <row r="2167" spans="1:7">
      <c r="A2167" t="s">
        <v>3770</v>
      </c>
      <c r="B2167" s="2">
        <v>45793</v>
      </c>
      <c r="C2167" t="s">
        <v>108</v>
      </c>
      <c r="D2167" t="s">
        <v>1683</v>
      </c>
      <c r="E2167">
        <v>177</v>
      </c>
      <c r="F2167" t="s">
        <v>1578</v>
      </c>
      <c r="G2167" t="s">
        <v>609</v>
      </c>
    </row>
    <row r="2168" spans="1:7">
      <c r="A2168" t="s">
        <v>3771</v>
      </c>
      <c r="B2168" s="2">
        <v>45794</v>
      </c>
      <c r="C2168" t="s">
        <v>61</v>
      </c>
      <c r="D2168" t="s">
        <v>1629</v>
      </c>
      <c r="E2168">
        <v>102</v>
      </c>
      <c r="F2168" t="s">
        <v>1578</v>
      </c>
      <c r="G2168" t="s">
        <v>1240</v>
      </c>
    </row>
    <row r="2169" spans="1:7">
      <c r="A2169" t="s">
        <v>3772</v>
      </c>
      <c r="B2169" s="2">
        <v>45794</v>
      </c>
      <c r="C2169" t="s">
        <v>65</v>
      </c>
      <c r="D2169" t="s">
        <v>1629</v>
      </c>
      <c r="E2169">
        <v>101.5</v>
      </c>
      <c r="F2169" t="s">
        <v>1578</v>
      </c>
      <c r="G2169" t="s">
        <v>1240</v>
      </c>
    </row>
    <row r="2170" spans="1:7">
      <c r="A2170" t="s">
        <v>3773</v>
      </c>
      <c r="B2170" s="2">
        <v>45794</v>
      </c>
      <c r="C2170" t="s">
        <v>68</v>
      </c>
      <c r="D2170" t="s">
        <v>1629</v>
      </c>
      <c r="E2170">
        <v>102</v>
      </c>
      <c r="F2170" t="s">
        <v>1578</v>
      </c>
      <c r="G2170" t="s">
        <v>1240</v>
      </c>
    </row>
    <row r="2171" spans="1:7">
      <c r="A2171" t="s">
        <v>3774</v>
      </c>
      <c r="B2171" s="2">
        <v>45794</v>
      </c>
      <c r="C2171" t="s">
        <v>70</v>
      </c>
      <c r="D2171" t="s">
        <v>1629</v>
      </c>
      <c r="E2171">
        <v>101</v>
      </c>
      <c r="F2171" t="s">
        <v>1578</v>
      </c>
      <c r="G2171" t="s">
        <v>1240</v>
      </c>
    </row>
    <row r="2172" spans="1:7">
      <c r="A2172" t="s">
        <v>3775</v>
      </c>
      <c r="B2172" s="2">
        <v>45794</v>
      </c>
      <c r="C2172" t="s">
        <v>75</v>
      </c>
      <c r="D2172" t="s">
        <v>1629</v>
      </c>
      <c r="E2172">
        <v>101</v>
      </c>
      <c r="F2172" t="s">
        <v>1578</v>
      </c>
      <c r="G2172" t="s">
        <v>1240</v>
      </c>
    </row>
    <row r="2173" spans="1:7">
      <c r="A2173" t="s">
        <v>3776</v>
      </c>
      <c r="B2173" s="2">
        <v>45794</v>
      </c>
      <c r="C2173" t="s">
        <v>77</v>
      </c>
      <c r="D2173" t="s">
        <v>1629</v>
      </c>
      <c r="E2173">
        <v>101</v>
      </c>
      <c r="F2173" t="s">
        <v>1578</v>
      </c>
      <c r="G2173" t="s">
        <v>1240</v>
      </c>
    </row>
    <row r="2174" spans="1:7">
      <c r="A2174" t="s">
        <v>3777</v>
      </c>
      <c r="B2174" s="2">
        <v>45794</v>
      </c>
      <c r="C2174" t="s">
        <v>79</v>
      </c>
      <c r="D2174" t="s">
        <v>1629</v>
      </c>
      <c r="E2174">
        <v>102</v>
      </c>
      <c r="F2174" t="s">
        <v>1578</v>
      </c>
      <c r="G2174" t="s">
        <v>1240</v>
      </c>
    </row>
    <row r="2175" spans="1:7">
      <c r="A2175" t="s">
        <v>3778</v>
      </c>
      <c r="B2175" s="2">
        <v>45794</v>
      </c>
      <c r="C2175" t="s">
        <v>81</v>
      </c>
      <c r="D2175" t="s">
        <v>1629</v>
      </c>
      <c r="E2175">
        <v>202</v>
      </c>
      <c r="F2175" t="s">
        <v>1578</v>
      </c>
      <c r="G2175" t="s">
        <v>1240</v>
      </c>
    </row>
    <row r="2176" spans="1:7">
      <c r="A2176" t="s">
        <v>3779</v>
      </c>
      <c r="B2176" s="2">
        <v>45794</v>
      </c>
      <c r="C2176" t="s">
        <v>110</v>
      </c>
      <c r="D2176" t="s">
        <v>1629</v>
      </c>
      <c r="E2176">
        <v>102</v>
      </c>
      <c r="F2176" t="s">
        <v>1578</v>
      </c>
      <c r="G2176" t="s">
        <v>1240</v>
      </c>
    </row>
    <row r="2177" spans="1:7">
      <c r="A2177" t="s">
        <v>3780</v>
      </c>
      <c r="B2177" s="2">
        <v>45794</v>
      </c>
      <c r="C2177" t="s">
        <v>114</v>
      </c>
      <c r="D2177" t="s">
        <v>1629</v>
      </c>
      <c r="E2177">
        <v>101</v>
      </c>
      <c r="F2177" t="s">
        <v>1578</v>
      </c>
      <c r="G2177" t="s">
        <v>1240</v>
      </c>
    </row>
    <row r="2178" spans="1:7">
      <c r="A2178" t="s">
        <v>3781</v>
      </c>
      <c r="B2178" s="2">
        <v>45794</v>
      </c>
      <c r="C2178" t="s">
        <v>117</v>
      </c>
      <c r="D2178" t="s">
        <v>1629</v>
      </c>
      <c r="E2178">
        <v>100.5</v>
      </c>
      <c r="F2178" t="s">
        <v>1578</v>
      </c>
      <c r="G2178" t="s">
        <v>1240</v>
      </c>
    </row>
    <row r="2179" spans="1:7">
      <c r="A2179" t="s">
        <v>3782</v>
      </c>
      <c r="B2179" s="2">
        <v>45794</v>
      </c>
      <c r="C2179" t="s">
        <v>119</v>
      </c>
      <c r="D2179" t="s">
        <v>1629</v>
      </c>
      <c r="E2179">
        <v>101</v>
      </c>
      <c r="F2179" t="s">
        <v>1578</v>
      </c>
      <c r="G2179" t="s">
        <v>1240</v>
      </c>
    </row>
    <row r="2180" spans="1:7">
      <c r="A2180" t="s">
        <v>3783</v>
      </c>
      <c r="B2180" s="2">
        <v>45795</v>
      </c>
      <c r="C2180" t="s">
        <v>61</v>
      </c>
      <c r="D2180" t="s">
        <v>1629</v>
      </c>
      <c r="E2180">
        <v>370.26</v>
      </c>
      <c r="F2180" t="s">
        <v>1578</v>
      </c>
      <c r="G2180" t="s">
        <v>1241</v>
      </c>
    </row>
    <row r="2181" spans="1:7">
      <c r="A2181" t="s">
        <v>3784</v>
      </c>
      <c r="B2181" s="2">
        <v>45795</v>
      </c>
      <c r="C2181" t="s">
        <v>65</v>
      </c>
      <c r="D2181" t="s">
        <v>1629</v>
      </c>
      <c r="E2181">
        <v>368.44</v>
      </c>
      <c r="F2181" t="s">
        <v>1578</v>
      </c>
      <c r="G2181" t="s">
        <v>1241</v>
      </c>
    </row>
    <row r="2182" spans="1:7">
      <c r="A2182" t="s">
        <v>3785</v>
      </c>
      <c r="B2182" s="2">
        <v>45795</v>
      </c>
      <c r="C2182" t="s">
        <v>68</v>
      </c>
      <c r="D2182" t="s">
        <v>1629</v>
      </c>
      <c r="E2182">
        <v>370.26</v>
      </c>
      <c r="F2182" t="s">
        <v>1578</v>
      </c>
      <c r="G2182" t="s">
        <v>1241</v>
      </c>
    </row>
    <row r="2183" spans="1:7">
      <c r="A2183" t="s">
        <v>3786</v>
      </c>
      <c r="B2183" s="2">
        <v>45795</v>
      </c>
      <c r="C2183" t="s">
        <v>70</v>
      </c>
      <c r="D2183" t="s">
        <v>1629</v>
      </c>
      <c r="E2183">
        <v>366.63</v>
      </c>
      <c r="F2183" t="s">
        <v>1578</v>
      </c>
      <c r="G2183" t="s">
        <v>1241</v>
      </c>
    </row>
    <row r="2184" spans="1:7">
      <c r="A2184" t="s">
        <v>3787</v>
      </c>
      <c r="B2184" s="2">
        <v>45795</v>
      </c>
      <c r="C2184" t="s">
        <v>75</v>
      </c>
      <c r="D2184" t="s">
        <v>1629</v>
      </c>
      <c r="E2184">
        <v>366.63</v>
      </c>
      <c r="F2184" t="s">
        <v>1578</v>
      </c>
      <c r="G2184" t="s">
        <v>1241</v>
      </c>
    </row>
    <row r="2185" spans="1:7">
      <c r="A2185" t="s">
        <v>3788</v>
      </c>
      <c r="B2185" s="2">
        <v>45795</v>
      </c>
      <c r="C2185" t="s">
        <v>77</v>
      </c>
      <c r="D2185" t="s">
        <v>1629</v>
      </c>
      <c r="E2185">
        <v>366.63</v>
      </c>
      <c r="F2185" t="s">
        <v>1578</v>
      </c>
      <c r="G2185" t="s">
        <v>1241</v>
      </c>
    </row>
    <row r="2186" spans="1:7">
      <c r="A2186" t="s">
        <v>3789</v>
      </c>
      <c r="B2186" s="2">
        <v>45795</v>
      </c>
      <c r="C2186" t="s">
        <v>79</v>
      </c>
      <c r="D2186" t="s">
        <v>1629</v>
      </c>
      <c r="E2186">
        <v>370.26</v>
      </c>
      <c r="F2186" t="s">
        <v>1578</v>
      </c>
      <c r="G2186" t="s">
        <v>1241</v>
      </c>
    </row>
    <row r="2187" spans="1:7">
      <c r="A2187" t="s">
        <v>3790</v>
      </c>
      <c r="B2187" s="2">
        <v>45795</v>
      </c>
      <c r="C2187" t="s">
        <v>81</v>
      </c>
      <c r="D2187" t="s">
        <v>1629</v>
      </c>
      <c r="E2187">
        <v>733.26</v>
      </c>
      <c r="F2187" t="s">
        <v>1578</v>
      </c>
      <c r="G2187" t="s">
        <v>1241</v>
      </c>
    </row>
    <row r="2188" spans="1:7">
      <c r="A2188" t="s">
        <v>3791</v>
      </c>
      <c r="B2188" s="2">
        <v>45795</v>
      </c>
      <c r="C2188" t="s">
        <v>108</v>
      </c>
      <c r="D2188" t="s">
        <v>1629</v>
      </c>
      <c r="E2188">
        <v>736.89</v>
      </c>
      <c r="F2188" t="s">
        <v>1578</v>
      </c>
      <c r="G2188" t="s">
        <v>1241</v>
      </c>
    </row>
    <row r="2189" spans="1:7">
      <c r="A2189" t="s">
        <v>3792</v>
      </c>
      <c r="B2189" s="2">
        <v>45795</v>
      </c>
      <c r="C2189" t="s">
        <v>110</v>
      </c>
      <c r="D2189" t="s">
        <v>1629</v>
      </c>
      <c r="E2189">
        <v>370.26</v>
      </c>
      <c r="F2189" t="s">
        <v>1578</v>
      </c>
      <c r="G2189" t="s">
        <v>1241</v>
      </c>
    </row>
    <row r="2190" spans="1:7">
      <c r="A2190" t="s">
        <v>3793</v>
      </c>
      <c r="B2190" s="2">
        <v>45795</v>
      </c>
      <c r="C2190" t="s">
        <v>114</v>
      </c>
      <c r="D2190" t="s">
        <v>1629</v>
      </c>
      <c r="E2190">
        <v>366.63</v>
      </c>
      <c r="F2190" t="s">
        <v>1578</v>
      </c>
      <c r="G2190" t="s">
        <v>1241</v>
      </c>
    </row>
    <row r="2191" spans="1:7">
      <c r="A2191" t="s">
        <v>3794</v>
      </c>
      <c r="B2191" s="2">
        <v>45795</v>
      </c>
      <c r="C2191" t="s">
        <v>117</v>
      </c>
      <c r="D2191" t="s">
        <v>1629</v>
      </c>
      <c r="E2191">
        <v>364.81</v>
      </c>
      <c r="F2191" t="s">
        <v>1578</v>
      </c>
      <c r="G2191" t="s">
        <v>1241</v>
      </c>
    </row>
    <row r="2192" spans="1:7">
      <c r="A2192" t="s">
        <v>3795</v>
      </c>
      <c r="B2192" s="2">
        <v>45795</v>
      </c>
      <c r="C2192" t="s">
        <v>119</v>
      </c>
      <c r="D2192" t="s">
        <v>1629</v>
      </c>
      <c r="E2192">
        <v>366.63</v>
      </c>
      <c r="F2192" t="s">
        <v>1578</v>
      </c>
      <c r="G2192" t="s">
        <v>1241</v>
      </c>
    </row>
    <row r="2193" spans="1:7">
      <c r="A2193" t="s">
        <v>3796</v>
      </c>
      <c r="B2193" s="2">
        <v>45796</v>
      </c>
      <c r="C2193" t="s">
        <v>91</v>
      </c>
      <c r="D2193" t="s">
        <v>1683</v>
      </c>
      <c r="E2193">
        <v>183</v>
      </c>
      <c r="F2193" t="s">
        <v>1578</v>
      </c>
      <c r="G2193" t="s">
        <v>611</v>
      </c>
    </row>
    <row r="2194" spans="1:7">
      <c r="A2194" t="s">
        <v>3797</v>
      </c>
      <c r="B2194" s="2">
        <v>45796</v>
      </c>
      <c r="C2194" t="s">
        <v>91</v>
      </c>
      <c r="D2194" t="s">
        <v>1683</v>
      </c>
      <c r="E2194">
        <v>191</v>
      </c>
      <c r="F2194" t="s">
        <v>1578</v>
      </c>
      <c r="G2194" t="s">
        <v>612</v>
      </c>
    </row>
    <row r="2195" spans="1:7">
      <c r="A2195" t="s">
        <v>3798</v>
      </c>
      <c r="B2195" s="2">
        <v>45797</v>
      </c>
      <c r="C2195" t="s">
        <v>75</v>
      </c>
      <c r="D2195" t="s">
        <v>1629</v>
      </c>
      <c r="E2195">
        <v>324.20999999999998</v>
      </c>
      <c r="F2195" t="s">
        <v>1578</v>
      </c>
      <c r="G2195" t="s">
        <v>1242</v>
      </c>
    </row>
    <row r="2196" spans="1:7">
      <c r="A2196" t="s">
        <v>3799</v>
      </c>
      <c r="B2196" s="2">
        <v>45797</v>
      </c>
      <c r="C2196" t="s">
        <v>106</v>
      </c>
      <c r="D2196" t="s">
        <v>1629</v>
      </c>
      <c r="E2196">
        <v>330.63</v>
      </c>
      <c r="F2196" t="s">
        <v>1578</v>
      </c>
      <c r="G2196" t="s">
        <v>1242</v>
      </c>
    </row>
    <row r="2197" spans="1:7">
      <c r="A2197" t="s">
        <v>3800</v>
      </c>
      <c r="B2197" s="2">
        <v>45797</v>
      </c>
      <c r="C2197" t="s">
        <v>108</v>
      </c>
      <c r="D2197" t="s">
        <v>1629</v>
      </c>
      <c r="E2197">
        <v>651.63</v>
      </c>
      <c r="F2197" t="s">
        <v>1578</v>
      </c>
      <c r="G2197" t="s">
        <v>1242</v>
      </c>
    </row>
    <row r="2198" spans="1:7">
      <c r="A2198" t="s">
        <v>3801</v>
      </c>
      <c r="B2198" s="2">
        <v>45797</v>
      </c>
      <c r="C2198" t="s">
        <v>110</v>
      </c>
      <c r="D2198" t="s">
        <v>1629</v>
      </c>
      <c r="E2198">
        <v>327.42</v>
      </c>
      <c r="F2198" t="s">
        <v>1578</v>
      </c>
      <c r="G2198" t="s">
        <v>1242</v>
      </c>
    </row>
    <row r="2199" spans="1:7">
      <c r="A2199" t="s">
        <v>3802</v>
      </c>
      <c r="B2199" s="2">
        <v>45797</v>
      </c>
      <c r="C2199" t="s">
        <v>114</v>
      </c>
      <c r="D2199" t="s">
        <v>1629</v>
      </c>
      <c r="E2199">
        <v>324.20999999999998</v>
      </c>
      <c r="F2199" t="s">
        <v>1578</v>
      </c>
      <c r="G2199" t="s">
        <v>1242</v>
      </c>
    </row>
    <row r="2200" spans="1:7">
      <c r="A2200" t="s">
        <v>3803</v>
      </c>
      <c r="B2200" s="2">
        <v>45797</v>
      </c>
      <c r="C2200" t="s">
        <v>117</v>
      </c>
      <c r="D2200" t="s">
        <v>1629</v>
      </c>
      <c r="E2200">
        <v>322.60000000000002</v>
      </c>
      <c r="F2200" t="s">
        <v>1578</v>
      </c>
      <c r="G2200" t="s">
        <v>1242</v>
      </c>
    </row>
    <row r="2201" spans="1:7">
      <c r="A2201" t="s">
        <v>3804</v>
      </c>
      <c r="B2201" s="2">
        <v>45797</v>
      </c>
      <c r="C2201" t="s">
        <v>119</v>
      </c>
      <c r="D2201" t="s">
        <v>1629</v>
      </c>
      <c r="E2201">
        <v>324.20999999999998</v>
      </c>
      <c r="F2201" t="s">
        <v>1578</v>
      </c>
      <c r="G2201" t="s">
        <v>1242</v>
      </c>
    </row>
    <row r="2202" spans="1:7">
      <c r="A2202" t="s">
        <v>3805</v>
      </c>
      <c r="B2202" s="2">
        <v>45797</v>
      </c>
      <c r="C2202" t="s">
        <v>75</v>
      </c>
      <c r="D2202" t="s">
        <v>1629</v>
      </c>
      <c r="E2202">
        <v>286.83999999999997</v>
      </c>
      <c r="F2202" t="s">
        <v>1578</v>
      </c>
      <c r="G2202" t="s">
        <v>1243</v>
      </c>
    </row>
    <row r="2203" spans="1:7">
      <c r="A2203" t="s">
        <v>3806</v>
      </c>
      <c r="B2203" s="2">
        <v>45797</v>
      </c>
      <c r="C2203" t="s">
        <v>91</v>
      </c>
      <c r="D2203" t="s">
        <v>1629</v>
      </c>
      <c r="E2203">
        <v>291.10000000000002</v>
      </c>
      <c r="F2203" t="s">
        <v>1578</v>
      </c>
      <c r="G2203" t="s">
        <v>1243</v>
      </c>
    </row>
    <row r="2204" spans="1:7">
      <c r="A2204" t="s">
        <v>3807</v>
      </c>
      <c r="B2204" s="2">
        <v>45797</v>
      </c>
      <c r="C2204" t="s">
        <v>93</v>
      </c>
      <c r="D2204" t="s">
        <v>1629</v>
      </c>
      <c r="E2204">
        <v>289.68</v>
      </c>
      <c r="F2204" t="s">
        <v>1578</v>
      </c>
      <c r="G2204" t="s">
        <v>1243</v>
      </c>
    </row>
    <row r="2205" spans="1:7">
      <c r="A2205" t="s">
        <v>3808</v>
      </c>
      <c r="B2205" s="2">
        <v>45797</v>
      </c>
      <c r="C2205" t="s">
        <v>95</v>
      </c>
      <c r="D2205" t="s">
        <v>1629</v>
      </c>
      <c r="E2205">
        <v>288.26</v>
      </c>
      <c r="F2205" t="s">
        <v>1578</v>
      </c>
      <c r="G2205" t="s">
        <v>1243</v>
      </c>
    </row>
    <row r="2206" spans="1:7">
      <c r="A2206" t="s">
        <v>3809</v>
      </c>
      <c r="B2206" s="2">
        <v>45797</v>
      </c>
      <c r="C2206" t="s">
        <v>97</v>
      </c>
      <c r="D2206" t="s">
        <v>1629</v>
      </c>
      <c r="E2206">
        <v>286.83999999999997</v>
      </c>
      <c r="F2206" t="s">
        <v>1578</v>
      </c>
      <c r="G2206" t="s">
        <v>1243</v>
      </c>
    </row>
    <row r="2207" spans="1:7">
      <c r="A2207" t="s">
        <v>3810</v>
      </c>
      <c r="B2207" s="2">
        <v>45797</v>
      </c>
      <c r="C2207" t="s">
        <v>99</v>
      </c>
      <c r="D2207" t="s">
        <v>1629</v>
      </c>
      <c r="E2207">
        <v>351.02</v>
      </c>
      <c r="F2207" t="s">
        <v>1578</v>
      </c>
      <c r="G2207" t="s">
        <v>1243</v>
      </c>
    </row>
    <row r="2208" spans="1:7">
      <c r="A2208" t="s">
        <v>3811</v>
      </c>
      <c r="B2208" s="2">
        <v>45797</v>
      </c>
      <c r="C2208" t="s">
        <v>102</v>
      </c>
      <c r="D2208" t="s">
        <v>1629</v>
      </c>
      <c r="E2208">
        <v>289.68</v>
      </c>
      <c r="F2208" t="s">
        <v>1578</v>
      </c>
      <c r="G2208" t="s">
        <v>1243</v>
      </c>
    </row>
    <row r="2209" spans="1:7">
      <c r="A2209" t="s">
        <v>3812</v>
      </c>
      <c r="B2209" s="2">
        <v>45797</v>
      </c>
      <c r="C2209" t="s">
        <v>108</v>
      </c>
      <c r="D2209" t="s">
        <v>1629</v>
      </c>
      <c r="E2209">
        <v>576.52</v>
      </c>
      <c r="F2209" t="s">
        <v>1578</v>
      </c>
      <c r="G2209" t="s">
        <v>1243</v>
      </c>
    </row>
    <row r="2210" spans="1:7">
      <c r="A2210" t="s">
        <v>3813</v>
      </c>
      <c r="B2210" s="2">
        <v>45797</v>
      </c>
      <c r="C2210" t="s">
        <v>110</v>
      </c>
      <c r="D2210" t="s">
        <v>1629</v>
      </c>
      <c r="E2210">
        <v>289.68</v>
      </c>
      <c r="F2210" t="s">
        <v>1578</v>
      </c>
      <c r="G2210" t="s">
        <v>1243</v>
      </c>
    </row>
    <row r="2211" spans="1:7">
      <c r="A2211" t="s">
        <v>3814</v>
      </c>
      <c r="B2211" s="2">
        <v>45797</v>
      </c>
      <c r="C2211" t="s">
        <v>114</v>
      </c>
      <c r="D2211" t="s">
        <v>1629</v>
      </c>
      <c r="E2211">
        <v>286.83999999999997</v>
      </c>
      <c r="F2211" t="s">
        <v>1578</v>
      </c>
      <c r="G2211" t="s">
        <v>1243</v>
      </c>
    </row>
    <row r="2212" spans="1:7">
      <c r="A2212" t="s">
        <v>3815</v>
      </c>
      <c r="B2212" s="2">
        <v>45797</v>
      </c>
      <c r="C2212" t="s">
        <v>117</v>
      </c>
      <c r="D2212" t="s">
        <v>1629</v>
      </c>
      <c r="E2212">
        <v>285.42</v>
      </c>
      <c r="F2212" t="s">
        <v>1578</v>
      </c>
      <c r="G2212" t="s">
        <v>1243</v>
      </c>
    </row>
    <row r="2213" spans="1:7">
      <c r="A2213" t="s">
        <v>3816</v>
      </c>
      <c r="B2213" s="2">
        <v>45797</v>
      </c>
      <c r="C2213" t="s">
        <v>119</v>
      </c>
      <c r="D2213" t="s">
        <v>1629</v>
      </c>
      <c r="E2213">
        <v>286.83999999999997</v>
      </c>
      <c r="F2213" t="s">
        <v>1578</v>
      </c>
      <c r="G2213" t="s">
        <v>1243</v>
      </c>
    </row>
    <row r="2214" spans="1:7">
      <c r="A2214" t="s">
        <v>3817</v>
      </c>
      <c r="B2214" s="2">
        <v>45797</v>
      </c>
      <c r="C2214" t="s">
        <v>61</v>
      </c>
      <c r="D2214" t="s">
        <v>1629</v>
      </c>
      <c r="E2214">
        <v>263.16000000000003</v>
      </c>
      <c r="F2214" t="s">
        <v>1578</v>
      </c>
      <c r="G2214" t="s">
        <v>1244</v>
      </c>
    </row>
    <row r="2215" spans="1:7">
      <c r="A2215" t="s">
        <v>3818</v>
      </c>
      <c r="B2215" s="2">
        <v>45797</v>
      </c>
      <c r="C2215" t="s">
        <v>65</v>
      </c>
      <c r="D2215" t="s">
        <v>1629</v>
      </c>
      <c r="E2215">
        <v>261.87</v>
      </c>
      <c r="F2215" t="s">
        <v>1578</v>
      </c>
      <c r="G2215" t="s">
        <v>1244</v>
      </c>
    </row>
    <row r="2216" spans="1:7">
      <c r="A2216" t="s">
        <v>3819</v>
      </c>
      <c r="B2216" s="2">
        <v>45797</v>
      </c>
      <c r="C2216" t="s">
        <v>68</v>
      </c>
      <c r="D2216" t="s">
        <v>1629</v>
      </c>
      <c r="E2216">
        <v>263.16000000000003</v>
      </c>
      <c r="F2216" t="s">
        <v>1578</v>
      </c>
      <c r="G2216" t="s">
        <v>1244</v>
      </c>
    </row>
    <row r="2217" spans="1:7">
      <c r="A2217" t="s">
        <v>3820</v>
      </c>
      <c r="B2217" s="2">
        <v>45797</v>
      </c>
      <c r="C2217" t="s">
        <v>75</v>
      </c>
      <c r="D2217" t="s">
        <v>1629</v>
      </c>
      <c r="E2217">
        <v>260.58</v>
      </c>
      <c r="F2217" t="s">
        <v>1578</v>
      </c>
      <c r="G2217" t="s">
        <v>1244</v>
      </c>
    </row>
    <row r="2218" spans="1:7">
      <c r="A2218" t="s">
        <v>3821</v>
      </c>
      <c r="B2218" s="2">
        <v>45797</v>
      </c>
      <c r="C2218" t="s">
        <v>79</v>
      </c>
      <c r="D2218" t="s">
        <v>1629</v>
      </c>
      <c r="E2218">
        <v>263.16000000000003</v>
      </c>
      <c r="F2218" t="s">
        <v>1578</v>
      </c>
      <c r="G2218" t="s">
        <v>1244</v>
      </c>
    </row>
    <row r="2219" spans="1:7">
      <c r="A2219" t="s">
        <v>3822</v>
      </c>
      <c r="B2219" s="2">
        <v>45797</v>
      </c>
      <c r="C2219" t="s">
        <v>81</v>
      </c>
      <c r="D2219" t="s">
        <v>1629</v>
      </c>
      <c r="E2219">
        <v>521.16</v>
      </c>
      <c r="F2219" t="s">
        <v>1578</v>
      </c>
      <c r="G2219" t="s">
        <v>1244</v>
      </c>
    </row>
    <row r="2220" spans="1:7">
      <c r="A2220" t="s">
        <v>3823</v>
      </c>
      <c r="B2220" s="2">
        <v>45797</v>
      </c>
      <c r="C2220" t="s">
        <v>110</v>
      </c>
      <c r="D2220" t="s">
        <v>1629</v>
      </c>
      <c r="E2220">
        <v>263.16000000000003</v>
      </c>
      <c r="F2220" t="s">
        <v>1578</v>
      </c>
      <c r="G2220" t="s">
        <v>1244</v>
      </c>
    </row>
    <row r="2221" spans="1:7">
      <c r="A2221" t="s">
        <v>3824</v>
      </c>
      <c r="B2221" s="2">
        <v>45797</v>
      </c>
      <c r="C2221" t="s">
        <v>114</v>
      </c>
      <c r="D2221" t="s">
        <v>1629</v>
      </c>
      <c r="E2221">
        <v>260.58</v>
      </c>
      <c r="F2221" t="s">
        <v>1578</v>
      </c>
      <c r="G2221" t="s">
        <v>1244</v>
      </c>
    </row>
    <row r="2222" spans="1:7">
      <c r="A2222" t="s">
        <v>3825</v>
      </c>
      <c r="B2222" s="2">
        <v>45797</v>
      </c>
      <c r="C2222" t="s">
        <v>117</v>
      </c>
      <c r="D2222" t="s">
        <v>1629</v>
      </c>
      <c r="E2222">
        <v>259.29000000000002</v>
      </c>
      <c r="F2222" t="s">
        <v>1578</v>
      </c>
      <c r="G2222" t="s">
        <v>1244</v>
      </c>
    </row>
    <row r="2223" spans="1:7">
      <c r="A2223" t="s">
        <v>3826</v>
      </c>
      <c r="B2223" s="2">
        <v>45797</v>
      </c>
      <c r="C2223" t="s">
        <v>119</v>
      </c>
      <c r="D2223" t="s">
        <v>1629</v>
      </c>
      <c r="E2223">
        <v>260.58</v>
      </c>
      <c r="F2223" t="s">
        <v>1578</v>
      </c>
      <c r="G2223" t="s">
        <v>1244</v>
      </c>
    </row>
    <row r="2224" spans="1:7">
      <c r="A2224" t="s">
        <v>3827</v>
      </c>
      <c r="B2224" s="2">
        <v>45797</v>
      </c>
      <c r="C2224" t="s">
        <v>61</v>
      </c>
      <c r="D2224" t="s">
        <v>1629</v>
      </c>
      <c r="E2224">
        <v>167.28</v>
      </c>
      <c r="F2224" t="s">
        <v>1578</v>
      </c>
      <c r="G2224" t="s">
        <v>1245</v>
      </c>
    </row>
    <row r="2225" spans="1:7">
      <c r="A2225" t="s">
        <v>3828</v>
      </c>
      <c r="B2225" s="2">
        <v>45797</v>
      </c>
      <c r="C2225" t="s">
        <v>65</v>
      </c>
      <c r="D2225" t="s">
        <v>1629</v>
      </c>
      <c r="E2225">
        <v>166.46</v>
      </c>
      <c r="F2225" t="s">
        <v>1578</v>
      </c>
      <c r="G2225" t="s">
        <v>1245</v>
      </c>
    </row>
    <row r="2226" spans="1:7">
      <c r="A2226" t="s">
        <v>3829</v>
      </c>
      <c r="B2226" s="2">
        <v>45797</v>
      </c>
      <c r="C2226" t="s">
        <v>68</v>
      </c>
      <c r="D2226" t="s">
        <v>1629</v>
      </c>
      <c r="E2226">
        <v>167.28</v>
      </c>
      <c r="F2226" t="s">
        <v>1578</v>
      </c>
      <c r="G2226" t="s">
        <v>1245</v>
      </c>
    </row>
    <row r="2227" spans="1:7">
      <c r="A2227" t="s">
        <v>3830</v>
      </c>
      <c r="B2227" s="2">
        <v>45797</v>
      </c>
      <c r="C2227" t="s">
        <v>70</v>
      </c>
      <c r="D2227" t="s">
        <v>1629</v>
      </c>
      <c r="E2227">
        <v>165.64</v>
      </c>
      <c r="F2227" t="s">
        <v>1578</v>
      </c>
      <c r="G2227" t="s">
        <v>1245</v>
      </c>
    </row>
    <row r="2228" spans="1:7">
      <c r="A2228" t="s">
        <v>3831</v>
      </c>
      <c r="B2228" s="2">
        <v>45797</v>
      </c>
      <c r="C2228" t="s">
        <v>75</v>
      </c>
      <c r="D2228" t="s">
        <v>1629</v>
      </c>
      <c r="E2228">
        <v>165.64</v>
      </c>
      <c r="F2228" t="s">
        <v>1578</v>
      </c>
      <c r="G2228" t="s">
        <v>1245</v>
      </c>
    </row>
    <row r="2229" spans="1:7">
      <c r="A2229" t="s">
        <v>3832</v>
      </c>
      <c r="B2229" s="2">
        <v>45797</v>
      </c>
      <c r="C2229" t="s">
        <v>77</v>
      </c>
      <c r="D2229" t="s">
        <v>1629</v>
      </c>
      <c r="E2229">
        <v>165.64</v>
      </c>
      <c r="F2229" t="s">
        <v>1578</v>
      </c>
      <c r="G2229" t="s">
        <v>1245</v>
      </c>
    </row>
    <row r="2230" spans="1:7">
      <c r="A2230" t="s">
        <v>3833</v>
      </c>
      <c r="B2230" s="2">
        <v>45797</v>
      </c>
      <c r="C2230" t="s">
        <v>79</v>
      </c>
      <c r="D2230" t="s">
        <v>1629</v>
      </c>
      <c r="E2230">
        <v>167.28</v>
      </c>
      <c r="F2230" t="s">
        <v>1578</v>
      </c>
      <c r="G2230" t="s">
        <v>1245</v>
      </c>
    </row>
    <row r="2231" spans="1:7">
      <c r="A2231" t="s">
        <v>3834</v>
      </c>
      <c r="B2231" s="2">
        <v>45797</v>
      </c>
      <c r="C2231" t="s">
        <v>81</v>
      </c>
      <c r="D2231" t="s">
        <v>1629</v>
      </c>
      <c r="E2231">
        <v>331.28</v>
      </c>
      <c r="F2231" t="s">
        <v>1578</v>
      </c>
      <c r="G2231" t="s">
        <v>1245</v>
      </c>
    </row>
    <row r="2232" spans="1:7">
      <c r="A2232" t="s">
        <v>3835</v>
      </c>
      <c r="B2232" s="2">
        <v>45797</v>
      </c>
      <c r="C2232" t="s">
        <v>108</v>
      </c>
      <c r="D2232" t="s">
        <v>1629</v>
      </c>
      <c r="E2232">
        <v>332.92</v>
      </c>
      <c r="F2232" t="s">
        <v>1578</v>
      </c>
      <c r="G2232" t="s">
        <v>1245</v>
      </c>
    </row>
    <row r="2233" spans="1:7">
      <c r="A2233" t="s">
        <v>3836</v>
      </c>
      <c r="B2233" s="2">
        <v>45797</v>
      </c>
      <c r="C2233" t="s">
        <v>110</v>
      </c>
      <c r="D2233" t="s">
        <v>1629</v>
      </c>
      <c r="E2233">
        <v>167.28</v>
      </c>
      <c r="F2233" t="s">
        <v>1578</v>
      </c>
      <c r="G2233" t="s">
        <v>1245</v>
      </c>
    </row>
    <row r="2234" spans="1:7">
      <c r="A2234" t="s">
        <v>3837</v>
      </c>
      <c r="B2234" s="2">
        <v>45797</v>
      </c>
      <c r="C2234" t="s">
        <v>114</v>
      </c>
      <c r="D2234" t="s">
        <v>1629</v>
      </c>
      <c r="E2234">
        <v>165.64</v>
      </c>
      <c r="F2234" t="s">
        <v>1578</v>
      </c>
      <c r="G2234" t="s">
        <v>1245</v>
      </c>
    </row>
    <row r="2235" spans="1:7">
      <c r="A2235" t="s">
        <v>3838</v>
      </c>
      <c r="B2235" s="2">
        <v>45797</v>
      </c>
      <c r="C2235" t="s">
        <v>117</v>
      </c>
      <c r="D2235" t="s">
        <v>1629</v>
      </c>
      <c r="E2235">
        <v>164.82</v>
      </c>
      <c r="F2235" t="s">
        <v>1578</v>
      </c>
      <c r="G2235" t="s">
        <v>1245</v>
      </c>
    </row>
    <row r="2236" spans="1:7">
      <c r="A2236" t="s">
        <v>3839</v>
      </c>
      <c r="B2236" s="2">
        <v>45797</v>
      </c>
      <c r="C2236" t="s">
        <v>119</v>
      </c>
      <c r="D2236" t="s">
        <v>1629</v>
      </c>
      <c r="E2236">
        <v>165.64</v>
      </c>
      <c r="F2236" t="s">
        <v>1578</v>
      </c>
      <c r="G2236" t="s">
        <v>1245</v>
      </c>
    </row>
    <row r="2237" spans="1:7">
      <c r="A2237" t="s">
        <v>3840</v>
      </c>
      <c r="B2237" s="2">
        <v>45797</v>
      </c>
      <c r="C2237" t="s">
        <v>117</v>
      </c>
      <c r="D2237" t="s">
        <v>1683</v>
      </c>
      <c r="E2237">
        <v>458</v>
      </c>
      <c r="F2237" t="s">
        <v>1578</v>
      </c>
      <c r="G2237" t="s">
        <v>613</v>
      </c>
    </row>
    <row r="2238" spans="1:7">
      <c r="A2238" t="s">
        <v>3841</v>
      </c>
      <c r="B2238" s="2">
        <v>45797</v>
      </c>
      <c r="C2238" t="s">
        <v>65</v>
      </c>
      <c r="D2238" t="s">
        <v>1683</v>
      </c>
      <c r="E2238">
        <v>87</v>
      </c>
      <c r="F2238" t="s">
        <v>1578</v>
      </c>
      <c r="G2238" t="s">
        <v>614</v>
      </c>
    </row>
    <row r="2239" spans="1:7">
      <c r="A2239" t="s">
        <v>3842</v>
      </c>
      <c r="B2239" s="2">
        <v>45798</v>
      </c>
      <c r="C2239" t="s">
        <v>75</v>
      </c>
      <c r="D2239" t="s">
        <v>1629</v>
      </c>
      <c r="E2239">
        <v>188.87</v>
      </c>
      <c r="F2239" t="s">
        <v>1578</v>
      </c>
      <c r="G2239" t="s">
        <v>1246</v>
      </c>
    </row>
    <row r="2240" spans="1:7">
      <c r="A2240" t="s">
        <v>3843</v>
      </c>
      <c r="B2240" s="2">
        <v>45798</v>
      </c>
      <c r="C2240" t="s">
        <v>91</v>
      </c>
      <c r="D2240" t="s">
        <v>1629</v>
      </c>
      <c r="E2240">
        <v>191.68</v>
      </c>
      <c r="F2240" t="s">
        <v>1578</v>
      </c>
      <c r="G2240" t="s">
        <v>1246</v>
      </c>
    </row>
    <row r="2241" spans="1:7">
      <c r="A2241" t="s">
        <v>3844</v>
      </c>
      <c r="B2241" s="2">
        <v>45798</v>
      </c>
      <c r="C2241" t="s">
        <v>93</v>
      </c>
      <c r="D2241" t="s">
        <v>1629</v>
      </c>
      <c r="E2241">
        <v>190.74</v>
      </c>
      <c r="F2241" t="s">
        <v>1578</v>
      </c>
      <c r="G2241" t="s">
        <v>1246</v>
      </c>
    </row>
    <row r="2242" spans="1:7">
      <c r="A2242" t="s">
        <v>3845</v>
      </c>
      <c r="B2242" s="2">
        <v>45798</v>
      </c>
      <c r="C2242" t="s">
        <v>95</v>
      </c>
      <c r="D2242" t="s">
        <v>1629</v>
      </c>
      <c r="E2242">
        <v>189.8</v>
      </c>
      <c r="F2242" t="s">
        <v>1578</v>
      </c>
      <c r="G2242" t="s">
        <v>1246</v>
      </c>
    </row>
    <row r="2243" spans="1:7">
      <c r="A2243" t="s">
        <v>3846</v>
      </c>
      <c r="B2243" s="2">
        <v>45798</v>
      </c>
      <c r="C2243" t="s">
        <v>97</v>
      </c>
      <c r="D2243" t="s">
        <v>1629</v>
      </c>
      <c r="E2243">
        <v>188.87</v>
      </c>
      <c r="F2243" t="s">
        <v>1578</v>
      </c>
      <c r="G2243" t="s">
        <v>1246</v>
      </c>
    </row>
    <row r="2244" spans="1:7">
      <c r="A2244" t="s">
        <v>3847</v>
      </c>
      <c r="B2244" s="2">
        <v>45798</v>
      </c>
      <c r="C2244" t="s">
        <v>99</v>
      </c>
      <c r="D2244" t="s">
        <v>1629</v>
      </c>
      <c r="E2244">
        <v>231.13</v>
      </c>
      <c r="F2244" t="s">
        <v>1578</v>
      </c>
      <c r="G2244" t="s">
        <v>1246</v>
      </c>
    </row>
    <row r="2245" spans="1:7">
      <c r="A2245" t="s">
        <v>3848</v>
      </c>
      <c r="B2245" s="2">
        <v>45798</v>
      </c>
      <c r="C2245" t="s">
        <v>102</v>
      </c>
      <c r="D2245" t="s">
        <v>1629</v>
      </c>
      <c r="E2245">
        <v>190.74</v>
      </c>
      <c r="F2245" t="s">
        <v>1578</v>
      </c>
      <c r="G2245" t="s">
        <v>1246</v>
      </c>
    </row>
    <row r="2246" spans="1:7">
      <c r="A2246" t="s">
        <v>3849</v>
      </c>
      <c r="B2246" s="2">
        <v>45798</v>
      </c>
      <c r="C2246" t="s">
        <v>108</v>
      </c>
      <c r="D2246" t="s">
        <v>1629</v>
      </c>
      <c r="E2246">
        <v>379.61</v>
      </c>
      <c r="F2246" t="s">
        <v>1578</v>
      </c>
      <c r="G2246" t="s">
        <v>1246</v>
      </c>
    </row>
    <row r="2247" spans="1:7">
      <c r="A2247" t="s">
        <v>3850</v>
      </c>
      <c r="B2247" s="2">
        <v>45798</v>
      </c>
      <c r="C2247" t="s">
        <v>110</v>
      </c>
      <c r="D2247" t="s">
        <v>1629</v>
      </c>
      <c r="E2247">
        <v>190.74</v>
      </c>
      <c r="F2247" t="s">
        <v>1578</v>
      </c>
      <c r="G2247" t="s">
        <v>1246</v>
      </c>
    </row>
    <row r="2248" spans="1:7">
      <c r="A2248" t="s">
        <v>3851</v>
      </c>
      <c r="B2248" s="2">
        <v>45798</v>
      </c>
      <c r="C2248" t="s">
        <v>114</v>
      </c>
      <c r="D2248" t="s">
        <v>1629</v>
      </c>
      <c r="E2248">
        <v>188.87</v>
      </c>
      <c r="F2248" t="s">
        <v>1578</v>
      </c>
      <c r="G2248" t="s">
        <v>1246</v>
      </c>
    </row>
    <row r="2249" spans="1:7">
      <c r="A2249" t="s">
        <v>3852</v>
      </c>
      <c r="B2249" s="2">
        <v>45798</v>
      </c>
      <c r="C2249" t="s">
        <v>117</v>
      </c>
      <c r="D2249" t="s">
        <v>1629</v>
      </c>
      <c r="E2249">
        <v>187.93</v>
      </c>
      <c r="F2249" t="s">
        <v>1578</v>
      </c>
      <c r="G2249" t="s">
        <v>1246</v>
      </c>
    </row>
    <row r="2250" spans="1:7">
      <c r="A2250" t="s">
        <v>3853</v>
      </c>
      <c r="B2250" s="2">
        <v>45798</v>
      </c>
      <c r="C2250" t="s">
        <v>119</v>
      </c>
      <c r="D2250" t="s">
        <v>1629</v>
      </c>
      <c r="E2250">
        <v>188.87</v>
      </c>
      <c r="F2250" t="s">
        <v>1578</v>
      </c>
      <c r="G2250" t="s">
        <v>1246</v>
      </c>
    </row>
    <row r="2251" spans="1:7">
      <c r="A2251" t="s">
        <v>3854</v>
      </c>
      <c r="B2251" s="2">
        <v>45798</v>
      </c>
      <c r="C2251" t="s">
        <v>87</v>
      </c>
      <c r="D2251" t="s">
        <v>1683</v>
      </c>
      <c r="E2251">
        <v>143</v>
      </c>
      <c r="F2251" t="s">
        <v>1578</v>
      </c>
      <c r="G2251" t="s">
        <v>615</v>
      </c>
    </row>
    <row r="2252" spans="1:7">
      <c r="A2252" t="s">
        <v>3855</v>
      </c>
      <c r="B2252" s="2">
        <v>45798</v>
      </c>
      <c r="C2252" t="s">
        <v>91</v>
      </c>
      <c r="D2252" t="s">
        <v>1683</v>
      </c>
      <c r="E2252">
        <v>107</v>
      </c>
      <c r="F2252" t="s">
        <v>1578</v>
      </c>
      <c r="G2252" t="s">
        <v>616</v>
      </c>
    </row>
    <row r="2253" spans="1:7">
      <c r="A2253" t="s">
        <v>3856</v>
      </c>
      <c r="B2253" s="2">
        <v>45798</v>
      </c>
      <c r="C2253" t="s">
        <v>81</v>
      </c>
      <c r="D2253" t="s">
        <v>1683</v>
      </c>
      <c r="E2253">
        <v>278</v>
      </c>
      <c r="F2253" t="s">
        <v>1578</v>
      </c>
      <c r="G2253" t="s">
        <v>617</v>
      </c>
    </row>
    <row r="2254" spans="1:7">
      <c r="A2254" t="s">
        <v>3857</v>
      </c>
      <c r="B2254" s="2">
        <v>45799</v>
      </c>
      <c r="C2254" t="s">
        <v>110</v>
      </c>
      <c r="D2254" t="s">
        <v>1683</v>
      </c>
      <c r="E2254">
        <v>395</v>
      </c>
      <c r="F2254" t="s">
        <v>1578</v>
      </c>
      <c r="G2254" t="s">
        <v>618</v>
      </c>
    </row>
    <row r="2255" spans="1:7">
      <c r="A2255" t="s">
        <v>3858</v>
      </c>
      <c r="B2255" s="2">
        <v>45799</v>
      </c>
      <c r="C2255" t="s">
        <v>108</v>
      </c>
      <c r="D2255" t="s">
        <v>1683</v>
      </c>
      <c r="E2255">
        <v>234</v>
      </c>
      <c r="F2255" t="s">
        <v>1578</v>
      </c>
      <c r="G2255" t="s">
        <v>619</v>
      </c>
    </row>
    <row r="2256" spans="1:7">
      <c r="A2256" t="s">
        <v>3859</v>
      </c>
      <c r="B2256" s="2">
        <v>45800</v>
      </c>
      <c r="C2256" t="s">
        <v>61</v>
      </c>
      <c r="D2256" t="s">
        <v>1629</v>
      </c>
      <c r="E2256">
        <v>208.08</v>
      </c>
      <c r="F2256" t="s">
        <v>1578</v>
      </c>
      <c r="G2256" t="s">
        <v>1247</v>
      </c>
    </row>
    <row r="2257" spans="1:7">
      <c r="A2257" t="s">
        <v>3860</v>
      </c>
      <c r="B2257" s="2">
        <v>45800</v>
      </c>
      <c r="C2257" t="s">
        <v>65</v>
      </c>
      <c r="D2257" t="s">
        <v>1629</v>
      </c>
      <c r="E2257">
        <v>207.06</v>
      </c>
      <c r="F2257" t="s">
        <v>1578</v>
      </c>
      <c r="G2257" t="s">
        <v>1247</v>
      </c>
    </row>
    <row r="2258" spans="1:7">
      <c r="A2258" t="s">
        <v>3861</v>
      </c>
      <c r="B2258" s="2">
        <v>45800</v>
      </c>
      <c r="C2258" t="s">
        <v>68</v>
      </c>
      <c r="D2258" t="s">
        <v>1629</v>
      </c>
      <c r="E2258">
        <v>208.08</v>
      </c>
      <c r="F2258" t="s">
        <v>1578</v>
      </c>
      <c r="G2258" t="s">
        <v>1247</v>
      </c>
    </row>
    <row r="2259" spans="1:7">
      <c r="A2259" t="s">
        <v>3862</v>
      </c>
      <c r="B2259" s="2">
        <v>45800</v>
      </c>
      <c r="C2259" t="s">
        <v>70</v>
      </c>
      <c r="D2259" t="s">
        <v>1629</v>
      </c>
      <c r="E2259">
        <v>206.04</v>
      </c>
      <c r="F2259" t="s">
        <v>1578</v>
      </c>
      <c r="G2259" t="s">
        <v>1247</v>
      </c>
    </row>
    <row r="2260" spans="1:7">
      <c r="A2260" t="s">
        <v>3863</v>
      </c>
      <c r="B2260" s="2">
        <v>45800</v>
      </c>
      <c r="C2260" t="s">
        <v>75</v>
      </c>
      <c r="D2260" t="s">
        <v>1629</v>
      </c>
      <c r="E2260">
        <v>206.04</v>
      </c>
      <c r="F2260" t="s">
        <v>1578</v>
      </c>
      <c r="G2260" t="s">
        <v>1247</v>
      </c>
    </row>
    <row r="2261" spans="1:7">
      <c r="A2261" t="s">
        <v>3864</v>
      </c>
      <c r="B2261" s="2">
        <v>45800</v>
      </c>
      <c r="C2261" t="s">
        <v>77</v>
      </c>
      <c r="D2261" t="s">
        <v>1629</v>
      </c>
      <c r="E2261">
        <v>206.04</v>
      </c>
      <c r="F2261" t="s">
        <v>1578</v>
      </c>
      <c r="G2261" t="s">
        <v>1247</v>
      </c>
    </row>
    <row r="2262" spans="1:7">
      <c r="A2262" t="s">
        <v>3865</v>
      </c>
      <c r="B2262" s="2">
        <v>45800</v>
      </c>
      <c r="C2262" t="s">
        <v>79</v>
      </c>
      <c r="D2262" t="s">
        <v>1629</v>
      </c>
      <c r="E2262">
        <v>208.08</v>
      </c>
      <c r="F2262" t="s">
        <v>1578</v>
      </c>
      <c r="G2262" t="s">
        <v>1247</v>
      </c>
    </row>
    <row r="2263" spans="1:7">
      <c r="A2263" t="s">
        <v>3866</v>
      </c>
      <c r="B2263" s="2">
        <v>45800</v>
      </c>
      <c r="C2263" t="s">
        <v>81</v>
      </c>
      <c r="D2263" t="s">
        <v>1629</v>
      </c>
      <c r="E2263">
        <v>412.08</v>
      </c>
      <c r="F2263" t="s">
        <v>1578</v>
      </c>
      <c r="G2263" t="s">
        <v>1247</v>
      </c>
    </row>
    <row r="2264" spans="1:7">
      <c r="A2264" t="s">
        <v>3867</v>
      </c>
      <c r="B2264" s="2">
        <v>45800</v>
      </c>
      <c r="C2264" t="s">
        <v>108</v>
      </c>
      <c r="D2264" t="s">
        <v>1629</v>
      </c>
      <c r="E2264">
        <v>414.12</v>
      </c>
      <c r="F2264" t="s">
        <v>1578</v>
      </c>
      <c r="G2264" t="s">
        <v>1247</v>
      </c>
    </row>
    <row r="2265" spans="1:7">
      <c r="A2265" t="s">
        <v>3868</v>
      </c>
      <c r="B2265" s="2">
        <v>45800</v>
      </c>
      <c r="C2265" t="s">
        <v>110</v>
      </c>
      <c r="D2265" t="s">
        <v>1629</v>
      </c>
      <c r="E2265">
        <v>208.08</v>
      </c>
      <c r="F2265" t="s">
        <v>1578</v>
      </c>
      <c r="G2265" t="s">
        <v>1247</v>
      </c>
    </row>
    <row r="2266" spans="1:7">
      <c r="A2266" t="s">
        <v>3869</v>
      </c>
      <c r="B2266" s="2">
        <v>45800</v>
      </c>
      <c r="C2266" t="s">
        <v>114</v>
      </c>
      <c r="D2266" t="s">
        <v>1629</v>
      </c>
      <c r="E2266">
        <v>206.04</v>
      </c>
      <c r="F2266" t="s">
        <v>1578</v>
      </c>
      <c r="G2266" t="s">
        <v>1247</v>
      </c>
    </row>
    <row r="2267" spans="1:7">
      <c r="A2267" t="s">
        <v>3870</v>
      </c>
      <c r="B2267" s="2">
        <v>45800</v>
      </c>
      <c r="C2267" t="s">
        <v>117</v>
      </c>
      <c r="D2267" t="s">
        <v>1629</v>
      </c>
      <c r="E2267">
        <v>205.02</v>
      </c>
      <c r="F2267" t="s">
        <v>1578</v>
      </c>
      <c r="G2267" t="s">
        <v>1247</v>
      </c>
    </row>
    <row r="2268" spans="1:7">
      <c r="A2268" t="s">
        <v>3871</v>
      </c>
      <c r="B2268" s="2">
        <v>45800</v>
      </c>
      <c r="C2268" t="s">
        <v>119</v>
      </c>
      <c r="D2268" t="s">
        <v>1629</v>
      </c>
      <c r="E2268">
        <v>206.04</v>
      </c>
      <c r="F2268" t="s">
        <v>1578</v>
      </c>
      <c r="G2268" t="s">
        <v>1247</v>
      </c>
    </row>
    <row r="2269" spans="1:7">
      <c r="A2269" t="s">
        <v>3872</v>
      </c>
      <c r="B2269" s="2">
        <v>45801</v>
      </c>
      <c r="C2269" t="s">
        <v>73</v>
      </c>
      <c r="D2269" t="s">
        <v>1683</v>
      </c>
      <c r="E2269">
        <v>76</v>
      </c>
      <c r="F2269" t="s">
        <v>1578</v>
      </c>
      <c r="G2269" t="s">
        <v>622</v>
      </c>
    </row>
    <row r="2270" spans="1:7">
      <c r="A2270" t="s">
        <v>3873</v>
      </c>
      <c r="B2270" s="2">
        <v>45801</v>
      </c>
      <c r="C2270" t="s">
        <v>104</v>
      </c>
      <c r="D2270" t="s">
        <v>1683</v>
      </c>
      <c r="E2270">
        <v>263</v>
      </c>
      <c r="F2270" t="s">
        <v>1578</v>
      </c>
      <c r="G2270" t="s">
        <v>623</v>
      </c>
    </row>
    <row r="2271" spans="1:7">
      <c r="A2271" t="s">
        <v>3874</v>
      </c>
      <c r="B2271" s="2">
        <v>45801</v>
      </c>
      <c r="C2271" t="s">
        <v>68</v>
      </c>
      <c r="D2271" t="s">
        <v>1683</v>
      </c>
      <c r="E2271">
        <v>253</v>
      </c>
      <c r="F2271" t="s">
        <v>1578</v>
      </c>
      <c r="G2271" t="s">
        <v>624</v>
      </c>
    </row>
    <row r="2272" spans="1:7">
      <c r="A2272" t="s">
        <v>3875</v>
      </c>
      <c r="B2272" s="2">
        <v>45802</v>
      </c>
      <c r="C2272" t="s">
        <v>61</v>
      </c>
      <c r="D2272" t="s">
        <v>1629</v>
      </c>
      <c r="E2272">
        <v>94.86</v>
      </c>
      <c r="F2272" t="s">
        <v>1578</v>
      </c>
      <c r="G2272" t="s">
        <v>1248</v>
      </c>
    </row>
    <row r="2273" spans="1:7">
      <c r="A2273" t="s">
        <v>3876</v>
      </c>
      <c r="B2273" s="2">
        <v>45802</v>
      </c>
      <c r="C2273" t="s">
        <v>65</v>
      </c>
      <c r="D2273" t="s">
        <v>1629</v>
      </c>
      <c r="E2273">
        <v>94.4</v>
      </c>
      <c r="F2273" t="s">
        <v>1578</v>
      </c>
      <c r="G2273" t="s">
        <v>1248</v>
      </c>
    </row>
    <row r="2274" spans="1:7">
      <c r="A2274" t="s">
        <v>3877</v>
      </c>
      <c r="B2274" s="2">
        <v>45802</v>
      </c>
      <c r="C2274" t="s">
        <v>68</v>
      </c>
      <c r="D2274" t="s">
        <v>1629</v>
      </c>
      <c r="E2274">
        <v>94.86</v>
      </c>
      <c r="F2274" t="s">
        <v>1578</v>
      </c>
      <c r="G2274" t="s">
        <v>1248</v>
      </c>
    </row>
    <row r="2275" spans="1:7">
      <c r="A2275" t="s">
        <v>3878</v>
      </c>
      <c r="B2275" s="2">
        <v>45802</v>
      </c>
      <c r="C2275" t="s">
        <v>70</v>
      </c>
      <c r="D2275" t="s">
        <v>1629</v>
      </c>
      <c r="E2275">
        <v>93.93</v>
      </c>
      <c r="F2275" t="s">
        <v>1578</v>
      </c>
      <c r="G2275" t="s">
        <v>1248</v>
      </c>
    </row>
    <row r="2276" spans="1:7">
      <c r="A2276" t="s">
        <v>3879</v>
      </c>
      <c r="B2276" s="2">
        <v>45802</v>
      </c>
      <c r="C2276" t="s">
        <v>73</v>
      </c>
      <c r="D2276" t="s">
        <v>1629</v>
      </c>
      <c r="E2276">
        <v>94.86</v>
      </c>
      <c r="F2276" t="s">
        <v>1578</v>
      </c>
      <c r="G2276" t="s">
        <v>1248</v>
      </c>
    </row>
    <row r="2277" spans="1:7">
      <c r="A2277" t="s">
        <v>3880</v>
      </c>
      <c r="B2277" s="2">
        <v>45802</v>
      </c>
      <c r="C2277" t="s">
        <v>75</v>
      </c>
      <c r="D2277" t="s">
        <v>1629</v>
      </c>
      <c r="E2277">
        <v>93.93</v>
      </c>
      <c r="F2277" t="s">
        <v>1578</v>
      </c>
      <c r="G2277" t="s">
        <v>1248</v>
      </c>
    </row>
    <row r="2278" spans="1:7">
      <c r="A2278" t="s">
        <v>3881</v>
      </c>
      <c r="B2278" s="2">
        <v>45802</v>
      </c>
      <c r="C2278" t="s">
        <v>77</v>
      </c>
      <c r="D2278" t="s">
        <v>1629</v>
      </c>
      <c r="E2278">
        <v>93.93</v>
      </c>
      <c r="F2278" t="s">
        <v>1578</v>
      </c>
      <c r="G2278" t="s">
        <v>1248</v>
      </c>
    </row>
    <row r="2279" spans="1:7">
      <c r="A2279" t="s">
        <v>3882</v>
      </c>
      <c r="B2279" s="2">
        <v>45802</v>
      </c>
      <c r="C2279" t="s">
        <v>79</v>
      </c>
      <c r="D2279" t="s">
        <v>1629</v>
      </c>
      <c r="E2279">
        <v>94.86</v>
      </c>
      <c r="F2279" t="s">
        <v>1578</v>
      </c>
      <c r="G2279" t="s">
        <v>1248</v>
      </c>
    </row>
    <row r="2280" spans="1:7">
      <c r="A2280" t="s">
        <v>3883</v>
      </c>
      <c r="B2280" s="2">
        <v>45802</v>
      </c>
      <c r="C2280" t="s">
        <v>81</v>
      </c>
      <c r="D2280" t="s">
        <v>1629</v>
      </c>
      <c r="E2280">
        <v>187.86</v>
      </c>
      <c r="F2280" t="s">
        <v>1578</v>
      </c>
      <c r="G2280" t="s">
        <v>1248</v>
      </c>
    </row>
    <row r="2281" spans="1:7">
      <c r="A2281" t="s">
        <v>3884</v>
      </c>
      <c r="B2281" s="2">
        <v>45802</v>
      </c>
      <c r="C2281" t="s">
        <v>108</v>
      </c>
      <c r="D2281" t="s">
        <v>1629</v>
      </c>
      <c r="E2281">
        <v>188.79</v>
      </c>
      <c r="F2281" t="s">
        <v>1578</v>
      </c>
      <c r="G2281" t="s">
        <v>1248</v>
      </c>
    </row>
    <row r="2282" spans="1:7">
      <c r="A2282" t="s">
        <v>3885</v>
      </c>
      <c r="B2282" s="2">
        <v>45802</v>
      </c>
      <c r="C2282" t="s">
        <v>110</v>
      </c>
      <c r="D2282" t="s">
        <v>1629</v>
      </c>
      <c r="E2282">
        <v>94.86</v>
      </c>
      <c r="F2282" t="s">
        <v>1578</v>
      </c>
      <c r="G2282" t="s">
        <v>1248</v>
      </c>
    </row>
    <row r="2283" spans="1:7">
      <c r="A2283" t="s">
        <v>3886</v>
      </c>
      <c r="B2283" s="2">
        <v>45802</v>
      </c>
      <c r="C2283" t="s">
        <v>114</v>
      </c>
      <c r="D2283" t="s">
        <v>1629</v>
      </c>
      <c r="E2283">
        <v>93.93</v>
      </c>
      <c r="F2283" t="s">
        <v>1578</v>
      </c>
      <c r="G2283" t="s">
        <v>1248</v>
      </c>
    </row>
    <row r="2284" spans="1:7">
      <c r="A2284" t="s">
        <v>3887</v>
      </c>
      <c r="B2284" s="2">
        <v>45802</v>
      </c>
      <c r="C2284" t="s">
        <v>117</v>
      </c>
      <c r="D2284" t="s">
        <v>1629</v>
      </c>
      <c r="E2284">
        <v>93.46</v>
      </c>
      <c r="F2284" t="s">
        <v>1578</v>
      </c>
      <c r="G2284" t="s">
        <v>1248</v>
      </c>
    </row>
    <row r="2285" spans="1:7">
      <c r="A2285" t="s">
        <v>3888</v>
      </c>
      <c r="B2285" s="2">
        <v>45802</v>
      </c>
      <c r="C2285" t="s">
        <v>119</v>
      </c>
      <c r="D2285" t="s">
        <v>1629</v>
      </c>
      <c r="E2285">
        <v>93.93</v>
      </c>
      <c r="F2285" t="s">
        <v>1578</v>
      </c>
      <c r="G2285" t="s">
        <v>1248</v>
      </c>
    </row>
    <row r="2286" spans="1:7">
      <c r="A2286" t="s">
        <v>3889</v>
      </c>
      <c r="B2286" s="2">
        <v>45802</v>
      </c>
      <c r="C2286" t="s">
        <v>75</v>
      </c>
      <c r="D2286" t="s">
        <v>1629</v>
      </c>
      <c r="E2286">
        <v>87.87</v>
      </c>
      <c r="F2286" t="s">
        <v>1578</v>
      </c>
      <c r="G2286" t="s">
        <v>1249</v>
      </c>
    </row>
    <row r="2287" spans="1:7">
      <c r="A2287" t="s">
        <v>3890</v>
      </c>
      <c r="B2287" s="2">
        <v>45802</v>
      </c>
      <c r="C2287" t="s">
        <v>106</v>
      </c>
      <c r="D2287" t="s">
        <v>1629</v>
      </c>
      <c r="E2287">
        <v>89.61</v>
      </c>
      <c r="F2287" t="s">
        <v>1578</v>
      </c>
      <c r="G2287" t="s">
        <v>1249</v>
      </c>
    </row>
    <row r="2288" spans="1:7">
      <c r="A2288" t="s">
        <v>3891</v>
      </c>
      <c r="B2288" s="2">
        <v>45802</v>
      </c>
      <c r="C2288" t="s">
        <v>108</v>
      </c>
      <c r="D2288" t="s">
        <v>1629</v>
      </c>
      <c r="E2288">
        <v>176.61</v>
      </c>
      <c r="F2288" t="s">
        <v>1578</v>
      </c>
      <c r="G2288" t="s">
        <v>1249</v>
      </c>
    </row>
    <row r="2289" spans="1:7">
      <c r="A2289" t="s">
        <v>3892</v>
      </c>
      <c r="B2289" s="2">
        <v>45802</v>
      </c>
      <c r="C2289" t="s">
        <v>110</v>
      </c>
      <c r="D2289" t="s">
        <v>1629</v>
      </c>
      <c r="E2289">
        <v>88.74</v>
      </c>
      <c r="F2289" t="s">
        <v>1578</v>
      </c>
      <c r="G2289" t="s">
        <v>1249</v>
      </c>
    </row>
    <row r="2290" spans="1:7">
      <c r="A2290" t="s">
        <v>3893</v>
      </c>
      <c r="B2290" s="2">
        <v>45802</v>
      </c>
      <c r="C2290" t="s">
        <v>114</v>
      </c>
      <c r="D2290" t="s">
        <v>1629</v>
      </c>
      <c r="E2290">
        <v>87.87</v>
      </c>
      <c r="F2290" t="s">
        <v>1578</v>
      </c>
      <c r="G2290" t="s">
        <v>1249</v>
      </c>
    </row>
    <row r="2291" spans="1:7">
      <c r="A2291" t="s">
        <v>3894</v>
      </c>
      <c r="B2291" s="2">
        <v>45802</v>
      </c>
      <c r="C2291" t="s">
        <v>117</v>
      </c>
      <c r="D2291" t="s">
        <v>1629</v>
      </c>
      <c r="E2291">
        <v>87.43</v>
      </c>
      <c r="F2291" t="s">
        <v>1578</v>
      </c>
      <c r="G2291" t="s">
        <v>1249</v>
      </c>
    </row>
    <row r="2292" spans="1:7">
      <c r="A2292" t="s">
        <v>3895</v>
      </c>
      <c r="B2292" s="2">
        <v>45802</v>
      </c>
      <c r="C2292" t="s">
        <v>119</v>
      </c>
      <c r="D2292" t="s">
        <v>1629</v>
      </c>
      <c r="E2292">
        <v>87.87</v>
      </c>
      <c r="F2292" t="s">
        <v>1578</v>
      </c>
      <c r="G2292" t="s">
        <v>1249</v>
      </c>
    </row>
    <row r="2293" spans="1:7">
      <c r="A2293" t="s">
        <v>3896</v>
      </c>
      <c r="B2293" s="2">
        <v>45803</v>
      </c>
      <c r="C2293" t="s">
        <v>61</v>
      </c>
      <c r="D2293" t="s">
        <v>1629</v>
      </c>
      <c r="E2293">
        <v>188.7</v>
      </c>
      <c r="F2293" t="s">
        <v>1578</v>
      </c>
      <c r="G2293" t="s">
        <v>1250</v>
      </c>
    </row>
    <row r="2294" spans="1:7">
      <c r="A2294" t="s">
        <v>3897</v>
      </c>
      <c r="B2294" s="2">
        <v>45803</v>
      </c>
      <c r="C2294" t="s">
        <v>65</v>
      </c>
      <c r="D2294" t="s">
        <v>1629</v>
      </c>
      <c r="E2294">
        <v>187.77</v>
      </c>
      <c r="F2294" t="s">
        <v>1578</v>
      </c>
      <c r="G2294" t="s">
        <v>1250</v>
      </c>
    </row>
    <row r="2295" spans="1:7">
      <c r="A2295" t="s">
        <v>3898</v>
      </c>
      <c r="B2295" s="2">
        <v>45803</v>
      </c>
      <c r="C2295" t="s">
        <v>75</v>
      </c>
      <c r="D2295" t="s">
        <v>1629</v>
      </c>
      <c r="E2295">
        <v>186.85</v>
      </c>
      <c r="F2295" t="s">
        <v>1578</v>
      </c>
      <c r="G2295" t="s">
        <v>1250</v>
      </c>
    </row>
    <row r="2296" spans="1:7">
      <c r="A2296" t="s">
        <v>3899</v>
      </c>
      <c r="B2296" s="2">
        <v>45803</v>
      </c>
      <c r="C2296" t="s">
        <v>79</v>
      </c>
      <c r="D2296" t="s">
        <v>1629</v>
      </c>
      <c r="E2296">
        <v>188.7</v>
      </c>
      <c r="F2296" t="s">
        <v>1578</v>
      </c>
      <c r="G2296" t="s">
        <v>1250</v>
      </c>
    </row>
    <row r="2297" spans="1:7">
      <c r="A2297" t="s">
        <v>3900</v>
      </c>
      <c r="B2297" s="2">
        <v>45803</v>
      </c>
      <c r="C2297" t="s">
        <v>81</v>
      </c>
      <c r="D2297" t="s">
        <v>1629</v>
      </c>
      <c r="E2297">
        <v>373.7</v>
      </c>
      <c r="F2297" t="s">
        <v>1578</v>
      </c>
      <c r="G2297" t="s">
        <v>1250</v>
      </c>
    </row>
    <row r="2298" spans="1:7">
      <c r="A2298" t="s">
        <v>3901</v>
      </c>
      <c r="B2298" s="2">
        <v>45803</v>
      </c>
      <c r="C2298" t="s">
        <v>84</v>
      </c>
      <c r="D2298" t="s">
        <v>1629</v>
      </c>
      <c r="E2298">
        <v>66.69</v>
      </c>
      <c r="F2298" t="s">
        <v>1578</v>
      </c>
      <c r="G2298" t="s">
        <v>1250</v>
      </c>
    </row>
    <row r="2299" spans="1:7">
      <c r="A2299" t="s">
        <v>3902</v>
      </c>
      <c r="B2299" s="2">
        <v>45803</v>
      </c>
      <c r="C2299" t="s">
        <v>89</v>
      </c>
      <c r="D2299" t="s">
        <v>1629</v>
      </c>
      <c r="E2299">
        <v>284.44</v>
      </c>
      <c r="F2299" t="s">
        <v>1578</v>
      </c>
      <c r="G2299" t="s">
        <v>1250</v>
      </c>
    </row>
    <row r="2300" spans="1:7">
      <c r="A2300" t="s">
        <v>3903</v>
      </c>
      <c r="B2300" s="2">
        <v>45803</v>
      </c>
      <c r="C2300" t="s">
        <v>110</v>
      </c>
      <c r="D2300" t="s">
        <v>1629</v>
      </c>
      <c r="E2300">
        <v>188.7</v>
      </c>
      <c r="F2300" t="s">
        <v>1578</v>
      </c>
      <c r="G2300" t="s">
        <v>1250</v>
      </c>
    </row>
    <row r="2301" spans="1:7">
      <c r="A2301" t="s">
        <v>3904</v>
      </c>
      <c r="B2301" s="2">
        <v>45803</v>
      </c>
      <c r="C2301" t="s">
        <v>114</v>
      </c>
      <c r="D2301" t="s">
        <v>1629</v>
      </c>
      <c r="E2301">
        <v>186.85</v>
      </c>
      <c r="F2301" t="s">
        <v>1578</v>
      </c>
      <c r="G2301" t="s">
        <v>1250</v>
      </c>
    </row>
    <row r="2302" spans="1:7">
      <c r="A2302" t="s">
        <v>3905</v>
      </c>
      <c r="B2302" s="2">
        <v>45803</v>
      </c>
      <c r="C2302" t="s">
        <v>117</v>
      </c>
      <c r="D2302" t="s">
        <v>1629</v>
      </c>
      <c r="E2302">
        <v>185.92</v>
      </c>
      <c r="F2302" t="s">
        <v>1578</v>
      </c>
      <c r="G2302" t="s">
        <v>1250</v>
      </c>
    </row>
    <row r="2303" spans="1:7">
      <c r="A2303" t="s">
        <v>3906</v>
      </c>
      <c r="B2303" s="2">
        <v>45803</v>
      </c>
      <c r="C2303" t="s">
        <v>119</v>
      </c>
      <c r="D2303" t="s">
        <v>1629</v>
      </c>
      <c r="E2303">
        <v>186.85</v>
      </c>
      <c r="F2303" t="s">
        <v>1578</v>
      </c>
      <c r="G2303" t="s">
        <v>1250</v>
      </c>
    </row>
    <row r="2304" spans="1:7">
      <c r="A2304" t="s">
        <v>3907</v>
      </c>
      <c r="B2304" s="2">
        <v>45803</v>
      </c>
      <c r="C2304" t="s">
        <v>61</v>
      </c>
      <c r="D2304" t="s">
        <v>1629</v>
      </c>
      <c r="E2304">
        <v>164.22</v>
      </c>
      <c r="F2304" t="s">
        <v>1578</v>
      </c>
      <c r="G2304" t="s">
        <v>1251</v>
      </c>
    </row>
    <row r="2305" spans="1:7">
      <c r="A2305" t="s">
        <v>3908</v>
      </c>
      <c r="B2305" s="2">
        <v>45803</v>
      </c>
      <c r="C2305" t="s">
        <v>65</v>
      </c>
      <c r="D2305" t="s">
        <v>1629</v>
      </c>
      <c r="E2305">
        <v>163.41999999999999</v>
      </c>
      <c r="F2305" t="s">
        <v>1578</v>
      </c>
      <c r="G2305" t="s">
        <v>1251</v>
      </c>
    </row>
    <row r="2306" spans="1:7">
      <c r="A2306" t="s">
        <v>3909</v>
      </c>
      <c r="B2306" s="2">
        <v>45803</v>
      </c>
      <c r="C2306" t="s">
        <v>68</v>
      </c>
      <c r="D2306" t="s">
        <v>1629</v>
      </c>
      <c r="E2306">
        <v>164.22</v>
      </c>
      <c r="F2306" t="s">
        <v>1578</v>
      </c>
      <c r="G2306" t="s">
        <v>1251</v>
      </c>
    </row>
    <row r="2307" spans="1:7">
      <c r="A2307" t="s">
        <v>3910</v>
      </c>
      <c r="B2307" s="2">
        <v>45803</v>
      </c>
      <c r="C2307" t="s">
        <v>70</v>
      </c>
      <c r="D2307" t="s">
        <v>1629</v>
      </c>
      <c r="E2307">
        <v>162.61000000000001</v>
      </c>
      <c r="F2307" t="s">
        <v>1578</v>
      </c>
      <c r="G2307" t="s">
        <v>1251</v>
      </c>
    </row>
    <row r="2308" spans="1:7">
      <c r="A2308" t="s">
        <v>3911</v>
      </c>
      <c r="B2308" s="2">
        <v>45803</v>
      </c>
      <c r="C2308" t="s">
        <v>73</v>
      </c>
      <c r="D2308" t="s">
        <v>1629</v>
      </c>
      <c r="E2308">
        <v>164.22</v>
      </c>
      <c r="F2308" t="s">
        <v>1578</v>
      </c>
      <c r="G2308" t="s">
        <v>1251</v>
      </c>
    </row>
    <row r="2309" spans="1:7">
      <c r="A2309" t="s">
        <v>3912</v>
      </c>
      <c r="B2309" s="2">
        <v>45803</v>
      </c>
      <c r="C2309" t="s">
        <v>75</v>
      </c>
      <c r="D2309" t="s">
        <v>1629</v>
      </c>
      <c r="E2309">
        <v>162.61000000000001</v>
      </c>
      <c r="F2309" t="s">
        <v>1578</v>
      </c>
      <c r="G2309" t="s">
        <v>1251</v>
      </c>
    </row>
    <row r="2310" spans="1:7">
      <c r="A2310" t="s">
        <v>3913</v>
      </c>
      <c r="B2310" s="2">
        <v>45803</v>
      </c>
      <c r="C2310" t="s">
        <v>77</v>
      </c>
      <c r="D2310" t="s">
        <v>1629</v>
      </c>
      <c r="E2310">
        <v>162.61000000000001</v>
      </c>
      <c r="F2310" t="s">
        <v>1578</v>
      </c>
      <c r="G2310" t="s">
        <v>1251</v>
      </c>
    </row>
    <row r="2311" spans="1:7">
      <c r="A2311" t="s">
        <v>3914</v>
      </c>
      <c r="B2311" s="2">
        <v>45803</v>
      </c>
      <c r="C2311" t="s">
        <v>79</v>
      </c>
      <c r="D2311" t="s">
        <v>1629</v>
      </c>
      <c r="E2311">
        <v>164.22</v>
      </c>
      <c r="F2311" t="s">
        <v>1578</v>
      </c>
      <c r="G2311" t="s">
        <v>1251</v>
      </c>
    </row>
    <row r="2312" spans="1:7">
      <c r="A2312" t="s">
        <v>3915</v>
      </c>
      <c r="B2312" s="2">
        <v>45803</v>
      </c>
      <c r="C2312" t="s">
        <v>81</v>
      </c>
      <c r="D2312" t="s">
        <v>1629</v>
      </c>
      <c r="E2312">
        <v>325.22000000000003</v>
      </c>
      <c r="F2312" t="s">
        <v>1578</v>
      </c>
      <c r="G2312" t="s">
        <v>1251</v>
      </c>
    </row>
    <row r="2313" spans="1:7">
      <c r="A2313" t="s">
        <v>3916</v>
      </c>
      <c r="B2313" s="2">
        <v>45803</v>
      </c>
      <c r="C2313" t="s">
        <v>108</v>
      </c>
      <c r="D2313" t="s">
        <v>1629</v>
      </c>
      <c r="E2313">
        <v>326.83</v>
      </c>
      <c r="F2313" t="s">
        <v>1578</v>
      </c>
      <c r="G2313" t="s">
        <v>1251</v>
      </c>
    </row>
    <row r="2314" spans="1:7">
      <c r="A2314" t="s">
        <v>3917</v>
      </c>
      <c r="B2314" s="2">
        <v>45803</v>
      </c>
      <c r="C2314" t="s">
        <v>110</v>
      </c>
      <c r="D2314" t="s">
        <v>1629</v>
      </c>
      <c r="E2314">
        <v>164.22</v>
      </c>
      <c r="F2314" t="s">
        <v>1578</v>
      </c>
      <c r="G2314" t="s">
        <v>1251</v>
      </c>
    </row>
    <row r="2315" spans="1:7">
      <c r="A2315" t="s">
        <v>3918</v>
      </c>
      <c r="B2315" s="2">
        <v>45803</v>
      </c>
      <c r="C2315" t="s">
        <v>114</v>
      </c>
      <c r="D2315" t="s">
        <v>1629</v>
      </c>
      <c r="E2315">
        <v>162.61000000000001</v>
      </c>
      <c r="F2315" t="s">
        <v>1578</v>
      </c>
      <c r="G2315" t="s">
        <v>1251</v>
      </c>
    </row>
    <row r="2316" spans="1:7">
      <c r="A2316" t="s">
        <v>3919</v>
      </c>
      <c r="B2316" s="2">
        <v>45803</v>
      </c>
      <c r="C2316" t="s">
        <v>117</v>
      </c>
      <c r="D2316" t="s">
        <v>1629</v>
      </c>
      <c r="E2316">
        <v>161.80000000000001</v>
      </c>
      <c r="F2316" t="s">
        <v>1578</v>
      </c>
      <c r="G2316" t="s">
        <v>1251</v>
      </c>
    </row>
    <row r="2317" spans="1:7">
      <c r="A2317" t="s">
        <v>3920</v>
      </c>
      <c r="B2317" s="2">
        <v>45803</v>
      </c>
      <c r="C2317" t="s">
        <v>119</v>
      </c>
      <c r="D2317" t="s">
        <v>1629</v>
      </c>
      <c r="E2317">
        <v>162.61000000000001</v>
      </c>
      <c r="F2317" t="s">
        <v>1578</v>
      </c>
      <c r="G2317" t="s">
        <v>1251</v>
      </c>
    </row>
    <row r="2318" spans="1:7">
      <c r="A2318" t="s">
        <v>3921</v>
      </c>
      <c r="B2318" s="2">
        <v>45803</v>
      </c>
      <c r="C2318" t="s">
        <v>61</v>
      </c>
      <c r="D2318" t="s">
        <v>1683</v>
      </c>
      <c r="E2318">
        <v>236</v>
      </c>
      <c r="F2318" t="s">
        <v>1578</v>
      </c>
      <c r="G2318" t="s">
        <v>625</v>
      </c>
    </row>
    <row r="2319" spans="1:7">
      <c r="A2319" t="s">
        <v>3922</v>
      </c>
      <c r="B2319" s="2">
        <v>45804</v>
      </c>
      <c r="C2319" t="s">
        <v>114</v>
      </c>
      <c r="D2319" t="s">
        <v>1683</v>
      </c>
      <c r="E2319">
        <v>62</v>
      </c>
      <c r="F2319" t="s">
        <v>1578</v>
      </c>
      <c r="G2319" t="s">
        <v>628</v>
      </c>
    </row>
    <row r="2320" spans="1:7">
      <c r="A2320" t="s">
        <v>3923</v>
      </c>
      <c r="B2320" s="2">
        <v>45804</v>
      </c>
      <c r="C2320" t="s">
        <v>117</v>
      </c>
      <c r="D2320" t="s">
        <v>1683</v>
      </c>
      <c r="E2320">
        <v>425</v>
      </c>
      <c r="F2320" t="s">
        <v>1578</v>
      </c>
      <c r="G2320" t="s">
        <v>629</v>
      </c>
    </row>
    <row r="2321" spans="1:7">
      <c r="A2321" t="s">
        <v>3924</v>
      </c>
      <c r="B2321" s="2">
        <v>45805</v>
      </c>
      <c r="C2321" t="s">
        <v>61</v>
      </c>
      <c r="D2321" t="s">
        <v>1629</v>
      </c>
      <c r="E2321">
        <v>283.56</v>
      </c>
      <c r="F2321" t="s">
        <v>1578</v>
      </c>
      <c r="G2321" t="s">
        <v>1252</v>
      </c>
    </row>
    <row r="2322" spans="1:7">
      <c r="A2322" t="s">
        <v>3925</v>
      </c>
      <c r="B2322" s="2">
        <v>45805</v>
      </c>
      <c r="C2322" t="s">
        <v>65</v>
      </c>
      <c r="D2322" t="s">
        <v>1629</v>
      </c>
      <c r="E2322">
        <v>282.17</v>
      </c>
      <c r="F2322" t="s">
        <v>1578</v>
      </c>
      <c r="G2322" t="s">
        <v>1252</v>
      </c>
    </row>
    <row r="2323" spans="1:7">
      <c r="A2323" t="s">
        <v>3926</v>
      </c>
      <c r="B2323" s="2">
        <v>45805</v>
      </c>
      <c r="C2323" t="s">
        <v>75</v>
      </c>
      <c r="D2323" t="s">
        <v>1629</v>
      </c>
      <c r="E2323">
        <v>280.77999999999997</v>
      </c>
      <c r="F2323" t="s">
        <v>1578</v>
      </c>
      <c r="G2323" t="s">
        <v>1252</v>
      </c>
    </row>
    <row r="2324" spans="1:7">
      <c r="A2324" t="s">
        <v>3927</v>
      </c>
      <c r="B2324" s="2">
        <v>45805</v>
      </c>
      <c r="C2324" t="s">
        <v>79</v>
      </c>
      <c r="D2324" t="s">
        <v>1629</v>
      </c>
      <c r="E2324">
        <v>283.56</v>
      </c>
      <c r="F2324" t="s">
        <v>1578</v>
      </c>
      <c r="G2324" t="s">
        <v>1252</v>
      </c>
    </row>
    <row r="2325" spans="1:7">
      <c r="A2325" t="s">
        <v>3928</v>
      </c>
      <c r="B2325" s="2">
        <v>45805</v>
      </c>
      <c r="C2325" t="s">
        <v>81</v>
      </c>
      <c r="D2325" t="s">
        <v>1629</v>
      </c>
      <c r="E2325">
        <v>561.55999999999995</v>
      </c>
      <c r="F2325" t="s">
        <v>1578</v>
      </c>
      <c r="G2325" t="s">
        <v>1252</v>
      </c>
    </row>
    <row r="2326" spans="1:7">
      <c r="A2326" t="s">
        <v>3929</v>
      </c>
      <c r="B2326" s="2">
        <v>45805</v>
      </c>
      <c r="C2326" t="s">
        <v>84</v>
      </c>
      <c r="D2326" t="s">
        <v>1629</v>
      </c>
      <c r="E2326">
        <v>100.22</v>
      </c>
      <c r="F2326" t="s">
        <v>1578</v>
      </c>
      <c r="G2326" t="s">
        <v>1252</v>
      </c>
    </row>
    <row r="2327" spans="1:7">
      <c r="A2327" t="s">
        <v>3930</v>
      </c>
      <c r="B2327" s="2">
        <v>45805</v>
      </c>
      <c r="C2327" t="s">
        <v>89</v>
      </c>
      <c r="D2327" t="s">
        <v>1629</v>
      </c>
      <c r="E2327">
        <v>427.42</v>
      </c>
      <c r="F2327" t="s">
        <v>1578</v>
      </c>
      <c r="G2327" t="s">
        <v>1252</v>
      </c>
    </row>
    <row r="2328" spans="1:7">
      <c r="A2328" t="s">
        <v>3931</v>
      </c>
      <c r="B2328" s="2">
        <v>45805</v>
      </c>
      <c r="C2328" t="s">
        <v>110</v>
      </c>
      <c r="D2328" t="s">
        <v>1629</v>
      </c>
      <c r="E2328">
        <v>283.56</v>
      </c>
      <c r="F2328" t="s">
        <v>1578</v>
      </c>
      <c r="G2328" t="s">
        <v>1252</v>
      </c>
    </row>
    <row r="2329" spans="1:7">
      <c r="A2329" t="s">
        <v>3932</v>
      </c>
      <c r="B2329" s="2">
        <v>45805</v>
      </c>
      <c r="C2329" t="s">
        <v>114</v>
      </c>
      <c r="D2329" t="s">
        <v>1629</v>
      </c>
      <c r="E2329">
        <v>280.77999999999997</v>
      </c>
      <c r="F2329" t="s">
        <v>1578</v>
      </c>
      <c r="G2329" t="s">
        <v>1252</v>
      </c>
    </row>
    <row r="2330" spans="1:7">
      <c r="A2330" t="s">
        <v>3933</v>
      </c>
      <c r="B2330" s="2">
        <v>45805</v>
      </c>
      <c r="C2330" t="s">
        <v>117</v>
      </c>
      <c r="D2330" t="s">
        <v>1629</v>
      </c>
      <c r="E2330">
        <v>279.39</v>
      </c>
      <c r="F2330" t="s">
        <v>1578</v>
      </c>
      <c r="G2330" t="s">
        <v>1252</v>
      </c>
    </row>
    <row r="2331" spans="1:7">
      <c r="A2331" t="s">
        <v>3934</v>
      </c>
      <c r="B2331" s="2">
        <v>45805</v>
      </c>
      <c r="C2331" t="s">
        <v>119</v>
      </c>
      <c r="D2331" t="s">
        <v>1629</v>
      </c>
      <c r="E2331">
        <v>280.77999999999997</v>
      </c>
      <c r="F2331" t="s">
        <v>1578</v>
      </c>
      <c r="G2331" t="s">
        <v>1252</v>
      </c>
    </row>
    <row r="2332" spans="1:7">
      <c r="A2332" t="s">
        <v>3935</v>
      </c>
      <c r="B2332" s="2">
        <v>45805</v>
      </c>
      <c r="C2332" t="s">
        <v>75</v>
      </c>
      <c r="D2332" t="s">
        <v>1629</v>
      </c>
      <c r="E2332">
        <v>458.54</v>
      </c>
      <c r="F2332" t="s">
        <v>1578</v>
      </c>
      <c r="G2332" t="s">
        <v>1253</v>
      </c>
    </row>
    <row r="2333" spans="1:7">
      <c r="A2333" t="s">
        <v>3936</v>
      </c>
      <c r="B2333" s="2">
        <v>45805</v>
      </c>
      <c r="C2333" t="s">
        <v>106</v>
      </c>
      <c r="D2333" t="s">
        <v>1629</v>
      </c>
      <c r="E2333">
        <v>467.62</v>
      </c>
      <c r="F2333" t="s">
        <v>1578</v>
      </c>
      <c r="G2333" t="s">
        <v>1253</v>
      </c>
    </row>
    <row r="2334" spans="1:7">
      <c r="A2334" t="s">
        <v>3937</v>
      </c>
      <c r="B2334" s="2">
        <v>45805</v>
      </c>
      <c r="C2334" t="s">
        <v>108</v>
      </c>
      <c r="D2334" t="s">
        <v>1629</v>
      </c>
      <c r="E2334">
        <v>921.62</v>
      </c>
      <c r="F2334" t="s">
        <v>1578</v>
      </c>
      <c r="G2334" t="s">
        <v>1253</v>
      </c>
    </row>
    <row r="2335" spans="1:7">
      <c r="A2335" t="s">
        <v>3938</v>
      </c>
      <c r="B2335" s="2">
        <v>45805</v>
      </c>
      <c r="C2335" t="s">
        <v>110</v>
      </c>
      <c r="D2335" t="s">
        <v>1629</v>
      </c>
      <c r="E2335">
        <v>463.08</v>
      </c>
      <c r="F2335" t="s">
        <v>1578</v>
      </c>
      <c r="G2335" t="s">
        <v>1253</v>
      </c>
    </row>
    <row r="2336" spans="1:7">
      <c r="A2336" t="s">
        <v>3939</v>
      </c>
      <c r="B2336" s="2">
        <v>45805</v>
      </c>
      <c r="C2336" t="s">
        <v>114</v>
      </c>
      <c r="D2336" t="s">
        <v>1629</v>
      </c>
      <c r="E2336">
        <v>458.54</v>
      </c>
      <c r="F2336" t="s">
        <v>1578</v>
      </c>
      <c r="G2336" t="s">
        <v>1253</v>
      </c>
    </row>
    <row r="2337" spans="1:7">
      <c r="A2337" t="s">
        <v>3940</v>
      </c>
      <c r="B2337" s="2">
        <v>45805</v>
      </c>
      <c r="C2337" t="s">
        <v>117</v>
      </c>
      <c r="D2337" t="s">
        <v>1629</v>
      </c>
      <c r="E2337">
        <v>456.27</v>
      </c>
      <c r="F2337" t="s">
        <v>1578</v>
      </c>
      <c r="G2337" t="s">
        <v>1253</v>
      </c>
    </row>
    <row r="2338" spans="1:7">
      <c r="A2338" t="s">
        <v>3941</v>
      </c>
      <c r="B2338" s="2">
        <v>45805</v>
      </c>
      <c r="C2338" t="s">
        <v>119</v>
      </c>
      <c r="D2338" t="s">
        <v>1629</v>
      </c>
      <c r="E2338">
        <v>458.54</v>
      </c>
      <c r="F2338" t="s">
        <v>1578</v>
      </c>
      <c r="G2338" t="s">
        <v>1253</v>
      </c>
    </row>
    <row r="2339" spans="1:7">
      <c r="A2339" t="s">
        <v>3942</v>
      </c>
      <c r="B2339" s="2">
        <v>45805</v>
      </c>
      <c r="C2339" t="s">
        <v>68</v>
      </c>
      <c r="D2339" t="s">
        <v>1683</v>
      </c>
      <c r="E2339">
        <v>338</v>
      </c>
      <c r="F2339" t="s">
        <v>1578</v>
      </c>
      <c r="G2339" t="s">
        <v>631</v>
      </c>
    </row>
    <row r="2340" spans="1:7">
      <c r="A2340" t="s">
        <v>3943</v>
      </c>
      <c r="B2340" s="2">
        <v>45805</v>
      </c>
      <c r="C2340" t="s">
        <v>84</v>
      </c>
      <c r="D2340" t="s">
        <v>1683</v>
      </c>
      <c r="E2340">
        <v>187</v>
      </c>
      <c r="F2340" t="s">
        <v>1578</v>
      </c>
      <c r="G2340" t="s">
        <v>632</v>
      </c>
    </row>
    <row r="2341" spans="1:7">
      <c r="A2341" t="s">
        <v>3944</v>
      </c>
      <c r="B2341" s="2">
        <v>45805</v>
      </c>
      <c r="C2341" t="s">
        <v>65</v>
      </c>
      <c r="D2341" t="s">
        <v>1683</v>
      </c>
      <c r="E2341">
        <v>262</v>
      </c>
      <c r="F2341" t="s">
        <v>1578</v>
      </c>
      <c r="G2341" t="s">
        <v>633</v>
      </c>
    </row>
    <row r="2342" spans="1:7">
      <c r="A2342" t="s">
        <v>3945</v>
      </c>
      <c r="B2342" s="2">
        <v>45806</v>
      </c>
      <c r="C2342" t="s">
        <v>61</v>
      </c>
      <c r="D2342" t="s">
        <v>1629</v>
      </c>
      <c r="E2342">
        <v>314.16000000000003</v>
      </c>
      <c r="F2342" t="s">
        <v>1578</v>
      </c>
      <c r="G2342" t="s">
        <v>1254</v>
      </c>
    </row>
    <row r="2343" spans="1:7">
      <c r="A2343" t="s">
        <v>3946</v>
      </c>
      <c r="B2343" s="2">
        <v>45806</v>
      </c>
      <c r="C2343" t="s">
        <v>65</v>
      </c>
      <c r="D2343" t="s">
        <v>1629</v>
      </c>
      <c r="E2343">
        <v>312.62</v>
      </c>
      <c r="F2343" t="s">
        <v>1578</v>
      </c>
      <c r="G2343" t="s">
        <v>1254</v>
      </c>
    </row>
    <row r="2344" spans="1:7">
      <c r="A2344" t="s">
        <v>3947</v>
      </c>
      <c r="B2344" s="2">
        <v>45806</v>
      </c>
      <c r="C2344" t="s">
        <v>68</v>
      </c>
      <c r="D2344" t="s">
        <v>1629</v>
      </c>
      <c r="E2344">
        <v>314.16000000000003</v>
      </c>
      <c r="F2344" t="s">
        <v>1578</v>
      </c>
      <c r="G2344" t="s">
        <v>1254</v>
      </c>
    </row>
    <row r="2345" spans="1:7">
      <c r="A2345" t="s">
        <v>3948</v>
      </c>
      <c r="B2345" s="2">
        <v>45806</v>
      </c>
      <c r="C2345" t="s">
        <v>70</v>
      </c>
      <c r="D2345" t="s">
        <v>1629</v>
      </c>
      <c r="E2345">
        <v>311.08</v>
      </c>
      <c r="F2345" t="s">
        <v>1578</v>
      </c>
      <c r="G2345" t="s">
        <v>1254</v>
      </c>
    </row>
    <row r="2346" spans="1:7">
      <c r="A2346" t="s">
        <v>3949</v>
      </c>
      <c r="B2346" s="2">
        <v>45806</v>
      </c>
      <c r="C2346" t="s">
        <v>73</v>
      </c>
      <c r="D2346" t="s">
        <v>1629</v>
      </c>
      <c r="E2346">
        <v>314.16000000000003</v>
      </c>
      <c r="F2346" t="s">
        <v>1578</v>
      </c>
      <c r="G2346" t="s">
        <v>1254</v>
      </c>
    </row>
    <row r="2347" spans="1:7">
      <c r="A2347" t="s">
        <v>3950</v>
      </c>
      <c r="B2347" s="2">
        <v>45806</v>
      </c>
      <c r="C2347" t="s">
        <v>75</v>
      </c>
      <c r="D2347" t="s">
        <v>1629</v>
      </c>
      <c r="E2347">
        <v>311.08</v>
      </c>
      <c r="F2347" t="s">
        <v>1578</v>
      </c>
      <c r="G2347" t="s">
        <v>1254</v>
      </c>
    </row>
    <row r="2348" spans="1:7">
      <c r="A2348" t="s">
        <v>3951</v>
      </c>
      <c r="B2348" s="2">
        <v>45806</v>
      </c>
      <c r="C2348" t="s">
        <v>77</v>
      </c>
      <c r="D2348" t="s">
        <v>1629</v>
      </c>
      <c r="E2348">
        <v>311.08</v>
      </c>
      <c r="F2348" t="s">
        <v>1578</v>
      </c>
      <c r="G2348" t="s">
        <v>1254</v>
      </c>
    </row>
    <row r="2349" spans="1:7">
      <c r="A2349" t="s">
        <v>3952</v>
      </c>
      <c r="B2349" s="2">
        <v>45806</v>
      </c>
      <c r="C2349" t="s">
        <v>79</v>
      </c>
      <c r="D2349" t="s">
        <v>1629</v>
      </c>
      <c r="E2349">
        <v>314.16000000000003</v>
      </c>
      <c r="F2349" t="s">
        <v>1578</v>
      </c>
      <c r="G2349" t="s">
        <v>1254</v>
      </c>
    </row>
    <row r="2350" spans="1:7">
      <c r="A2350" t="s">
        <v>3953</v>
      </c>
      <c r="B2350" s="2">
        <v>45806</v>
      </c>
      <c r="C2350" t="s">
        <v>81</v>
      </c>
      <c r="D2350" t="s">
        <v>1629</v>
      </c>
      <c r="E2350">
        <v>622.16</v>
      </c>
      <c r="F2350" t="s">
        <v>1578</v>
      </c>
      <c r="G2350" t="s">
        <v>1254</v>
      </c>
    </row>
    <row r="2351" spans="1:7">
      <c r="A2351" t="s">
        <v>3954</v>
      </c>
      <c r="B2351" s="2">
        <v>45806</v>
      </c>
      <c r="C2351" t="s">
        <v>108</v>
      </c>
      <c r="D2351" t="s">
        <v>1629</v>
      </c>
      <c r="E2351">
        <v>625.24</v>
      </c>
      <c r="F2351" t="s">
        <v>1578</v>
      </c>
      <c r="G2351" t="s">
        <v>1254</v>
      </c>
    </row>
    <row r="2352" spans="1:7">
      <c r="A2352" t="s">
        <v>3955</v>
      </c>
      <c r="B2352" s="2">
        <v>45806</v>
      </c>
      <c r="C2352" t="s">
        <v>110</v>
      </c>
      <c r="D2352" t="s">
        <v>1629</v>
      </c>
      <c r="E2352">
        <v>314.16000000000003</v>
      </c>
      <c r="F2352" t="s">
        <v>1578</v>
      </c>
      <c r="G2352" t="s">
        <v>1254</v>
      </c>
    </row>
    <row r="2353" spans="1:7">
      <c r="A2353" t="s">
        <v>3956</v>
      </c>
      <c r="B2353" s="2">
        <v>45806</v>
      </c>
      <c r="C2353" t="s">
        <v>114</v>
      </c>
      <c r="D2353" t="s">
        <v>1629</v>
      </c>
      <c r="E2353">
        <v>311.08</v>
      </c>
      <c r="F2353" t="s">
        <v>1578</v>
      </c>
      <c r="G2353" t="s">
        <v>1254</v>
      </c>
    </row>
    <row r="2354" spans="1:7">
      <c r="A2354" t="s">
        <v>3957</v>
      </c>
      <c r="B2354" s="2">
        <v>45806</v>
      </c>
      <c r="C2354" t="s">
        <v>117</v>
      </c>
      <c r="D2354" t="s">
        <v>1629</v>
      </c>
      <c r="E2354">
        <v>309.54000000000002</v>
      </c>
      <c r="F2354" t="s">
        <v>1578</v>
      </c>
      <c r="G2354" t="s">
        <v>1254</v>
      </c>
    </row>
    <row r="2355" spans="1:7">
      <c r="A2355" t="s">
        <v>3958</v>
      </c>
      <c r="B2355" s="2">
        <v>45806</v>
      </c>
      <c r="C2355" t="s">
        <v>119</v>
      </c>
      <c r="D2355" t="s">
        <v>1629</v>
      </c>
      <c r="E2355">
        <v>311.08</v>
      </c>
      <c r="F2355" t="s">
        <v>1578</v>
      </c>
      <c r="G2355" t="s">
        <v>1254</v>
      </c>
    </row>
    <row r="2356" spans="1:7">
      <c r="A2356" t="s">
        <v>3959</v>
      </c>
      <c r="B2356" s="2">
        <v>45806</v>
      </c>
      <c r="C2356" t="s">
        <v>61</v>
      </c>
      <c r="D2356" t="s">
        <v>1629</v>
      </c>
      <c r="E2356">
        <v>186.66</v>
      </c>
      <c r="F2356" t="s">
        <v>1578</v>
      </c>
      <c r="G2356" t="s">
        <v>1255</v>
      </c>
    </row>
    <row r="2357" spans="1:7">
      <c r="A2357" t="s">
        <v>3960</v>
      </c>
      <c r="B2357" s="2">
        <v>45806</v>
      </c>
      <c r="C2357" t="s">
        <v>65</v>
      </c>
      <c r="D2357" t="s">
        <v>1629</v>
      </c>
      <c r="E2357">
        <v>185.74</v>
      </c>
      <c r="F2357" t="s">
        <v>1578</v>
      </c>
      <c r="G2357" t="s">
        <v>1255</v>
      </c>
    </row>
    <row r="2358" spans="1:7">
      <c r="A2358" t="s">
        <v>3961</v>
      </c>
      <c r="B2358" s="2">
        <v>45806</v>
      </c>
      <c r="C2358" t="s">
        <v>68</v>
      </c>
      <c r="D2358" t="s">
        <v>1629</v>
      </c>
      <c r="E2358">
        <v>186.66</v>
      </c>
      <c r="F2358" t="s">
        <v>1578</v>
      </c>
      <c r="G2358" t="s">
        <v>1255</v>
      </c>
    </row>
    <row r="2359" spans="1:7">
      <c r="A2359" t="s">
        <v>3962</v>
      </c>
      <c r="B2359" s="2">
        <v>45806</v>
      </c>
      <c r="C2359" t="s">
        <v>70</v>
      </c>
      <c r="D2359" t="s">
        <v>1629</v>
      </c>
      <c r="E2359">
        <v>184.83</v>
      </c>
      <c r="F2359" t="s">
        <v>1578</v>
      </c>
      <c r="G2359" t="s">
        <v>1255</v>
      </c>
    </row>
    <row r="2360" spans="1:7">
      <c r="A2360" t="s">
        <v>3963</v>
      </c>
      <c r="B2360" s="2">
        <v>45806</v>
      </c>
      <c r="C2360" t="s">
        <v>75</v>
      </c>
      <c r="D2360" t="s">
        <v>1629</v>
      </c>
      <c r="E2360">
        <v>184.83</v>
      </c>
      <c r="F2360" t="s">
        <v>1578</v>
      </c>
      <c r="G2360" t="s">
        <v>1255</v>
      </c>
    </row>
    <row r="2361" spans="1:7">
      <c r="A2361" t="s">
        <v>3964</v>
      </c>
      <c r="B2361" s="2">
        <v>45806</v>
      </c>
      <c r="C2361" t="s">
        <v>77</v>
      </c>
      <c r="D2361" t="s">
        <v>1629</v>
      </c>
      <c r="E2361">
        <v>184.83</v>
      </c>
      <c r="F2361" t="s">
        <v>1578</v>
      </c>
      <c r="G2361" t="s">
        <v>1255</v>
      </c>
    </row>
    <row r="2362" spans="1:7">
      <c r="A2362" t="s">
        <v>3965</v>
      </c>
      <c r="B2362" s="2">
        <v>45806</v>
      </c>
      <c r="C2362" t="s">
        <v>79</v>
      </c>
      <c r="D2362" t="s">
        <v>1629</v>
      </c>
      <c r="E2362">
        <v>186.66</v>
      </c>
      <c r="F2362" t="s">
        <v>1578</v>
      </c>
      <c r="G2362" t="s">
        <v>1255</v>
      </c>
    </row>
    <row r="2363" spans="1:7">
      <c r="A2363" t="s">
        <v>3966</v>
      </c>
      <c r="B2363" s="2">
        <v>45806</v>
      </c>
      <c r="C2363" t="s">
        <v>81</v>
      </c>
      <c r="D2363" t="s">
        <v>1629</v>
      </c>
      <c r="E2363">
        <v>369.66</v>
      </c>
      <c r="F2363" t="s">
        <v>1578</v>
      </c>
      <c r="G2363" t="s">
        <v>1255</v>
      </c>
    </row>
    <row r="2364" spans="1:7">
      <c r="A2364" t="s">
        <v>3967</v>
      </c>
      <c r="B2364" s="2">
        <v>45806</v>
      </c>
      <c r="C2364" t="s">
        <v>110</v>
      </c>
      <c r="D2364" t="s">
        <v>1629</v>
      </c>
      <c r="E2364">
        <v>186.66</v>
      </c>
      <c r="F2364" t="s">
        <v>1578</v>
      </c>
      <c r="G2364" t="s">
        <v>1255</v>
      </c>
    </row>
    <row r="2365" spans="1:7">
      <c r="A2365" t="s">
        <v>3968</v>
      </c>
      <c r="B2365" s="2">
        <v>45806</v>
      </c>
      <c r="C2365" t="s">
        <v>114</v>
      </c>
      <c r="D2365" t="s">
        <v>1629</v>
      </c>
      <c r="E2365">
        <v>184.83</v>
      </c>
      <c r="F2365" t="s">
        <v>1578</v>
      </c>
      <c r="G2365" t="s">
        <v>1255</v>
      </c>
    </row>
    <row r="2366" spans="1:7">
      <c r="A2366" t="s">
        <v>3969</v>
      </c>
      <c r="B2366" s="2">
        <v>45806</v>
      </c>
      <c r="C2366" t="s">
        <v>117</v>
      </c>
      <c r="D2366" t="s">
        <v>1629</v>
      </c>
      <c r="E2366">
        <v>183.92</v>
      </c>
      <c r="F2366" t="s">
        <v>1578</v>
      </c>
      <c r="G2366" t="s">
        <v>1255</v>
      </c>
    </row>
    <row r="2367" spans="1:7">
      <c r="A2367" t="s">
        <v>3970</v>
      </c>
      <c r="B2367" s="2">
        <v>45806</v>
      </c>
      <c r="C2367" t="s">
        <v>119</v>
      </c>
      <c r="D2367" t="s">
        <v>1629</v>
      </c>
      <c r="E2367">
        <v>184.83</v>
      </c>
      <c r="F2367" t="s">
        <v>1578</v>
      </c>
      <c r="G2367" t="s">
        <v>1255</v>
      </c>
    </row>
    <row r="2368" spans="1:7">
      <c r="A2368" t="s">
        <v>3971</v>
      </c>
      <c r="B2368" s="2">
        <v>45806</v>
      </c>
      <c r="C2368" t="s">
        <v>61</v>
      </c>
      <c r="D2368" t="s">
        <v>1629</v>
      </c>
      <c r="E2368">
        <v>267.24</v>
      </c>
      <c r="F2368" t="s">
        <v>1578</v>
      </c>
      <c r="G2368" t="s">
        <v>1256</v>
      </c>
    </row>
    <row r="2369" spans="1:7">
      <c r="A2369" t="s">
        <v>3972</v>
      </c>
      <c r="B2369" s="2">
        <v>45806</v>
      </c>
      <c r="C2369" t="s">
        <v>65</v>
      </c>
      <c r="D2369" t="s">
        <v>1629</v>
      </c>
      <c r="E2369">
        <v>265.93</v>
      </c>
      <c r="F2369" t="s">
        <v>1578</v>
      </c>
      <c r="G2369" t="s">
        <v>1256</v>
      </c>
    </row>
    <row r="2370" spans="1:7">
      <c r="A2370" t="s">
        <v>3973</v>
      </c>
      <c r="B2370" s="2">
        <v>45806</v>
      </c>
      <c r="C2370" t="s">
        <v>68</v>
      </c>
      <c r="D2370" t="s">
        <v>1629</v>
      </c>
      <c r="E2370">
        <v>267.24</v>
      </c>
      <c r="F2370" t="s">
        <v>1578</v>
      </c>
      <c r="G2370" t="s">
        <v>1256</v>
      </c>
    </row>
    <row r="2371" spans="1:7">
      <c r="A2371" t="s">
        <v>3974</v>
      </c>
      <c r="B2371" s="2">
        <v>45806</v>
      </c>
      <c r="C2371" t="s">
        <v>70</v>
      </c>
      <c r="D2371" t="s">
        <v>1629</v>
      </c>
      <c r="E2371">
        <v>264.62</v>
      </c>
      <c r="F2371" t="s">
        <v>1578</v>
      </c>
      <c r="G2371" t="s">
        <v>1256</v>
      </c>
    </row>
    <row r="2372" spans="1:7">
      <c r="A2372" t="s">
        <v>3975</v>
      </c>
      <c r="B2372" s="2">
        <v>45806</v>
      </c>
      <c r="C2372" t="s">
        <v>75</v>
      </c>
      <c r="D2372" t="s">
        <v>1629</v>
      </c>
      <c r="E2372">
        <v>264.62</v>
      </c>
      <c r="F2372" t="s">
        <v>1578</v>
      </c>
      <c r="G2372" t="s">
        <v>1256</v>
      </c>
    </row>
    <row r="2373" spans="1:7">
      <c r="A2373" t="s">
        <v>3976</v>
      </c>
      <c r="B2373" s="2">
        <v>45806</v>
      </c>
      <c r="C2373" t="s">
        <v>77</v>
      </c>
      <c r="D2373" t="s">
        <v>1629</v>
      </c>
      <c r="E2373">
        <v>264.62</v>
      </c>
      <c r="F2373" t="s">
        <v>1578</v>
      </c>
      <c r="G2373" t="s">
        <v>1256</v>
      </c>
    </row>
    <row r="2374" spans="1:7">
      <c r="A2374" t="s">
        <v>3977</v>
      </c>
      <c r="B2374" s="2">
        <v>45806</v>
      </c>
      <c r="C2374" t="s">
        <v>79</v>
      </c>
      <c r="D2374" t="s">
        <v>1629</v>
      </c>
      <c r="E2374">
        <v>267.24</v>
      </c>
      <c r="F2374" t="s">
        <v>1578</v>
      </c>
      <c r="G2374" t="s">
        <v>1256</v>
      </c>
    </row>
    <row r="2375" spans="1:7">
      <c r="A2375" t="s">
        <v>3978</v>
      </c>
      <c r="B2375" s="2">
        <v>45806</v>
      </c>
      <c r="C2375" t="s">
        <v>81</v>
      </c>
      <c r="D2375" t="s">
        <v>1629</v>
      </c>
      <c r="E2375">
        <v>529.24</v>
      </c>
      <c r="F2375" t="s">
        <v>1578</v>
      </c>
      <c r="G2375" t="s">
        <v>1256</v>
      </c>
    </row>
    <row r="2376" spans="1:7">
      <c r="A2376" t="s">
        <v>3979</v>
      </c>
      <c r="B2376" s="2">
        <v>45806</v>
      </c>
      <c r="C2376" t="s">
        <v>110</v>
      </c>
      <c r="D2376" t="s">
        <v>1629</v>
      </c>
      <c r="E2376">
        <v>267.24</v>
      </c>
      <c r="F2376" t="s">
        <v>1578</v>
      </c>
      <c r="G2376" t="s">
        <v>1256</v>
      </c>
    </row>
    <row r="2377" spans="1:7">
      <c r="A2377" t="s">
        <v>3980</v>
      </c>
      <c r="B2377" s="2">
        <v>45806</v>
      </c>
      <c r="C2377" t="s">
        <v>114</v>
      </c>
      <c r="D2377" t="s">
        <v>1629</v>
      </c>
      <c r="E2377">
        <v>264.62</v>
      </c>
      <c r="F2377" t="s">
        <v>1578</v>
      </c>
      <c r="G2377" t="s">
        <v>1256</v>
      </c>
    </row>
    <row r="2378" spans="1:7">
      <c r="A2378" t="s">
        <v>3981</v>
      </c>
      <c r="B2378" s="2">
        <v>45806</v>
      </c>
      <c r="C2378" t="s">
        <v>117</v>
      </c>
      <c r="D2378" t="s">
        <v>1629</v>
      </c>
      <c r="E2378">
        <v>263.31</v>
      </c>
      <c r="F2378" t="s">
        <v>1578</v>
      </c>
      <c r="G2378" t="s">
        <v>1256</v>
      </c>
    </row>
    <row r="2379" spans="1:7">
      <c r="A2379" t="s">
        <v>3982</v>
      </c>
      <c r="B2379" s="2">
        <v>45806</v>
      </c>
      <c r="C2379" t="s">
        <v>119</v>
      </c>
      <c r="D2379" t="s">
        <v>1629</v>
      </c>
      <c r="E2379">
        <v>264.62</v>
      </c>
      <c r="F2379" t="s">
        <v>1578</v>
      </c>
      <c r="G2379" t="s">
        <v>1256</v>
      </c>
    </row>
    <row r="2380" spans="1:7">
      <c r="A2380" t="s">
        <v>3983</v>
      </c>
      <c r="B2380" s="2">
        <v>45806</v>
      </c>
      <c r="C2380" t="s">
        <v>84</v>
      </c>
      <c r="D2380" t="s">
        <v>1683</v>
      </c>
      <c r="E2380">
        <v>420</v>
      </c>
      <c r="F2380" t="s">
        <v>1578</v>
      </c>
      <c r="G2380" t="s">
        <v>634</v>
      </c>
    </row>
    <row r="2381" spans="1:7">
      <c r="A2381" t="s">
        <v>3984</v>
      </c>
      <c r="B2381" s="2">
        <v>45807</v>
      </c>
      <c r="C2381" t="s">
        <v>61</v>
      </c>
      <c r="D2381" t="s">
        <v>1629</v>
      </c>
      <c r="E2381">
        <v>401.88</v>
      </c>
      <c r="F2381" t="s">
        <v>1578</v>
      </c>
      <c r="G2381" t="s">
        <v>1257</v>
      </c>
    </row>
    <row r="2382" spans="1:7">
      <c r="A2382" t="s">
        <v>3985</v>
      </c>
      <c r="B2382" s="2">
        <v>45807</v>
      </c>
      <c r="C2382" t="s">
        <v>65</v>
      </c>
      <c r="D2382" t="s">
        <v>1629</v>
      </c>
      <c r="E2382">
        <v>399.91</v>
      </c>
      <c r="F2382" t="s">
        <v>1578</v>
      </c>
      <c r="G2382" t="s">
        <v>1257</v>
      </c>
    </row>
    <row r="2383" spans="1:7">
      <c r="A2383" t="s">
        <v>3986</v>
      </c>
      <c r="B2383" s="2">
        <v>45807</v>
      </c>
      <c r="C2383" t="s">
        <v>68</v>
      </c>
      <c r="D2383" t="s">
        <v>1629</v>
      </c>
      <c r="E2383">
        <v>401.88</v>
      </c>
      <c r="F2383" t="s">
        <v>1578</v>
      </c>
      <c r="G2383" t="s">
        <v>1257</v>
      </c>
    </row>
    <row r="2384" spans="1:7">
      <c r="A2384" t="s">
        <v>3987</v>
      </c>
      <c r="B2384" s="2">
        <v>45807</v>
      </c>
      <c r="C2384" t="s">
        <v>70</v>
      </c>
      <c r="D2384" t="s">
        <v>1629</v>
      </c>
      <c r="E2384">
        <v>397.94</v>
      </c>
      <c r="F2384" t="s">
        <v>1578</v>
      </c>
      <c r="G2384" t="s">
        <v>1257</v>
      </c>
    </row>
    <row r="2385" spans="1:7">
      <c r="A2385" t="s">
        <v>3988</v>
      </c>
      <c r="B2385" s="2">
        <v>45807</v>
      </c>
      <c r="C2385" t="s">
        <v>73</v>
      </c>
      <c r="D2385" t="s">
        <v>1629</v>
      </c>
      <c r="E2385">
        <v>401.88</v>
      </c>
      <c r="F2385" t="s">
        <v>1578</v>
      </c>
      <c r="G2385" t="s">
        <v>1257</v>
      </c>
    </row>
    <row r="2386" spans="1:7">
      <c r="A2386" t="s">
        <v>3989</v>
      </c>
      <c r="B2386" s="2">
        <v>45807</v>
      </c>
      <c r="C2386" t="s">
        <v>75</v>
      </c>
      <c r="D2386" t="s">
        <v>1629</v>
      </c>
      <c r="E2386">
        <v>397.94</v>
      </c>
      <c r="F2386" t="s">
        <v>1578</v>
      </c>
      <c r="G2386" t="s">
        <v>1257</v>
      </c>
    </row>
    <row r="2387" spans="1:7">
      <c r="A2387" t="s">
        <v>3990</v>
      </c>
      <c r="B2387" s="2">
        <v>45807</v>
      </c>
      <c r="C2387" t="s">
        <v>77</v>
      </c>
      <c r="D2387" t="s">
        <v>1629</v>
      </c>
      <c r="E2387">
        <v>397.94</v>
      </c>
      <c r="F2387" t="s">
        <v>1578</v>
      </c>
      <c r="G2387" t="s">
        <v>1257</v>
      </c>
    </row>
    <row r="2388" spans="1:7">
      <c r="A2388" t="s">
        <v>3991</v>
      </c>
      <c r="B2388" s="2">
        <v>45807</v>
      </c>
      <c r="C2388" t="s">
        <v>79</v>
      </c>
      <c r="D2388" t="s">
        <v>1629</v>
      </c>
      <c r="E2388">
        <v>401.88</v>
      </c>
      <c r="F2388" t="s">
        <v>1578</v>
      </c>
      <c r="G2388" t="s">
        <v>1257</v>
      </c>
    </row>
    <row r="2389" spans="1:7">
      <c r="A2389" t="s">
        <v>3992</v>
      </c>
      <c r="B2389" s="2">
        <v>45807</v>
      </c>
      <c r="C2389" t="s">
        <v>81</v>
      </c>
      <c r="D2389" t="s">
        <v>1629</v>
      </c>
      <c r="E2389">
        <v>795.88</v>
      </c>
      <c r="F2389" t="s">
        <v>1578</v>
      </c>
      <c r="G2389" t="s">
        <v>1257</v>
      </c>
    </row>
    <row r="2390" spans="1:7">
      <c r="A2390" t="s">
        <v>3993</v>
      </c>
      <c r="B2390" s="2">
        <v>45807</v>
      </c>
      <c r="C2390" t="s">
        <v>108</v>
      </c>
      <c r="D2390" t="s">
        <v>1629</v>
      </c>
      <c r="E2390">
        <v>799.82</v>
      </c>
      <c r="F2390" t="s">
        <v>1578</v>
      </c>
      <c r="G2390" t="s">
        <v>1257</v>
      </c>
    </row>
    <row r="2391" spans="1:7">
      <c r="A2391" t="s">
        <v>3994</v>
      </c>
      <c r="B2391" s="2">
        <v>45807</v>
      </c>
      <c r="C2391" t="s">
        <v>110</v>
      </c>
      <c r="D2391" t="s">
        <v>1629</v>
      </c>
      <c r="E2391">
        <v>401.88</v>
      </c>
      <c r="F2391" t="s">
        <v>1578</v>
      </c>
      <c r="G2391" t="s">
        <v>1257</v>
      </c>
    </row>
    <row r="2392" spans="1:7">
      <c r="A2392" t="s">
        <v>3995</v>
      </c>
      <c r="B2392" s="2">
        <v>45807</v>
      </c>
      <c r="C2392" t="s">
        <v>114</v>
      </c>
      <c r="D2392" t="s">
        <v>1629</v>
      </c>
      <c r="E2392">
        <v>397.94</v>
      </c>
      <c r="F2392" t="s">
        <v>1578</v>
      </c>
      <c r="G2392" t="s">
        <v>1257</v>
      </c>
    </row>
    <row r="2393" spans="1:7">
      <c r="A2393" t="s">
        <v>3996</v>
      </c>
      <c r="B2393" s="2">
        <v>45807</v>
      </c>
      <c r="C2393" t="s">
        <v>117</v>
      </c>
      <c r="D2393" t="s">
        <v>1629</v>
      </c>
      <c r="E2393">
        <v>395.97</v>
      </c>
      <c r="F2393" t="s">
        <v>1578</v>
      </c>
      <c r="G2393" t="s">
        <v>1257</v>
      </c>
    </row>
    <row r="2394" spans="1:7">
      <c r="A2394" t="s">
        <v>3997</v>
      </c>
      <c r="B2394" s="2">
        <v>45807</v>
      </c>
      <c r="C2394" t="s">
        <v>119</v>
      </c>
      <c r="D2394" t="s">
        <v>1629</v>
      </c>
      <c r="E2394">
        <v>397.94</v>
      </c>
      <c r="F2394" t="s">
        <v>1578</v>
      </c>
      <c r="G2394" t="s">
        <v>1257</v>
      </c>
    </row>
    <row r="2395" spans="1:7">
      <c r="A2395" t="s">
        <v>3998</v>
      </c>
      <c r="B2395" s="2">
        <v>45807</v>
      </c>
      <c r="C2395" t="s">
        <v>91</v>
      </c>
      <c r="D2395" t="s">
        <v>1683</v>
      </c>
      <c r="E2395">
        <v>201</v>
      </c>
      <c r="F2395" t="s">
        <v>1578</v>
      </c>
      <c r="G2395" t="s">
        <v>635</v>
      </c>
    </row>
    <row r="2396" spans="1:7">
      <c r="A2396" t="s">
        <v>3999</v>
      </c>
      <c r="B2396" s="2">
        <v>45807</v>
      </c>
      <c r="C2396" t="s">
        <v>81</v>
      </c>
      <c r="D2396" t="s">
        <v>1683</v>
      </c>
      <c r="E2396">
        <v>78</v>
      </c>
      <c r="F2396" t="s">
        <v>1578</v>
      </c>
      <c r="G2396" t="s">
        <v>636</v>
      </c>
    </row>
    <row r="2397" spans="1:7">
      <c r="A2397" t="s">
        <v>4000</v>
      </c>
      <c r="B2397" s="2">
        <v>45807</v>
      </c>
      <c r="C2397" t="s">
        <v>117</v>
      </c>
      <c r="D2397" t="s">
        <v>1683</v>
      </c>
      <c r="E2397">
        <v>132</v>
      </c>
      <c r="F2397" t="s">
        <v>1578</v>
      </c>
      <c r="G2397" t="s">
        <v>637</v>
      </c>
    </row>
    <row r="2398" spans="1:7">
      <c r="A2398" t="s">
        <v>4001</v>
      </c>
      <c r="B2398" s="2">
        <v>45807</v>
      </c>
      <c r="C2398" t="s">
        <v>110</v>
      </c>
      <c r="D2398" t="s">
        <v>1683</v>
      </c>
      <c r="E2398">
        <v>153</v>
      </c>
      <c r="F2398" t="s">
        <v>1578</v>
      </c>
      <c r="G2398" t="s">
        <v>638</v>
      </c>
    </row>
    <row r="2399" spans="1:7">
      <c r="A2399" t="s">
        <v>4002</v>
      </c>
      <c r="B2399" s="2">
        <v>45808</v>
      </c>
      <c r="C2399" t="s">
        <v>61</v>
      </c>
      <c r="D2399" t="s">
        <v>1629</v>
      </c>
      <c r="E2399">
        <v>286.62</v>
      </c>
      <c r="F2399" t="s">
        <v>1578</v>
      </c>
      <c r="G2399" t="s">
        <v>1258</v>
      </c>
    </row>
    <row r="2400" spans="1:7">
      <c r="A2400" t="s">
        <v>4003</v>
      </c>
      <c r="B2400" s="2">
        <v>45808</v>
      </c>
      <c r="C2400" t="s">
        <v>65</v>
      </c>
      <c r="D2400" t="s">
        <v>1629</v>
      </c>
      <c r="E2400">
        <v>285.20999999999998</v>
      </c>
      <c r="F2400" t="s">
        <v>1578</v>
      </c>
      <c r="G2400" t="s">
        <v>1258</v>
      </c>
    </row>
    <row r="2401" spans="1:7">
      <c r="A2401" t="s">
        <v>4004</v>
      </c>
      <c r="B2401" s="2">
        <v>45808</v>
      </c>
      <c r="C2401" t="s">
        <v>68</v>
      </c>
      <c r="D2401" t="s">
        <v>1629</v>
      </c>
      <c r="E2401">
        <v>286.62</v>
      </c>
      <c r="F2401" t="s">
        <v>1578</v>
      </c>
      <c r="G2401" t="s">
        <v>1258</v>
      </c>
    </row>
    <row r="2402" spans="1:7">
      <c r="A2402" t="s">
        <v>4005</v>
      </c>
      <c r="B2402" s="2">
        <v>45808</v>
      </c>
      <c r="C2402" t="s">
        <v>70</v>
      </c>
      <c r="D2402" t="s">
        <v>1629</v>
      </c>
      <c r="E2402">
        <v>283.81</v>
      </c>
      <c r="F2402" t="s">
        <v>1578</v>
      </c>
      <c r="G2402" t="s">
        <v>1258</v>
      </c>
    </row>
    <row r="2403" spans="1:7">
      <c r="A2403" t="s">
        <v>4006</v>
      </c>
      <c r="B2403" s="2">
        <v>45808</v>
      </c>
      <c r="C2403" t="s">
        <v>73</v>
      </c>
      <c r="D2403" t="s">
        <v>1629</v>
      </c>
      <c r="E2403">
        <v>286.62</v>
      </c>
      <c r="F2403" t="s">
        <v>1578</v>
      </c>
      <c r="G2403" t="s">
        <v>1258</v>
      </c>
    </row>
    <row r="2404" spans="1:7">
      <c r="A2404" t="s">
        <v>4007</v>
      </c>
      <c r="B2404" s="2">
        <v>45808</v>
      </c>
      <c r="C2404" t="s">
        <v>75</v>
      </c>
      <c r="D2404" t="s">
        <v>1629</v>
      </c>
      <c r="E2404">
        <v>283.81</v>
      </c>
      <c r="F2404" t="s">
        <v>1578</v>
      </c>
      <c r="G2404" t="s">
        <v>1258</v>
      </c>
    </row>
    <row r="2405" spans="1:7">
      <c r="A2405" t="s">
        <v>4008</v>
      </c>
      <c r="B2405" s="2">
        <v>45808</v>
      </c>
      <c r="C2405" t="s">
        <v>77</v>
      </c>
      <c r="D2405" t="s">
        <v>1629</v>
      </c>
      <c r="E2405">
        <v>283.81</v>
      </c>
      <c r="F2405" t="s">
        <v>1578</v>
      </c>
      <c r="G2405" t="s">
        <v>1258</v>
      </c>
    </row>
    <row r="2406" spans="1:7">
      <c r="A2406" t="s">
        <v>4009</v>
      </c>
      <c r="B2406" s="2">
        <v>45808</v>
      </c>
      <c r="C2406" t="s">
        <v>79</v>
      </c>
      <c r="D2406" t="s">
        <v>1629</v>
      </c>
      <c r="E2406">
        <v>286.62</v>
      </c>
      <c r="F2406" t="s">
        <v>1578</v>
      </c>
      <c r="G2406" t="s">
        <v>1258</v>
      </c>
    </row>
    <row r="2407" spans="1:7">
      <c r="A2407" t="s">
        <v>4010</v>
      </c>
      <c r="B2407" s="2">
        <v>45808</v>
      </c>
      <c r="C2407" t="s">
        <v>81</v>
      </c>
      <c r="D2407" t="s">
        <v>1629</v>
      </c>
      <c r="E2407">
        <v>567.62</v>
      </c>
      <c r="F2407" t="s">
        <v>1578</v>
      </c>
      <c r="G2407" t="s">
        <v>1258</v>
      </c>
    </row>
    <row r="2408" spans="1:7">
      <c r="A2408" t="s">
        <v>4011</v>
      </c>
      <c r="B2408" s="2">
        <v>45808</v>
      </c>
      <c r="C2408" t="s">
        <v>108</v>
      </c>
      <c r="D2408" t="s">
        <v>1629</v>
      </c>
      <c r="E2408">
        <v>570.42999999999995</v>
      </c>
      <c r="F2408" t="s">
        <v>1578</v>
      </c>
      <c r="G2408" t="s">
        <v>1258</v>
      </c>
    </row>
    <row r="2409" spans="1:7">
      <c r="A2409" t="s">
        <v>4012</v>
      </c>
      <c r="B2409" s="2">
        <v>45808</v>
      </c>
      <c r="C2409" t="s">
        <v>110</v>
      </c>
      <c r="D2409" t="s">
        <v>1629</v>
      </c>
      <c r="E2409">
        <v>286.62</v>
      </c>
      <c r="F2409" t="s">
        <v>1578</v>
      </c>
      <c r="G2409" t="s">
        <v>1258</v>
      </c>
    </row>
    <row r="2410" spans="1:7">
      <c r="A2410" t="s">
        <v>4013</v>
      </c>
      <c r="B2410" s="2">
        <v>45808</v>
      </c>
      <c r="C2410" t="s">
        <v>114</v>
      </c>
      <c r="D2410" t="s">
        <v>1629</v>
      </c>
      <c r="E2410">
        <v>283.81</v>
      </c>
      <c r="F2410" t="s">
        <v>1578</v>
      </c>
      <c r="G2410" t="s">
        <v>1258</v>
      </c>
    </row>
    <row r="2411" spans="1:7">
      <c r="A2411" t="s">
        <v>4014</v>
      </c>
      <c r="B2411" s="2">
        <v>45808</v>
      </c>
      <c r="C2411" t="s">
        <v>117</v>
      </c>
      <c r="D2411" t="s">
        <v>1629</v>
      </c>
      <c r="E2411">
        <v>282.39999999999998</v>
      </c>
      <c r="F2411" t="s">
        <v>1578</v>
      </c>
      <c r="G2411" t="s">
        <v>1258</v>
      </c>
    </row>
    <row r="2412" spans="1:7">
      <c r="A2412" t="s">
        <v>4015</v>
      </c>
      <c r="B2412" s="2">
        <v>45808</v>
      </c>
      <c r="C2412" t="s">
        <v>119</v>
      </c>
      <c r="D2412" t="s">
        <v>1629</v>
      </c>
      <c r="E2412">
        <v>283.81</v>
      </c>
      <c r="F2412" t="s">
        <v>1578</v>
      </c>
      <c r="G2412" t="s">
        <v>1258</v>
      </c>
    </row>
    <row r="2413" spans="1:7">
      <c r="A2413" t="s">
        <v>4016</v>
      </c>
      <c r="B2413" s="2">
        <v>45808</v>
      </c>
      <c r="C2413" t="s">
        <v>102</v>
      </c>
      <c r="D2413" t="s">
        <v>1683</v>
      </c>
      <c r="E2413">
        <v>375</v>
      </c>
      <c r="F2413" t="s">
        <v>1578</v>
      </c>
      <c r="G2413" t="s">
        <v>639</v>
      </c>
    </row>
    <row r="2414" spans="1:7">
      <c r="A2414" t="s">
        <v>4017</v>
      </c>
      <c r="B2414" s="2">
        <v>45809</v>
      </c>
      <c r="C2414" t="s">
        <v>61</v>
      </c>
      <c r="D2414" t="s">
        <v>1629</v>
      </c>
      <c r="E2414">
        <v>138.72</v>
      </c>
      <c r="F2414" t="s">
        <v>1578</v>
      </c>
      <c r="G2414" t="s">
        <v>1259</v>
      </c>
    </row>
    <row r="2415" spans="1:7">
      <c r="A2415" t="s">
        <v>4018</v>
      </c>
      <c r="B2415" s="2">
        <v>45809</v>
      </c>
      <c r="C2415" t="s">
        <v>65</v>
      </c>
      <c r="D2415" t="s">
        <v>1629</v>
      </c>
      <c r="E2415">
        <v>138.04</v>
      </c>
      <c r="F2415" t="s">
        <v>1578</v>
      </c>
      <c r="G2415" t="s">
        <v>1259</v>
      </c>
    </row>
    <row r="2416" spans="1:7">
      <c r="A2416" t="s">
        <v>4019</v>
      </c>
      <c r="B2416" s="2">
        <v>45809</v>
      </c>
      <c r="C2416" t="s">
        <v>68</v>
      </c>
      <c r="D2416" t="s">
        <v>1629</v>
      </c>
      <c r="E2416">
        <v>138.72</v>
      </c>
      <c r="F2416" t="s">
        <v>1578</v>
      </c>
      <c r="G2416" t="s">
        <v>1259</v>
      </c>
    </row>
    <row r="2417" spans="1:7">
      <c r="A2417" t="s">
        <v>4020</v>
      </c>
      <c r="B2417" s="2">
        <v>45809</v>
      </c>
      <c r="C2417" t="s">
        <v>70</v>
      </c>
      <c r="D2417" t="s">
        <v>1629</v>
      </c>
      <c r="E2417">
        <v>137.36000000000001</v>
      </c>
      <c r="F2417" t="s">
        <v>1578</v>
      </c>
      <c r="G2417" t="s">
        <v>1259</v>
      </c>
    </row>
    <row r="2418" spans="1:7">
      <c r="A2418" t="s">
        <v>4021</v>
      </c>
      <c r="B2418" s="2">
        <v>45809</v>
      </c>
      <c r="C2418" t="s">
        <v>75</v>
      </c>
      <c r="D2418" t="s">
        <v>1629</v>
      </c>
      <c r="E2418">
        <v>137.36000000000001</v>
      </c>
      <c r="F2418" t="s">
        <v>1578</v>
      </c>
      <c r="G2418" t="s">
        <v>1259</v>
      </c>
    </row>
    <row r="2419" spans="1:7">
      <c r="A2419" t="s">
        <v>4022</v>
      </c>
      <c r="B2419" s="2">
        <v>45809</v>
      </c>
      <c r="C2419" t="s">
        <v>77</v>
      </c>
      <c r="D2419" t="s">
        <v>1629</v>
      </c>
      <c r="E2419">
        <v>137.36000000000001</v>
      </c>
      <c r="F2419" t="s">
        <v>1578</v>
      </c>
      <c r="G2419" t="s">
        <v>1259</v>
      </c>
    </row>
    <row r="2420" spans="1:7">
      <c r="A2420" t="s">
        <v>4023</v>
      </c>
      <c r="B2420" s="2">
        <v>45809</v>
      </c>
      <c r="C2420" t="s">
        <v>79</v>
      </c>
      <c r="D2420" t="s">
        <v>1629</v>
      </c>
      <c r="E2420">
        <v>138.72</v>
      </c>
      <c r="F2420" t="s">
        <v>1578</v>
      </c>
      <c r="G2420" t="s">
        <v>1259</v>
      </c>
    </row>
    <row r="2421" spans="1:7">
      <c r="A2421" t="s">
        <v>4024</v>
      </c>
      <c r="B2421" s="2">
        <v>45809</v>
      </c>
      <c r="C2421" t="s">
        <v>81</v>
      </c>
      <c r="D2421" t="s">
        <v>1629</v>
      </c>
      <c r="E2421">
        <v>274.72000000000003</v>
      </c>
      <c r="F2421" t="s">
        <v>1578</v>
      </c>
      <c r="G2421" t="s">
        <v>1259</v>
      </c>
    </row>
    <row r="2422" spans="1:7">
      <c r="A2422" t="s">
        <v>4025</v>
      </c>
      <c r="B2422" s="2">
        <v>45809</v>
      </c>
      <c r="C2422" t="s">
        <v>108</v>
      </c>
      <c r="D2422" t="s">
        <v>1629</v>
      </c>
      <c r="E2422">
        <v>276.08</v>
      </c>
      <c r="F2422" t="s">
        <v>1578</v>
      </c>
      <c r="G2422" t="s">
        <v>1259</v>
      </c>
    </row>
    <row r="2423" spans="1:7">
      <c r="A2423" t="s">
        <v>4026</v>
      </c>
      <c r="B2423" s="2">
        <v>45809</v>
      </c>
      <c r="C2423" t="s">
        <v>110</v>
      </c>
      <c r="D2423" t="s">
        <v>1629</v>
      </c>
      <c r="E2423">
        <v>138.72</v>
      </c>
      <c r="F2423" t="s">
        <v>1578</v>
      </c>
      <c r="G2423" t="s">
        <v>1259</v>
      </c>
    </row>
    <row r="2424" spans="1:7">
      <c r="A2424" t="s">
        <v>4027</v>
      </c>
      <c r="B2424" s="2">
        <v>45809</v>
      </c>
      <c r="C2424" t="s">
        <v>114</v>
      </c>
      <c r="D2424" t="s">
        <v>1629</v>
      </c>
      <c r="E2424">
        <v>137.36000000000001</v>
      </c>
      <c r="F2424" t="s">
        <v>1578</v>
      </c>
      <c r="G2424" t="s">
        <v>1259</v>
      </c>
    </row>
    <row r="2425" spans="1:7">
      <c r="A2425" t="s">
        <v>4028</v>
      </c>
      <c r="B2425" s="2">
        <v>45809</v>
      </c>
      <c r="C2425" t="s">
        <v>117</v>
      </c>
      <c r="D2425" t="s">
        <v>1629</v>
      </c>
      <c r="E2425">
        <v>136.68</v>
      </c>
      <c r="F2425" t="s">
        <v>1578</v>
      </c>
      <c r="G2425" t="s">
        <v>1259</v>
      </c>
    </row>
    <row r="2426" spans="1:7">
      <c r="A2426" t="s">
        <v>4029</v>
      </c>
      <c r="B2426" s="2">
        <v>45809</v>
      </c>
      <c r="C2426" t="s">
        <v>119</v>
      </c>
      <c r="D2426" t="s">
        <v>1629</v>
      </c>
      <c r="E2426">
        <v>137.36000000000001</v>
      </c>
      <c r="F2426" t="s">
        <v>1578</v>
      </c>
      <c r="G2426" t="s">
        <v>1259</v>
      </c>
    </row>
    <row r="2427" spans="1:7">
      <c r="A2427" t="s">
        <v>4030</v>
      </c>
      <c r="B2427" s="2">
        <v>45811</v>
      </c>
      <c r="C2427" t="s">
        <v>61</v>
      </c>
      <c r="D2427" t="s">
        <v>1629</v>
      </c>
      <c r="E2427">
        <v>275.39999999999998</v>
      </c>
      <c r="F2427" t="s">
        <v>1578</v>
      </c>
      <c r="G2427" t="s">
        <v>1260</v>
      </c>
    </row>
    <row r="2428" spans="1:7">
      <c r="A2428" t="s">
        <v>4031</v>
      </c>
      <c r="B2428" s="2">
        <v>45811</v>
      </c>
      <c r="C2428" t="s">
        <v>65</v>
      </c>
      <c r="D2428" t="s">
        <v>1629</v>
      </c>
      <c r="E2428">
        <v>274.05</v>
      </c>
      <c r="F2428" t="s">
        <v>1578</v>
      </c>
      <c r="G2428" t="s">
        <v>1260</v>
      </c>
    </row>
    <row r="2429" spans="1:7">
      <c r="A2429" t="s">
        <v>4032</v>
      </c>
      <c r="B2429" s="2">
        <v>45811</v>
      </c>
      <c r="C2429" t="s">
        <v>68</v>
      </c>
      <c r="D2429" t="s">
        <v>1629</v>
      </c>
      <c r="E2429">
        <v>275.39999999999998</v>
      </c>
      <c r="F2429" t="s">
        <v>1578</v>
      </c>
      <c r="G2429" t="s">
        <v>1260</v>
      </c>
    </row>
    <row r="2430" spans="1:7">
      <c r="A2430" t="s">
        <v>4033</v>
      </c>
      <c r="B2430" s="2">
        <v>45811</v>
      </c>
      <c r="C2430" t="s">
        <v>75</v>
      </c>
      <c r="D2430" t="s">
        <v>1629</v>
      </c>
      <c r="E2430">
        <v>272.7</v>
      </c>
      <c r="F2430" t="s">
        <v>1578</v>
      </c>
      <c r="G2430" t="s">
        <v>1260</v>
      </c>
    </row>
    <row r="2431" spans="1:7">
      <c r="A2431" t="s">
        <v>4034</v>
      </c>
      <c r="B2431" s="2">
        <v>45811</v>
      </c>
      <c r="C2431" t="s">
        <v>79</v>
      </c>
      <c r="D2431" t="s">
        <v>1629</v>
      </c>
      <c r="E2431">
        <v>275.39999999999998</v>
      </c>
      <c r="F2431" t="s">
        <v>1578</v>
      </c>
      <c r="G2431" t="s">
        <v>1260</v>
      </c>
    </row>
    <row r="2432" spans="1:7">
      <c r="A2432" t="s">
        <v>4035</v>
      </c>
      <c r="B2432" s="2">
        <v>45811</v>
      </c>
      <c r="C2432" t="s">
        <v>81</v>
      </c>
      <c r="D2432" t="s">
        <v>1629</v>
      </c>
      <c r="E2432">
        <v>545.4</v>
      </c>
      <c r="F2432" t="s">
        <v>1578</v>
      </c>
      <c r="G2432" t="s">
        <v>1260</v>
      </c>
    </row>
    <row r="2433" spans="1:7">
      <c r="A2433" t="s">
        <v>4036</v>
      </c>
      <c r="B2433" s="2">
        <v>45811</v>
      </c>
      <c r="C2433" t="s">
        <v>97</v>
      </c>
      <c r="D2433" t="s">
        <v>1629</v>
      </c>
      <c r="E2433">
        <v>275.39999999999998</v>
      </c>
      <c r="F2433" t="s">
        <v>1578</v>
      </c>
      <c r="G2433" t="s">
        <v>1260</v>
      </c>
    </row>
    <row r="2434" spans="1:7">
      <c r="A2434" t="s">
        <v>4037</v>
      </c>
      <c r="B2434" s="2">
        <v>45811</v>
      </c>
      <c r="C2434" t="s">
        <v>110</v>
      </c>
      <c r="D2434" t="s">
        <v>1629</v>
      </c>
      <c r="E2434">
        <v>275.39999999999998</v>
      </c>
      <c r="F2434" t="s">
        <v>1578</v>
      </c>
      <c r="G2434" t="s">
        <v>1260</v>
      </c>
    </row>
    <row r="2435" spans="1:7">
      <c r="A2435" t="s">
        <v>4038</v>
      </c>
      <c r="B2435" s="2">
        <v>45811</v>
      </c>
      <c r="C2435" t="s">
        <v>114</v>
      </c>
      <c r="D2435" t="s">
        <v>1629</v>
      </c>
      <c r="E2435">
        <v>272.7</v>
      </c>
      <c r="F2435" t="s">
        <v>1578</v>
      </c>
      <c r="G2435" t="s">
        <v>1260</v>
      </c>
    </row>
    <row r="2436" spans="1:7">
      <c r="A2436" t="s">
        <v>4039</v>
      </c>
      <c r="B2436" s="2">
        <v>45811</v>
      </c>
      <c r="C2436" t="s">
        <v>117</v>
      </c>
      <c r="D2436" t="s">
        <v>1629</v>
      </c>
      <c r="E2436">
        <v>271.35000000000002</v>
      </c>
      <c r="F2436" t="s">
        <v>1578</v>
      </c>
      <c r="G2436" t="s">
        <v>1260</v>
      </c>
    </row>
    <row r="2437" spans="1:7">
      <c r="A2437" t="s">
        <v>4040</v>
      </c>
      <c r="B2437" s="2">
        <v>45811</v>
      </c>
      <c r="C2437" t="s">
        <v>119</v>
      </c>
      <c r="D2437" t="s">
        <v>1629</v>
      </c>
      <c r="E2437">
        <v>272.7</v>
      </c>
      <c r="F2437" t="s">
        <v>1578</v>
      </c>
      <c r="G2437" t="s">
        <v>1260</v>
      </c>
    </row>
    <row r="2438" spans="1:7">
      <c r="A2438" t="s">
        <v>4041</v>
      </c>
      <c r="B2438" s="2">
        <v>45811</v>
      </c>
      <c r="C2438" t="s">
        <v>61</v>
      </c>
      <c r="D2438" t="s">
        <v>1629</v>
      </c>
      <c r="E2438">
        <v>244.8</v>
      </c>
      <c r="F2438" t="s">
        <v>1578</v>
      </c>
      <c r="G2438" t="s">
        <v>1261</v>
      </c>
    </row>
    <row r="2439" spans="1:7">
      <c r="A2439" t="s">
        <v>4042</v>
      </c>
      <c r="B2439" s="2">
        <v>45811</v>
      </c>
      <c r="C2439" t="s">
        <v>65</v>
      </c>
      <c r="D2439" t="s">
        <v>1629</v>
      </c>
      <c r="E2439">
        <v>243.6</v>
      </c>
      <c r="F2439" t="s">
        <v>1578</v>
      </c>
      <c r="G2439" t="s">
        <v>1261</v>
      </c>
    </row>
    <row r="2440" spans="1:7">
      <c r="A2440" t="s">
        <v>4043</v>
      </c>
      <c r="B2440" s="2">
        <v>45811</v>
      </c>
      <c r="C2440" t="s">
        <v>75</v>
      </c>
      <c r="D2440" t="s">
        <v>1629</v>
      </c>
      <c r="E2440">
        <v>242.4</v>
      </c>
      <c r="F2440" t="s">
        <v>1578</v>
      </c>
      <c r="G2440" t="s">
        <v>1261</v>
      </c>
    </row>
    <row r="2441" spans="1:7">
      <c r="A2441" t="s">
        <v>4044</v>
      </c>
      <c r="B2441" s="2">
        <v>45811</v>
      </c>
      <c r="C2441" t="s">
        <v>79</v>
      </c>
      <c r="D2441" t="s">
        <v>1629</v>
      </c>
      <c r="E2441">
        <v>244.8</v>
      </c>
      <c r="F2441" t="s">
        <v>1578</v>
      </c>
      <c r="G2441" t="s">
        <v>1261</v>
      </c>
    </row>
    <row r="2442" spans="1:7">
      <c r="A2442" t="s">
        <v>4045</v>
      </c>
      <c r="B2442" s="2">
        <v>45811</v>
      </c>
      <c r="C2442" t="s">
        <v>81</v>
      </c>
      <c r="D2442" t="s">
        <v>1629</v>
      </c>
      <c r="E2442">
        <v>484.8</v>
      </c>
      <c r="F2442" t="s">
        <v>1578</v>
      </c>
      <c r="G2442" t="s">
        <v>1261</v>
      </c>
    </row>
    <row r="2443" spans="1:7">
      <c r="A2443" t="s">
        <v>4046</v>
      </c>
      <c r="B2443" s="2">
        <v>45811</v>
      </c>
      <c r="C2443" t="s">
        <v>84</v>
      </c>
      <c r="D2443" t="s">
        <v>1629</v>
      </c>
      <c r="E2443">
        <v>86.52</v>
      </c>
      <c r="F2443" t="s">
        <v>1578</v>
      </c>
      <c r="G2443" t="s">
        <v>1261</v>
      </c>
    </row>
    <row r="2444" spans="1:7">
      <c r="A2444" t="s">
        <v>4047</v>
      </c>
      <c r="B2444" s="2">
        <v>45811</v>
      </c>
      <c r="C2444" t="s">
        <v>89</v>
      </c>
      <c r="D2444" t="s">
        <v>1629</v>
      </c>
      <c r="E2444">
        <v>369</v>
      </c>
      <c r="F2444" t="s">
        <v>1578</v>
      </c>
      <c r="G2444" t="s">
        <v>1261</v>
      </c>
    </row>
    <row r="2445" spans="1:7">
      <c r="A2445" t="s">
        <v>4048</v>
      </c>
      <c r="B2445" s="2">
        <v>45811</v>
      </c>
      <c r="C2445" t="s">
        <v>110</v>
      </c>
      <c r="D2445" t="s">
        <v>1629</v>
      </c>
      <c r="E2445">
        <v>244.8</v>
      </c>
      <c r="F2445" t="s">
        <v>1578</v>
      </c>
      <c r="G2445" t="s">
        <v>1261</v>
      </c>
    </row>
    <row r="2446" spans="1:7">
      <c r="A2446" t="s">
        <v>4049</v>
      </c>
      <c r="B2446" s="2">
        <v>45811</v>
      </c>
      <c r="C2446" t="s">
        <v>114</v>
      </c>
      <c r="D2446" t="s">
        <v>1629</v>
      </c>
      <c r="E2446">
        <v>242.4</v>
      </c>
      <c r="F2446" t="s">
        <v>1578</v>
      </c>
      <c r="G2446" t="s">
        <v>1261</v>
      </c>
    </row>
    <row r="2447" spans="1:7">
      <c r="A2447" t="s">
        <v>4050</v>
      </c>
      <c r="B2447" s="2">
        <v>45811</v>
      </c>
      <c r="C2447" t="s">
        <v>117</v>
      </c>
      <c r="D2447" t="s">
        <v>1629</v>
      </c>
      <c r="E2447">
        <v>241.2</v>
      </c>
      <c r="F2447" t="s">
        <v>1578</v>
      </c>
      <c r="G2447" t="s">
        <v>1261</v>
      </c>
    </row>
    <row r="2448" spans="1:7">
      <c r="A2448" t="s">
        <v>4051</v>
      </c>
      <c r="B2448" s="2">
        <v>45811</v>
      </c>
      <c r="C2448" t="s">
        <v>119</v>
      </c>
      <c r="D2448" t="s">
        <v>1629</v>
      </c>
      <c r="E2448">
        <v>242.4</v>
      </c>
      <c r="F2448" t="s">
        <v>1578</v>
      </c>
      <c r="G2448" t="s">
        <v>1261</v>
      </c>
    </row>
    <row r="2449" spans="1:7">
      <c r="A2449" t="s">
        <v>4052</v>
      </c>
      <c r="B2449" s="2">
        <v>45811</v>
      </c>
      <c r="C2449" t="s">
        <v>61</v>
      </c>
      <c r="D2449" t="s">
        <v>1629</v>
      </c>
      <c r="E2449">
        <v>278.45999999999998</v>
      </c>
      <c r="F2449" t="s">
        <v>1578</v>
      </c>
      <c r="G2449" t="s">
        <v>1262</v>
      </c>
    </row>
    <row r="2450" spans="1:7">
      <c r="A2450" t="s">
        <v>4053</v>
      </c>
      <c r="B2450" s="2">
        <v>45811</v>
      </c>
      <c r="C2450" t="s">
        <v>65</v>
      </c>
      <c r="D2450" t="s">
        <v>1629</v>
      </c>
      <c r="E2450">
        <v>277.08999999999997</v>
      </c>
      <c r="F2450" t="s">
        <v>1578</v>
      </c>
      <c r="G2450" t="s">
        <v>1262</v>
      </c>
    </row>
    <row r="2451" spans="1:7">
      <c r="A2451" t="s">
        <v>4054</v>
      </c>
      <c r="B2451" s="2">
        <v>45811</v>
      </c>
      <c r="C2451" t="s">
        <v>68</v>
      </c>
      <c r="D2451" t="s">
        <v>1629</v>
      </c>
      <c r="E2451">
        <v>278.45999999999998</v>
      </c>
      <c r="F2451" t="s">
        <v>1578</v>
      </c>
      <c r="G2451" t="s">
        <v>1262</v>
      </c>
    </row>
    <row r="2452" spans="1:7">
      <c r="A2452" t="s">
        <v>4055</v>
      </c>
      <c r="B2452" s="2">
        <v>45811</v>
      </c>
      <c r="C2452" t="s">
        <v>70</v>
      </c>
      <c r="D2452" t="s">
        <v>1629</v>
      </c>
      <c r="E2452">
        <v>275.73</v>
      </c>
      <c r="F2452" t="s">
        <v>1578</v>
      </c>
      <c r="G2452" t="s">
        <v>1262</v>
      </c>
    </row>
    <row r="2453" spans="1:7">
      <c r="A2453" t="s">
        <v>4056</v>
      </c>
      <c r="B2453" s="2">
        <v>45811</v>
      </c>
      <c r="C2453" t="s">
        <v>75</v>
      </c>
      <c r="D2453" t="s">
        <v>1629</v>
      </c>
      <c r="E2453">
        <v>275.73</v>
      </c>
      <c r="F2453" t="s">
        <v>1578</v>
      </c>
      <c r="G2453" t="s">
        <v>1262</v>
      </c>
    </row>
    <row r="2454" spans="1:7">
      <c r="A2454" t="s">
        <v>4057</v>
      </c>
      <c r="B2454" s="2">
        <v>45811</v>
      </c>
      <c r="C2454" t="s">
        <v>77</v>
      </c>
      <c r="D2454" t="s">
        <v>1629</v>
      </c>
      <c r="E2454">
        <v>275.73</v>
      </c>
      <c r="F2454" t="s">
        <v>1578</v>
      </c>
      <c r="G2454" t="s">
        <v>1262</v>
      </c>
    </row>
    <row r="2455" spans="1:7">
      <c r="A2455" t="s">
        <v>4058</v>
      </c>
      <c r="B2455" s="2">
        <v>45811</v>
      </c>
      <c r="C2455" t="s">
        <v>79</v>
      </c>
      <c r="D2455" t="s">
        <v>1629</v>
      </c>
      <c r="E2455">
        <v>278.45999999999998</v>
      </c>
      <c r="F2455" t="s">
        <v>1578</v>
      </c>
      <c r="G2455" t="s">
        <v>1262</v>
      </c>
    </row>
    <row r="2456" spans="1:7">
      <c r="A2456" t="s">
        <v>4059</v>
      </c>
      <c r="B2456" s="2">
        <v>45811</v>
      </c>
      <c r="C2456" t="s">
        <v>81</v>
      </c>
      <c r="D2456" t="s">
        <v>1629</v>
      </c>
      <c r="E2456">
        <v>551.46</v>
      </c>
      <c r="F2456" t="s">
        <v>1578</v>
      </c>
      <c r="G2456" t="s">
        <v>1262</v>
      </c>
    </row>
    <row r="2457" spans="1:7">
      <c r="A2457" t="s">
        <v>4060</v>
      </c>
      <c r="B2457" s="2">
        <v>45811</v>
      </c>
      <c r="C2457" t="s">
        <v>108</v>
      </c>
      <c r="D2457" t="s">
        <v>1629</v>
      </c>
      <c r="E2457">
        <v>554.19000000000005</v>
      </c>
      <c r="F2457" t="s">
        <v>1578</v>
      </c>
      <c r="G2457" t="s">
        <v>1262</v>
      </c>
    </row>
    <row r="2458" spans="1:7">
      <c r="A2458" t="s">
        <v>4061</v>
      </c>
      <c r="B2458" s="2">
        <v>45811</v>
      </c>
      <c r="C2458" t="s">
        <v>110</v>
      </c>
      <c r="D2458" t="s">
        <v>1629</v>
      </c>
      <c r="E2458">
        <v>278.45999999999998</v>
      </c>
      <c r="F2458" t="s">
        <v>1578</v>
      </c>
      <c r="G2458" t="s">
        <v>1262</v>
      </c>
    </row>
    <row r="2459" spans="1:7">
      <c r="A2459" t="s">
        <v>4062</v>
      </c>
      <c r="B2459" s="2">
        <v>45811</v>
      </c>
      <c r="C2459" t="s">
        <v>114</v>
      </c>
      <c r="D2459" t="s">
        <v>1629</v>
      </c>
      <c r="E2459">
        <v>275.73</v>
      </c>
      <c r="F2459" t="s">
        <v>1578</v>
      </c>
      <c r="G2459" t="s">
        <v>1262</v>
      </c>
    </row>
    <row r="2460" spans="1:7">
      <c r="A2460" t="s">
        <v>4063</v>
      </c>
      <c r="B2460" s="2">
        <v>45811</v>
      </c>
      <c r="C2460" t="s">
        <v>117</v>
      </c>
      <c r="D2460" t="s">
        <v>1629</v>
      </c>
      <c r="E2460">
        <v>274.36</v>
      </c>
      <c r="F2460" t="s">
        <v>1578</v>
      </c>
      <c r="G2460" t="s">
        <v>1262</v>
      </c>
    </row>
    <row r="2461" spans="1:7">
      <c r="A2461" t="s">
        <v>4064</v>
      </c>
      <c r="B2461" s="2">
        <v>45811</v>
      </c>
      <c r="C2461" t="s">
        <v>119</v>
      </c>
      <c r="D2461" t="s">
        <v>1629</v>
      </c>
      <c r="E2461">
        <v>275.73</v>
      </c>
      <c r="F2461" t="s">
        <v>1578</v>
      </c>
      <c r="G2461" t="s">
        <v>1262</v>
      </c>
    </row>
    <row r="2462" spans="1:7">
      <c r="A2462" t="s">
        <v>4065</v>
      </c>
      <c r="B2462" s="2">
        <v>45812</v>
      </c>
      <c r="C2462" t="s">
        <v>61</v>
      </c>
      <c r="D2462" t="s">
        <v>1629</v>
      </c>
      <c r="E2462">
        <v>312.12</v>
      </c>
      <c r="F2462" t="s">
        <v>1578</v>
      </c>
      <c r="G2462" t="s">
        <v>1263</v>
      </c>
    </row>
    <row r="2463" spans="1:7">
      <c r="A2463" t="s">
        <v>4066</v>
      </c>
      <c r="B2463" s="2">
        <v>45812</v>
      </c>
      <c r="C2463" t="s">
        <v>65</v>
      </c>
      <c r="D2463" t="s">
        <v>1629</v>
      </c>
      <c r="E2463">
        <v>310.58999999999997</v>
      </c>
      <c r="F2463" t="s">
        <v>1578</v>
      </c>
      <c r="G2463" t="s">
        <v>1263</v>
      </c>
    </row>
    <row r="2464" spans="1:7">
      <c r="A2464" t="s">
        <v>4067</v>
      </c>
      <c r="B2464" s="2">
        <v>45812</v>
      </c>
      <c r="C2464" t="s">
        <v>68</v>
      </c>
      <c r="D2464" t="s">
        <v>1629</v>
      </c>
      <c r="E2464">
        <v>312.12</v>
      </c>
      <c r="F2464" t="s">
        <v>1578</v>
      </c>
      <c r="G2464" t="s">
        <v>1263</v>
      </c>
    </row>
    <row r="2465" spans="1:7">
      <c r="A2465" t="s">
        <v>4068</v>
      </c>
      <c r="B2465" s="2">
        <v>45812</v>
      </c>
      <c r="C2465" t="s">
        <v>70</v>
      </c>
      <c r="D2465" t="s">
        <v>1629</v>
      </c>
      <c r="E2465">
        <v>309.06</v>
      </c>
      <c r="F2465" t="s">
        <v>1578</v>
      </c>
      <c r="G2465" t="s">
        <v>1263</v>
      </c>
    </row>
    <row r="2466" spans="1:7">
      <c r="A2466" t="s">
        <v>4069</v>
      </c>
      <c r="B2466" s="2">
        <v>45812</v>
      </c>
      <c r="C2466" t="s">
        <v>75</v>
      </c>
      <c r="D2466" t="s">
        <v>1629</v>
      </c>
      <c r="E2466">
        <v>309.06</v>
      </c>
      <c r="F2466" t="s">
        <v>1578</v>
      </c>
      <c r="G2466" t="s">
        <v>1263</v>
      </c>
    </row>
    <row r="2467" spans="1:7">
      <c r="A2467" t="s">
        <v>4070</v>
      </c>
      <c r="B2467" s="2">
        <v>45812</v>
      </c>
      <c r="C2467" t="s">
        <v>77</v>
      </c>
      <c r="D2467" t="s">
        <v>1629</v>
      </c>
      <c r="E2467">
        <v>309.06</v>
      </c>
      <c r="F2467" t="s">
        <v>1578</v>
      </c>
      <c r="G2467" t="s">
        <v>1263</v>
      </c>
    </row>
    <row r="2468" spans="1:7">
      <c r="A2468" t="s">
        <v>4071</v>
      </c>
      <c r="B2468" s="2">
        <v>45812</v>
      </c>
      <c r="C2468" t="s">
        <v>79</v>
      </c>
      <c r="D2468" t="s">
        <v>1629</v>
      </c>
      <c r="E2468">
        <v>312.12</v>
      </c>
      <c r="F2468" t="s">
        <v>1578</v>
      </c>
      <c r="G2468" t="s">
        <v>1263</v>
      </c>
    </row>
    <row r="2469" spans="1:7">
      <c r="A2469" t="s">
        <v>4072</v>
      </c>
      <c r="B2469" s="2">
        <v>45812</v>
      </c>
      <c r="C2469" t="s">
        <v>81</v>
      </c>
      <c r="D2469" t="s">
        <v>1629</v>
      </c>
      <c r="E2469">
        <v>618.12</v>
      </c>
      <c r="F2469" t="s">
        <v>1578</v>
      </c>
      <c r="G2469" t="s">
        <v>1263</v>
      </c>
    </row>
    <row r="2470" spans="1:7">
      <c r="A2470" t="s">
        <v>4073</v>
      </c>
      <c r="B2470" s="2">
        <v>45812</v>
      </c>
      <c r="C2470" t="s">
        <v>110</v>
      </c>
      <c r="D2470" t="s">
        <v>1629</v>
      </c>
      <c r="E2470">
        <v>312.12</v>
      </c>
      <c r="F2470" t="s">
        <v>1578</v>
      </c>
      <c r="G2470" t="s">
        <v>1263</v>
      </c>
    </row>
    <row r="2471" spans="1:7">
      <c r="A2471" t="s">
        <v>4074</v>
      </c>
      <c r="B2471" s="2">
        <v>45812</v>
      </c>
      <c r="C2471" t="s">
        <v>114</v>
      </c>
      <c r="D2471" t="s">
        <v>1629</v>
      </c>
      <c r="E2471">
        <v>309.06</v>
      </c>
      <c r="F2471" t="s">
        <v>1578</v>
      </c>
      <c r="G2471" t="s">
        <v>1263</v>
      </c>
    </row>
    <row r="2472" spans="1:7">
      <c r="A2472" t="s">
        <v>4075</v>
      </c>
      <c r="B2472" s="2">
        <v>45812</v>
      </c>
      <c r="C2472" t="s">
        <v>117</v>
      </c>
      <c r="D2472" t="s">
        <v>1629</v>
      </c>
      <c r="E2472">
        <v>307.52999999999997</v>
      </c>
      <c r="F2472" t="s">
        <v>1578</v>
      </c>
      <c r="G2472" t="s">
        <v>1263</v>
      </c>
    </row>
    <row r="2473" spans="1:7">
      <c r="A2473" t="s">
        <v>4076</v>
      </c>
      <c r="B2473" s="2">
        <v>45812</v>
      </c>
      <c r="C2473" t="s">
        <v>119</v>
      </c>
      <c r="D2473" t="s">
        <v>1629</v>
      </c>
      <c r="E2473">
        <v>309.06</v>
      </c>
      <c r="F2473" t="s">
        <v>1578</v>
      </c>
      <c r="G2473" t="s">
        <v>1263</v>
      </c>
    </row>
    <row r="2474" spans="1:7">
      <c r="A2474" t="s">
        <v>4077</v>
      </c>
      <c r="B2474" s="2">
        <v>45812</v>
      </c>
      <c r="C2474" t="s">
        <v>89</v>
      </c>
      <c r="D2474" t="s">
        <v>1683</v>
      </c>
      <c r="E2474">
        <v>323</v>
      </c>
      <c r="F2474" t="s">
        <v>1578</v>
      </c>
      <c r="G2474" t="s">
        <v>641</v>
      </c>
    </row>
    <row r="2475" spans="1:7">
      <c r="A2475" t="s">
        <v>4078</v>
      </c>
      <c r="B2475" s="2">
        <v>45812</v>
      </c>
      <c r="C2475" t="s">
        <v>119</v>
      </c>
      <c r="D2475" t="s">
        <v>1683</v>
      </c>
      <c r="E2475">
        <v>178</v>
      </c>
      <c r="F2475" t="s">
        <v>1578</v>
      </c>
      <c r="G2475" t="s">
        <v>642</v>
      </c>
    </row>
    <row r="2476" spans="1:7">
      <c r="A2476" t="s">
        <v>4079</v>
      </c>
      <c r="B2476" s="2">
        <v>45813</v>
      </c>
      <c r="C2476" t="s">
        <v>61</v>
      </c>
      <c r="D2476" t="s">
        <v>1629</v>
      </c>
      <c r="E2476">
        <v>235.62</v>
      </c>
      <c r="F2476" t="s">
        <v>1578</v>
      </c>
      <c r="G2476" t="s">
        <v>1264</v>
      </c>
    </row>
    <row r="2477" spans="1:7">
      <c r="A2477" t="s">
        <v>4080</v>
      </c>
      <c r="B2477" s="2">
        <v>45813</v>
      </c>
      <c r="C2477" t="s">
        <v>65</v>
      </c>
      <c r="D2477" t="s">
        <v>1629</v>
      </c>
      <c r="E2477">
        <v>234.46</v>
      </c>
      <c r="F2477" t="s">
        <v>1578</v>
      </c>
      <c r="G2477" t="s">
        <v>1264</v>
      </c>
    </row>
    <row r="2478" spans="1:7">
      <c r="A2478" t="s">
        <v>4081</v>
      </c>
      <c r="B2478" s="2">
        <v>45813</v>
      </c>
      <c r="C2478" t="s">
        <v>68</v>
      </c>
      <c r="D2478" t="s">
        <v>1629</v>
      </c>
      <c r="E2478">
        <v>235.62</v>
      </c>
      <c r="F2478" t="s">
        <v>1578</v>
      </c>
      <c r="G2478" t="s">
        <v>1264</v>
      </c>
    </row>
    <row r="2479" spans="1:7">
      <c r="A2479" t="s">
        <v>4082</v>
      </c>
      <c r="B2479" s="2">
        <v>45813</v>
      </c>
      <c r="C2479" t="s">
        <v>75</v>
      </c>
      <c r="D2479" t="s">
        <v>1629</v>
      </c>
      <c r="E2479">
        <v>233.31</v>
      </c>
      <c r="F2479" t="s">
        <v>1578</v>
      </c>
      <c r="G2479" t="s">
        <v>1264</v>
      </c>
    </row>
    <row r="2480" spans="1:7">
      <c r="A2480" t="s">
        <v>4083</v>
      </c>
      <c r="B2480" s="2">
        <v>45813</v>
      </c>
      <c r="C2480" t="s">
        <v>79</v>
      </c>
      <c r="D2480" t="s">
        <v>1629</v>
      </c>
      <c r="E2480">
        <v>235.62</v>
      </c>
      <c r="F2480" t="s">
        <v>1578</v>
      </c>
      <c r="G2480" t="s">
        <v>1264</v>
      </c>
    </row>
    <row r="2481" spans="1:7">
      <c r="A2481" t="s">
        <v>4084</v>
      </c>
      <c r="B2481" s="2">
        <v>45813</v>
      </c>
      <c r="C2481" t="s">
        <v>81</v>
      </c>
      <c r="D2481" t="s">
        <v>1629</v>
      </c>
      <c r="E2481">
        <v>466.62</v>
      </c>
      <c r="F2481" t="s">
        <v>1578</v>
      </c>
      <c r="G2481" t="s">
        <v>1264</v>
      </c>
    </row>
    <row r="2482" spans="1:7">
      <c r="A2482" t="s">
        <v>4085</v>
      </c>
      <c r="B2482" s="2">
        <v>45813</v>
      </c>
      <c r="C2482" t="s">
        <v>110</v>
      </c>
      <c r="D2482" t="s">
        <v>1629</v>
      </c>
      <c r="E2482">
        <v>235.62</v>
      </c>
      <c r="F2482" t="s">
        <v>1578</v>
      </c>
      <c r="G2482" t="s">
        <v>1264</v>
      </c>
    </row>
    <row r="2483" spans="1:7">
      <c r="A2483" t="s">
        <v>4086</v>
      </c>
      <c r="B2483" s="2">
        <v>45813</v>
      </c>
      <c r="C2483" t="s">
        <v>114</v>
      </c>
      <c r="D2483" t="s">
        <v>1629</v>
      </c>
      <c r="E2483">
        <v>233.31</v>
      </c>
      <c r="F2483" t="s">
        <v>1578</v>
      </c>
      <c r="G2483" t="s">
        <v>1264</v>
      </c>
    </row>
    <row r="2484" spans="1:7">
      <c r="A2484" t="s">
        <v>4087</v>
      </c>
      <c r="B2484" s="2">
        <v>45813</v>
      </c>
      <c r="C2484" t="s">
        <v>117</v>
      </c>
      <c r="D2484" t="s">
        <v>1629</v>
      </c>
      <c r="E2484">
        <v>232.15</v>
      </c>
      <c r="F2484" t="s">
        <v>1578</v>
      </c>
      <c r="G2484" t="s">
        <v>1264</v>
      </c>
    </row>
    <row r="2485" spans="1:7">
      <c r="A2485" t="s">
        <v>4088</v>
      </c>
      <c r="B2485" s="2">
        <v>45813</v>
      </c>
      <c r="C2485" t="s">
        <v>119</v>
      </c>
      <c r="D2485" t="s">
        <v>1629</v>
      </c>
      <c r="E2485">
        <v>233.31</v>
      </c>
      <c r="F2485" t="s">
        <v>1578</v>
      </c>
      <c r="G2485" t="s">
        <v>1264</v>
      </c>
    </row>
    <row r="2486" spans="1:7">
      <c r="A2486" t="s">
        <v>4089</v>
      </c>
      <c r="B2486" s="2">
        <v>45813</v>
      </c>
      <c r="C2486" t="s">
        <v>75</v>
      </c>
      <c r="D2486" t="s">
        <v>1629</v>
      </c>
      <c r="E2486">
        <v>331.28</v>
      </c>
      <c r="F2486" t="s">
        <v>1578</v>
      </c>
      <c r="G2486" t="s">
        <v>1265</v>
      </c>
    </row>
    <row r="2487" spans="1:7">
      <c r="A2487" t="s">
        <v>4090</v>
      </c>
      <c r="B2487" s="2">
        <v>45813</v>
      </c>
      <c r="C2487" t="s">
        <v>104</v>
      </c>
      <c r="D2487" t="s">
        <v>1629</v>
      </c>
      <c r="E2487">
        <v>675.68</v>
      </c>
      <c r="F2487" t="s">
        <v>1578</v>
      </c>
      <c r="G2487" t="s">
        <v>1265</v>
      </c>
    </row>
    <row r="2488" spans="1:7">
      <c r="A2488" t="s">
        <v>4091</v>
      </c>
      <c r="B2488" s="2">
        <v>45813</v>
      </c>
      <c r="C2488" t="s">
        <v>108</v>
      </c>
      <c r="D2488" t="s">
        <v>1629</v>
      </c>
      <c r="E2488">
        <v>665.84</v>
      </c>
      <c r="F2488" t="s">
        <v>1578</v>
      </c>
      <c r="G2488" t="s">
        <v>1265</v>
      </c>
    </row>
    <row r="2489" spans="1:7">
      <c r="A2489" t="s">
        <v>4092</v>
      </c>
      <c r="B2489" s="2">
        <v>45813</v>
      </c>
      <c r="C2489" t="s">
        <v>110</v>
      </c>
      <c r="D2489" t="s">
        <v>1629</v>
      </c>
      <c r="E2489">
        <v>334.56</v>
      </c>
      <c r="F2489" t="s">
        <v>1578</v>
      </c>
      <c r="G2489" t="s">
        <v>1265</v>
      </c>
    </row>
    <row r="2490" spans="1:7">
      <c r="A2490" t="s">
        <v>4093</v>
      </c>
      <c r="B2490" s="2">
        <v>45813</v>
      </c>
      <c r="C2490" t="s">
        <v>114</v>
      </c>
      <c r="D2490" t="s">
        <v>1629</v>
      </c>
      <c r="E2490">
        <v>331.28</v>
      </c>
      <c r="F2490" t="s">
        <v>1578</v>
      </c>
      <c r="G2490" t="s">
        <v>1265</v>
      </c>
    </row>
    <row r="2491" spans="1:7">
      <c r="A2491" t="s">
        <v>4094</v>
      </c>
      <c r="B2491" s="2">
        <v>45813</v>
      </c>
      <c r="C2491" t="s">
        <v>117</v>
      </c>
      <c r="D2491" t="s">
        <v>1629</v>
      </c>
      <c r="E2491">
        <v>329.64</v>
      </c>
      <c r="F2491" t="s">
        <v>1578</v>
      </c>
      <c r="G2491" t="s">
        <v>1265</v>
      </c>
    </row>
    <row r="2492" spans="1:7">
      <c r="A2492" t="s">
        <v>4095</v>
      </c>
      <c r="B2492" s="2">
        <v>45813</v>
      </c>
      <c r="C2492" t="s">
        <v>119</v>
      </c>
      <c r="D2492" t="s">
        <v>1629</v>
      </c>
      <c r="E2492">
        <v>331.28</v>
      </c>
      <c r="F2492" t="s">
        <v>1578</v>
      </c>
      <c r="G2492" t="s">
        <v>1265</v>
      </c>
    </row>
    <row r="2493" spans="1:7">
      <c r="A2493" t="s">
        <v>4096</v>
      </c>
      <c r="B2493" s="2">
        <v>45813</v>
      </c>
      <c r="C2493" t="s">
        <v>102</v>
      </c>
      <c r="D2493" t="s">
        <v>1683</v>
      </c>
      <c r="E2493">
        <v>724</v>
      </c>
      <c r="F2493" t="s">
        <v>1578</v>
      </c>
      <c r="G2493" t="s">
        <v>643</v>
      </c>
    </row>
    <row r="2494" spans="1:7">
      <c r="A2494" t="s">
        <v>4097</v>
      </c>
      <c r="B2494" s="2">
        <v>45814</v>
      </c>
      <c r="C2494" t="s">
        <v>61</v>
      </c>
      <c r="D2494" t="s">
        <v>1629</v>
      </c>
      <c r="E2494">
        <v>367.2</v>
      </c>
      <c r="F2494" t="s">
        <v>1578</v>
      </c>
      <c r="G2494" t="s">
        <v>1266</v>
      </c>
    </row>
    <row r="2495" spans="1:7">
      <c r="A2495" t="s">
        <v>4098</v>
      </c>
      <c r="B2495" s="2">
        <v>45814</v>
      </c>
      <c r="C2495" t="s">
        <v>65</v>
      </c>
      <c r="D2495" t="s">
        <v>1629</v>
      </c>
      <c r="E2495">
        <v>365.4</v>
      </c>
      <c r="F2495" t="s">
        <v>1578</v>
      </c>
      <c r="G2495" t="s">
        <v>1266</v>
      </c>
    </row>
    <row r="2496" spans="1:7">
      <c r="A2496" t="s">
        <v>4099</v>
      </c>
      <c r="B2496" s="2">
        <v>45814</v>
      </c>
      <c r="C2496" t="s">
        <v>68</v>
      </c>
      <c r="D2496" t="s">
        <v>1629</v>
      </c>
      <c r="E2496">
        <v>367.2</v>
      </c>
      <c r="F2496" t="s">
        <v>1578</v>
      </c>
      <c r="G2496" t="s">
        <v>1266</v>
      </c>
    </row>
    <row r="2497" spans="1:7">
      <c r="A2497" t="s">
        <v>4100</v>
      </c>
      <c r="B2497" s="2">
        <v>45814</v>
      </c>
      <c r="C2497" t="s">
        <v>70</v>
      </c>
      <c r="D2497" t="s">
        <v>1629</v>
      </c>
      <c r="E2497">
        <v>363.6</v>
      </c>
      <c r="F2497" t="s">
        <v>1578</v>
      </c>
      <c r="G2497" t="s">
        <v>1266</v>
      </c>
    </row>
    <row r="2498" spans="1:7">
      <c r="A2498" t="s">
        <v>4101</v>
      </c>
      <c r="B2498" s="2">
        <v>45814</v>
      </c>
      <c r="C2498" t="s">
        <v>75</v>
      </c>
      <c r="D2498" t="s">
        <v>1629</v>
      </c>
      <c r="E2498">
        <v>363.6</v>
      </c>
      <c r="F2498" t="s">
        <v>1578</v>
      </c>
      <c r="G2498" t="s">
        <v>1266</v>
      </c>
    </row>
    <row r="2499" spans="1:7">
      <c r="A2499" t="s">
        <v>4102</v>
      </c>
      <c r="B2499" s="2">
        <v>45814</v>
      </c>
      <c r="C2499" t="s">
        <v>77</v>
      </c>
      <c r="D2499" t="s">
        <v>1629</v>
      </c>
      <c r="E2499">
        <v>363.6</v>
      </c>
      <c r="F2499" t="s">
        <v>1578</v>
      </c>
      <c r="G2499" t="s">
        <v>1266</v>
      </c>
    </row>
    <row r="2500" spans="1:7">
      <c r="A2500" t="s">
        <v>4103</v>
      </c>
      <c r="B2500" s="2">
        <v>45814</v>
      </c>
      <c r="C2500" t="s">
        <v>79</v>
      </c>
      <c r="D2500" t="s">
        <v>1629</v>
      </c>
      <c r="E2500">
        <v>367.2</v>
      </c>
      <c r="F2500" t="s">
        <v>1578</v>
      </c>
      <c r="G2500" t="s">
        <v>1266</v>
      </c>
    </row>
    <row r="2501" spans="1:7">
      <c r="A2501" t="s">
        <v>4104</v>
      </c>
      <c r="B2501" s="2">
        <v>45814</v>
      </c>
      <c r="C2501" t="s">
        <v>81</v>
      </c>
      <c r="D2501" t="s">
        <v>1629</v>
      </c>
      <c r="E2501">
        <v>727.2</v>
      </c>
      <c r="F2501" t="s">
        <v>1578</v>
      </c>
      <c r="G2501" t="s">
        <v>1266</v>
      </c>
    </row>
    <row r="2502" spans="1:7">
      <c r="A2502" t="s">
        <v>4105</v>
      </c>
      <c r="B2502" s="2">
        <v>45814</v>
      </c>
      <c r="C2502" t="s">
        <v>110</v>
      </c>
      <c r="D2502" t="s">
        <v>1629</v>
      </c>
      <c r="E2502">
        <v>367.2</v>
      </c>
      <c r="F2502" t="s">
        <v>1578</v>
      </c>
      <c r="G2502" t="s">
        <v>1266</v>
      </c>
    </row>
    <row r="2503" spans="1:7">
      <c r="A2503" t="s">
        <v>4106</v>
      </c>
      <c r="B2503" s="2">
        <v>45814</v>
      </c>
      <c r="C2503" t="s">
        <v>114</v>
      </c>
      <c r="D2503" t="s">
        <v>1629</v>
      </c>
      <c r="E2503">
        <v>363.6</v>
      </c>
      <c r="F2503" t="s">
        <v>1578</v>
      </c>
      <c r="G2503" t="s">
        <v>1266</v>
      </c>
    </row>
    <row r="2504" spans="1:7">
      <c r="A2504" t="s">
        <v>4107</v>
      </c>
      <c r="B2504" s="2">
        <v>45814</v>
      </c>
      <c r="C2504" t="s">
        <v>117</v>
      </c>
      <c r="D2504" t="s">
        <v>1629</v>
      </c>
      <c r="E2504">
        <v>361.8</v>
      </c>
      <c r="F2504" t="s">
        <v>1578</v>
      </c>
      <c r="G2504" t="s">
        <v>1266</v>
      </c>
    </row>
    <row r="2505" spans="1:7">
      <c r="A2505" t="s">
        <v>4108</v>
      </c>
      <c r="B2505" s="2">
        <v>45814</v>
      </c>
      <c r="C2505" t="s">
        <v>119</v>
      </c>
      <c r="D2505" t="s">
        <v>1629</v>
      </c>
      <c r="E2505">
        <v>363.6</v>
      </c>
      <c r="F2505" t="s">
        <v>1578</v>
      </c>
      <c r="G2505" t="s">
        <v>1266</v>
      </c>
    </row>
    <row r="2506" spans="1:7">
      <c r="A2506" t="s">
        <v>4109</v>
      </c>
      <c r="B2506" s="2">
        <v>45814</v>
      </c>
      <c r="C2506" t="s">
        <v>95</v>
      </c>
      <c r="D2506" t="s">
        <v>1683</v>
      </c>
      <c r="E2506">
        <v>149</v>
      </c>
      <c r="F2506" t="s">
        <v>1578</v>
      </c>
      <c r="G2506" t="s">
        <v>644</v>
      </c>
    </row>
    <row r="2507" spans="1:7">
      <c r="A2507" t="s">
        <v>4110</v>
      </c>
      <c r="B2507" s="2">
        <v>45814</v>
      </c>
      <c r="C2507" t="s">
        <v>70</v>
      </c>
      <c r="D2507" t="s">
        <v>1683</v>
      </c>
      <c r="E2507">
        <v>248</v>
      </c>
      <c r="F2507" t="s">
        <v>1578</v>
      </c>
      <c r="G2507" t="s">
        <v>645</v>
      </c>
    </row>
    <row r="2508" spans="1:7">
      <c r="A2508" t="s">
        <v>4111</v>
      </c>
      <c r="B2508" s="2">
        <v>45815</v>
      </c>
      <c r="C2508" t="s">
        <v>61</v>
      </c>
      <c r="D2508" t="s">
        <v>1629</v>
      </c>
      <c r="E2508">
        <v>207.06</v>
      </c>
      <c r="F2508" t="s">
        <v>1578</v>
      </c>
      <c r="G2508" t="s">
        <v>1267</v>
      </c>
    </row>
    <row r="2509" spans="1:7">
      <c r="A2509" t="s">
        <v>4112</v>
      </c>
      <c r="B2509" s="2">
        <v>45815</v>
      </c>
      <c r="C2509" t="s">
        <v>65</v>
      </c>
      <c r="D2509" t="s">
        <v>1629</v>
      </c>
      <c r="E2509">
        <v>206.04</v>
      </c>
      <c r="F2509" t="s">
        <v>1578</v>
      </c>
      <c r="G2509" t="s">
        <v>1267</v>
      </c>
    </row>
    <row r="2510" spans="1:7">
      <c r="A2510" t="s">
        <v>4113</v>
      </c>
      <c r="B2510" s="2">
        <v>45815</v>
      </c>
      <c r="C2510" t="s">
        <v>68</v>
      </c>
      <c r="D2510" t="s">
        <v>1629</v>
      </c>
      <c r="E2510">
        <v>207.06</v>
      </c>
      <c r="F2510" t="s">
        <v>1578</v>
      </c>
      <c r="G2510" t="s">
        <v>1267</v>
      </c>
    </row>
    <row r="2511" spans="1:7">
      <c r="A2511" t="s">
        <v>4114</v>
      </c>
      <c r="B2511" s="2">
        <v>45815</v>
      </c>
      <c r="C2511" t="s">
        <v>70</v>
      </c>
      <c r="D2511" t="s">
        <v>1629</v>
      </c>
      <c r="E2511">
        <v>205.03</v>
      </c>
      <c r="F2511" t="s">
        <v>1578</v>
      </c>
      <c r="G2511" t="s">
        <v>1267</v>
      </c>
    </row>
    <row r="2512" spans="1:7">
      <c r="A2512" t="s">
        <v>4115</v>
      </c>
      <c r="B2512" s="2">
        <v>45815</v>
      </c>
      <c r="C2512" t="s">
        <v>75</v>
      </c>
      <c r="D2512" t="s">
        <v>1629</v>
      </c>
      <c r="E2512">
        <v>205.03</v>
      </c>
      <c r="F2512" t="s">
        <v>1578</v>
      </c>
      <c r="G2512" t="s">
        <v>1267</v>
      </c>
    </row>
    <row r="2513" spans="1:7">
      <c r="A2513" t="s">
        <v>4116</v>
      </c>
      <c r="B2513" s="2">
        <v>45815</v>
      </c>
      <c r="C2513" t="s">
        <v>77</v>
      </c>
      <c r="D2513" t="s">
        <v>1629</v>
      </c>
      <c r="E2513">
        <v>205.03</v>
      </c>
      <c r="F2513" t="s">
        <v>1578</v>
      </c>
      <c r="G2513" t="s">
        <v>1267</v>
      </c>
    </row>
    <row r="2514" spans="1:7">
      <c r="A2514" t="s">
        <v>4117</v>
      </c>
      <c r="B2514" s="2">
        <v>45815</v>
      </c>
      <c r="C2514" t="s">
        <v>79</v>
      </c>
      <c r="D2514" t="s">
        <v>1629</v>
      </c>
      <c r="E2514">
        <v>207.06</v>
      </c>
      <c r="F2514" t="s">
        <v>1578</v>
      </c>
      <c r="G2514" t="s">
        <v>1267</v>
      </c>
    </row>
    <row r="2515" spans="1:7">
      <c r="A2515" t="s">
        <v>4118</v>
      </c>
      <c r="B2515" s="2">
        <v>45815</v>
      </c>
      <c r="C2515" t="s">
        <v>81</v>
      </c>
      <c r="D2515" t="s">
        <v>1629</v>
      </c>
      <c r="E2515">
        <v>410.06</v>
      </c>
      <c r="F2515" t="s">
        <v>1578</v>
      </c>
      <c r="G2515" t="s">
        <v>1267</v>
      </c>
    </row>
    <row r="2516" spans="1:7">
      <c r="A2516" t="s">
        <v>4119</v>
      </c>
      <c r="B2516" s="2">
        <v>45815</v>
      </c>
      <c r="C2516" t="s">
        <v>110</v>
      </c>
      <c r="D2516" t="s">
        <v>1629</v>
      </c>
      <c r="E2516">
        <v>207.06</v>
      </c>
      <c r="F2516" t="s">
        <v>1578</v>
      </c>
      <c r="G2516" t="s">
        <v>1267</v>
      </c>
    </row>
    <row r="2517" spans="1:7">
      <c r="A2517" t="s">
        <v>4120</v>
      </c>
      <c r="B2517" s="2">
        <v>45815</v>
      </c>
      <c r="C2517" t="s">
        <v>114</v>
      </c>
      <c r="D2517" t="s">
        <v>1629</v>
      </c>
      <c r="E2517">
        <v>205.03</v>
      </c>
      <c r="F2517" t="s">
        <v>1578</v>
      </c>
      <c r="G2517" t="s">
        <v>1267</v>
      </c>
    </row>
    <row r="2518" spans="1:7">
      <c r="A2518" t="s">
        <v>4121</v>
      </c>
      <c r="B2518" s="2">
        <v>45815</v>
      </c>
      <c r="C2518" t="s">
        <v>117</v>
      </c>
      <c r="D2518" t="s">
        <v>1629</v>
      </c>
      <c r="E2518">
        <v>204.02</v>
      </c>
      <c r="F2518" t="s">
        <v>1578</v>
      </c>
      <c r="G2518" t="s">
        <v>1267</v>
      </c>
    </row>
    <row r="2519" spans="1:7">
      <c r="A2519" t="s">
        <v>4122</v>
      </c>
      <c r="B2519" s="2">
        <v>45815</v>
      </c>
      <c r="C2519" t="s">
        <v>119</v>
      </c>
      <c r="D2519" t="s">
        <v>1629</v>
      </c>
      <c r="E2519">
        <v>205.03</v>
      </c>
      <c r="F2519" t="s">
        <v>1578</v>
      </c>
      <c r="G2519" t="s">
        <v>1267</v>
      </c>
    </row>
    <row r="2520" spans="1:7">
      <c r="A2520" t="s">
        <v>4123</v>
      </c>
      <c r="B2520" s="2">
        <v>45816</v>
      </c>
      <c r="C2520" t="s">
        <v>75</v>
      </c>
      <c r="D2520" t="s">
        <v>1629</v>
      </c>
      <c r="E2520">
        <v>101</v>
      </c>
      <c r="F2520" t="s">
        <v>1578</v>
      </c>
      <c r="G2520" t="s">
        <v>1268</v>
      </c>
    </row>
    <row r="2521" spans="1:7">
      <c r="A2521" t="s">
        <v>4124</v>
      </c>
      <c r="B2521" s="2">
        <v>45816</v>
      </c>
      <c r="C2521" t="s">
        <v>106</v>
      </c>
      <c r="D2521" t="s">
        <v>1629</v>
      </c>
      <c r="E2521">
        <v>103</v>
      </c>
      <c r="F2521" t="s">
        <v>1578</v>
      </c>
      <c r="G2521" t="s">
        <v>1268</v>
      </c>
    </row>
    <row r="2522" spans="1:7">
      <c r="A2522" t="s">
        <v>4125</v>
      </c>
      <c r="B2522" s="2">
        <v>45816</v>
      </c>
      <c r="C2522" t="s">
        <v>108</v>
      </c>
      <c r="D2522" t="s">
        <v>1629</v>
      </c>
      <c r="E2522">
        <v>203</v>
      </c>
      <c r="F2522" t="s">
        <v>1578</v>
      </c>
      <c r="G2522" t="s">
        <v>1268</v>
      </c>
    </row>
    <row r="2523" spans="1:7">
      <c r="A2523" t="s">
        <v>4126</v>
      </c>
      <c r="B2523" s="2">
        <v>45816</v>
      </c>
      <c r="C2523" t="s">
        <v>110</v>
      </c>
      <c r="D2523" t="s">
        <v>1629</v>
      </c>
      <c r="E2523">
        <v>102</v>
      </c>
      <c r="F2523" t="s">
        <v>1578</v>
      </c>
      <c r="G2523" t="s">
        <v>1268</v>
      </c>
    </row>
    <row r="2524" spans="1:7">
      <c r="A2524" t="s">
        <v>4127</v>
      </c>
      <c r="B2524" s="2">
        <v>45816</v>
      </c>
      <c r="C2524" t="s">
        <v>114</v>
      </c>
      <c r="D2524" t="s">
        <v>1629</v>
      </c>
      <c r="E2524">
        <v>101</v>
      </c>
      <c r="F2524" t="s">
        <v>1578</v>
      </c>
      <c r="G2524" t="s">
        <v>1268</v>
      </c>
    </row>
    <row r="2525" spans="1:7">
      <c r="A2525" t="s">
        <v>4128</v>
      </c>
      <c r="B2525" s="2">
        <v>45816</v>
      </c>
      <c r="C2525" t="s">
        <v>117</v>
      </c>
      <c r="D2525" t="s">
        <v>1629</v>
      </c>
      <c r="E2525">
        <v>100.5</v>
      </c>
      <c r="F2525" t="s">
        <v>1578</v>
      </c>
      <c r="G2525" t="s">
        <v>1268</v>
      </c>
    </row>
    <row r="2526" spans="1:7">
      <c r="A2526" t="s">
        <v>4129</v>
      </c>
      <c r="B2526" s="2">
        <v>45816</v>
      </c>
      <c r="C2526" t="s">
        <v>119</v>
      </c>
      <c r="D2526" t="s">
        <v>1629</v>
      </c>
      <c r="E2526">
        <v>101</v>
      </c>
      <c r="F2526" t="s">
        <v>1578</v>
      </c>
      <c r="G2526" t="s">
        <v>1268</v>
      </c>
    </row>
    <row r="2527" spans="1:7">
      <c r="A2527" t="s">
        <v>4130</v>
      </c>
      <c r="B2527" s="2">
        <v>45816</v>
      </c>
      <c r="C2527" t="s">
        <v>75</v>
      </c>
      <c r="D2527" t="s">
        <v>1629</v>
      </c>
      <c r="E2527">
        <v>351.48</v>
      </c>
      <c r="F2527" t="s">
        <v>1578</v>
      </c>
      <c r="G2527" t="s">
        <v>1269</v>
      </c>
    </row>
    <row r="2528" spans="1:7">
      <c r="A2528" t="s">
        <v>4131</v>
      </c>
      <c r="B2528" s="2">
        <v>45816</v>
      </c>
      <c r="C2528" t="s">
        <v>104</v>
      </c>
      <c r="D2528" t="s">
        <v>1629</v>
      </c>
      <c r="E2528">
        <v>716.88</v>
      </c>
      <c r="F2528" t="s">
        <v>1578</v>
      </c>
      <c r="G2528" t="s">
        <v>1269</v>
      </c>
    </row>
    <row r="2529" spans="1:7">
      <c r="A2529" t="s">
        <v>4132</v>
      </c>
      <c r="B2529" s="2">
        <v>45816</v>
      </c>
      <c r="C2529" t="s">
        <v>108</v>
      </c>
      <c r="D2529" t="s">
        <v>1629</v>
      </c>
      <c r="E2529">
        <v>706.44</v>
      </c>
      <c r="F2529" t="s">
        <v>1578</v>
      </c>
      <c r="G2529" t="s">
        <v>1269</v>
      </c>
    </row>
    <row r="2530" spans="1:7">
      <c r="A2530" t="s">
        <v>4133</v>
      </c>
      <c r="B2530" s="2">
        <v>45816</v>
      </c>
      <c r="C2530" t="s">
        <v>110</v>
      </c>
      <c r="D2530" t="s">
        <v>1629</v>
      </c>
      <c r="E2530">
        <v>354.96</v>
      </c>
      <c r="F2530" t="s">
        <v>1578</v>
      </c>
      <c r="G2530" t="s">
        <v>1269</v>
      </c>
    </row>
    <row r="2531" spans="1:7">
      <c r="A2531" t="s">
        <v>4134</v>
      </c>
      <c r="B2531" s="2">
        <v>45816</v>
      </c>
      <c r="C2531" t="s">
        <v>114</v>
      </c>
      <c r="D2531" t="s">
        <v>1629</v>
      </c>
      <c r="E2531">
        <v>351.48</v>
      </c>
      <c r="F2531" t="s">
        <v>1578</v>
      </c>
      <c r="G2531" t="s">
        <v>1269</v>
      </c>
    </row>
    <row r="2532" spans="1:7">
      <c r="A2532" t="s">
        <v>4135</v>
      </c>
      <c r="B2532" s="2">
        <v>45816</v>
      </c>
      <c r="C2532" t="s">
        <v>117</v>
      </c>
      <c r="D2532" t="s">
        <v>1629</v>
      </c>
      <c r="E2532">
        <v>349.74</v>
      </c>
      <c r="F2532" t="s">
        <v>1578</v>
      </c>
      <c r="G2532" t="s">
        <v>1269</v>
      </c>
    </row>
    <row r="2533" spans="1:7">
      <c r="A2533" t="s">
        <v>4136</v>
      </c>
      <c r="B2533" s="2">
        <v>45816</v>
      </c>
      <c r="C2533" t="s">
        <v>119</v>
      </c>
      <c r="D2533" t="s">
        <v>1629</v>
      </c>
      <c r="E2533">
        <v>351.48</v>
      </c>
      <c r="F2533" t="s">
        <v>1578</v>
      </c>
      <c r="G2533" t="s">
        <v>1269</v>
      </c>
    </row>
    <row r="2534" spans="1:7">
      <c r="A2534" t="s">
        <v>4137</v>
      </c>
      <c r="B2534" s="2">
        <v>45816</v>
      </c>
      <c r="C2534" t="s">
        <v>61</v>
      </c>
      <c r="D2534" t="s">
        <v>1629</v>
      </c>
      <c r="E2534">
        <v>136.68</v>
      </c>
      <c r="F2534" t="s">
        <v>1578</v>
      </c>
      <c r="G2534" t="s">
        <v>1270</v>
      </c>
    </row>
    <row r="2535" spans="1:7">
      <c r="A2535" t="s">
        <v>4138</v>
      </c>
      <c r="B2535" s="2">
        <v>45816</v>
      </c>
      <c r="C2535" t="s">
        <v>65</v>
      </c>
      <c r="D2535" t="s">
        <v>1629</v>
      </c>
      <c r="E2535">
        <v>136.01</v>
      </c>
      <c r="F2535" t="s">
        <v>1578</v>
      </c>
      <c r="G2535" t="s">
        <v>1270</v>
      </c>
    </row>
    <row r="2536" spans="1:7">
      <c r="A2536" t="s">
        <v>4139</v>
      </c>
      <c r="B2536" s="2">
        <v>45816</v>
      </c>
      <c r="C2536" t="s">
        <v>68</v>
      </c>
      <c r="D2536" t="s">
        <v>1629</v>
      </c>
      <c r="E2536">
        <v>136.68</v>
      </c>
      <c r="F2536" t="s">
        <v>1578</v>
      </c>
      <c r="G2536" t="s">
        <v>1270</v>
      </c>
    </row>
    <row r="2537" spans="1:7">
      <c r="A2537" t="s">
        <v>4140</v>
      </c>
      <c r="B2537" s="2">
        <v>45816</v>
      </c>
      <c r="C2537" t="s">
        <v>70</v>
      </c>
      <c r="D2537" t="s">
        <v>1629</v>
      </c>
      <c r="E2537">
        <v>135.34</v>
      </c>
      <c r="F2537" t="s">
        <v>1578</v>
      </c>
      <c r="G2537" t="s">
        <v>1270</v>
      </c>
    </row>
    <row r="2538" spans="1:7">
      <c r="A2538" t="s">
        <v>4141</v>
      </c>
      <c r="B2538" s="2">
        <v>45816</v>
      </c>
      <c r="C2538" t="s">
        <v>75</v>
      </c>
      <c r="D2538" t="s">
        <v>1629</v>
      </c>
      <c r="E2538">
        <v>135.34</v>
      </c>
      <c r="F2538" t="s">
        <v>1578</v>
      </c>
      <c r="G2538" t="s">
        <v>1270</v>
      </c>
    </row>
    <row r="2539" spans="1:7">
      <c r="A2539" t="s">
        <v>4142</v>
      </c>
      <c r="B2539" s="2">
        <v>45816</v>
      </c>
      <c r="C2539" t="s">
        <v>77</v>
      </c>
      <c r="D2539" t="s">
        <v>1629</v>
      </c>
      <c r="E2539">
        <v>135.34</v>
      </c>
      <c r="F2539" t="s">
        <v>1578</v>
      </c>
      <c r="G2539" t="s">
        <v>1270</v>
      </c>
    </row>
    <row r="2540" spans="1:7">
      <c r="A2540" t="s">
        <v>4143</v>
      </c>
      <c r="B2540" s="2">
        <v>45816</v>
      </c>
      <c r="C2540" t="s">
        <v>79</v>
      </c>
      <c r="D2540" t="s">
        <v>1629</v>
      </c>
      <c r="E2540">
        <v>136.68</v>
      </c>
      <c r="F2540" t="s">
        <v>1578</v>
      </c>
      <c r="G2540" t="s">
        <v>1270</v>
      </c>
    </row>
    <row r="2541" spans="1:7">
      <c r="A2541" t="s">
        <v>4144</v>
      </c>
      <c r="B2541" s="2">
        <v>45816</v>
      </c>
      <c r="C2541" t="s">
        <v>81</v>
      </c>
      <c r="D2541" t="s">
        <v>1629</v>
      </c>
      <c r="E2541">
        <v>270.68</v>
      </c>
      <c r="F2541" t="s">
        <v>1578</v>
      </c>
      <c r="G2541" t="s">
        <v>1270</v>
      </c>
    </row>
    <row r="2542" spans="1:7">
      <c r="A2542" t="s">
        <v>4145</v>
      </c>
      <c r="B2542" s="2">
        <v>45816</v>
      </c>
      <c r="C2542" t="s">
        <v>110</v>
      </c>
      <c r="D2542" t="s">
        <v>1629</v>
      </c>
      <c r="E2542">
        <v>136.68</v>
      </c>
      <c r="F2542" t="s">
        <v>1578</v>
      </c>
      <c r="G2542" t="s">
        <v>1270</v>
      </c>
    </row>
    <row r="2543" spans="1:7">
      <c r="A2543" t="s">
        <v>4146</v>
      </c>
      <c r="B2543" s="2">
        <v>45816</v>
      </c>
      <c r="C2543" t="s">
        <v>114</v>
      </c>
      <c r="D2543" t="s">
        <v>1629</v>
      </c>
      <c r="E2543">
        <v>135.34</v>
      </c>
      <c r="F2543" t="s">
        <v>1578</v>
      </c>
      <c r="G2543" t="s">
        <v>1270</v>
      </c>
    </row>
    <row r="2544" spans="1:7">
      <c r="A2544" t="s">
        <v>4147</v>
      </c>
      <c r="B2544" s="2">
        <v>45816</v>
      </c>
      <c r="C2544" t="s">
        <v>117</v>
      </c>
      <c r="D2544" t="s">
        <v>1629</v>
      </c>
      <c r="E2544">
        <v>134.66999999999999</v>
      </c>
      <c r="F2544" t="s">
        <v>1578</v>
      </c>
      <c r="G2544" t="s">
        <v>1270</v>
      </c>
    </row>
    <row r="2545" spans="1:7">
      <c r="A2545" t="s">
        <v>4148</v>
      </c>
      <c r="B2545" s="2">
        <v>45816</v>
      </c>
      <c r="C2545" t="s">
        <v>119</v>
      </c>
      <c r="D2545" t="s">
        <v>1629</v>
      </c>
      <c r="E2545">
        <v>135.34</v>
      </c>
      <c r="F2545" t="s">
        <v>1578</v>
      </c>
      <c r="G2545" t="s">
        <v>1270</v>
      </c>
    </row>
    <row r="2546" spans="1:7">
      <c r="A2546" t="s">
        <v>4149</v>
      </c>
      <c r="B2546" s="2">
        <v>45816</v>
      </c>
      <c r="C2546" t="s">
        <v>110</v>
      </c>
      <c r="D2546" t="s">
        <v>1683</v>
      </c>
      <c r="E2546">
        <v>148</v>
      </c>
      <c r="F2546" t="s">
        <v>1578</v>
      </c>
      <c r="G2546" t="s">
        <v>646</v>
      </c>
    </row>
    <row r="2547" spans="1:7">
      <c r="A2547" t="s">
        <v>4150</v>
      </c>
      <c r="B2547" s="2">
        <v>45816</v>
      </c>
      <c r="C2547" t="s">
        <v>97</v>
      </c>
      <c r="D2547" t="s">
        <v>1683</v>
      </c>
      <c r="E2547">
        <v>161</v>
      </c>
      <c r="F2547" t="s">
        <v>1578</v>
      </c>
      <c r="G2547" t="s">
        <v>647</v>
      </c>
    </row>
    <row r="2548" spans="1:7">
      <c r="A2548" t="s">
        <v>4151</v>
      </c>
      <c r="B2548" s="2">
        <v>45817</v>
      </c>
      <c r="C2548" t="s">
        <v>61</v>
      </c>
      <c r="D2548" t="s">
        <v>1629</v>
      </c>
      <c r="E2548">
        <v>282.54000000000002</v>
      </c>
      <c r="F2548" t="s">
        <v>1578</v>
      </c>
      <c r="G2548" t="s">
        <v>1271</v>
      </c>
    </row>
    <row r="2549" spans="1:7">
      <c r="A2549" t="s">
        <v>4152</v>
      </c>
      <c r="B2549" s="2">
        <v>45817</v>
      </c>
      <c r="C2549" t="s">
        <v>65</v>
      </c>
      <c r="D2549" t="s">
        <v>1629</v>
      </c>
      <c r="E2549">
        <v>281.14999999999998</v>
      </c>
      <c r="F2549" t="s">
        <v>1578</v>
      </c>
      <c r="G2549" t="s">
        <v>1271</v>
      </c>
    </row>
    <row r="2550" spans="1:7">
      <c r="A2550" t="s">
        <v>4153</v>
      </c>
      <c r="B2550" s="2">
        <v>45817</v>
      </c>
      <c r="C2550" t="s">
        <v>75</v>
      </c>
      <c r="D2550" t="s">
        <v>1629</v>
      </c>
      <c r="E2550">
        <v>279.77</v>
      </c>
      <c r="F2550" t="s">
        <v>1578</v>
      </c>
      <c r="G2550" t="s">
        <v>1271</v>
      </c>
    </row>
    <row r="2551" spans="1:7">
      <c r="A2551" t="s">
        <v>4154</v>
      </c>
      <c r="B2551" s="2">
        <v>45817</v>
      </c>
      <c r="C2551" t="s">
        <v>79</v>
      </c>
      <c r="D2551" t="s">
        <v>1629</v>
      </c>
      <c r="E2551">
        <v>282.54000000000002</v>
      </c>
      <c r="F2551" t="s">
        <v>1578</v>
      </c>
      <c r="G2551" t="s">
        <v>1271</v>
      </c>
    </row>
    <row r="2552" spans="1:7">
      <c r="A2552" t="s">
        <v>4155</v>
      </c>
      <c r="B2552" s="2">
        <v>45817</v>
      </c>
      <c r="C2552" t="s">
        <v>81</v>
      </c>
      <c r="D2552" t="s">
        <v>1629</v>
      </c>
      <c r="E2552">
        <v>559.54</v>
      </c>
      <c r="F2552" t="s">
        <v>1578</v>
      </c>
      <c r="G2552" t="s">
        <v>1271</v>
      </c>
    </row>
    <row r="2553" spans="1:7">
      <c r="A2553" t="s">
        <v>4156</v>
      </c>
      <c r="B2553" s="2">
        <v>45817</v>
      </c>
      <c r="C2553" t="s">
        <v>84</v>
      </c>
      <c r="D2553" t="s">
        <v>1629</v>
      </c>
      <c r="E2553">
        <v>99.86</v>
      </c>
      <c r="F2553" t="s">
        <v>1578</v>
      </c>
      <c r="G2553" t="s">
        <v>1271</v>
      </c>
    </row>
    <row r="2554" spans="1:7">
      <c r="A2554" t="s">
        <v>4157</v>
      </c>
      <c r="B2554" s="2">
        <v>45817</v>
      </c>
      <c r="C2554" t="s">
        <v>89</v>
      </c>
      <c r="D2554" t="s">
        <v>1629</v>
      </c>
      <c r="E2554">
        <v>425.89</v>
      </c>
      <c r="F2554" t="s">
        <v>1578</v>
      </c>
      <c r="G2554" t="s">
        <v>1271</v>
      </c>
    </row>
    <row r="2555" spans="1:7">
      <c r="A2555" t="s">
        <v>4158</v>
      </c>
      <c r="B2555" s="2">
        <v>45817</v>
      </c>
      <c r="C2555" t="s">
        <v>110</v>
      </c>
      <c r="D2555" t="s">
        <v>1629</v>
      </c>
      <c r="E2555">
        <v>282.54000000000002</v>
      </c>
      <c r="F2555" t="s">
        <v>1578</v>
      </c>
      <c r="G2555" t="s">
        <v>1271</v>
      </c>
    </row>
    <row r="2556" spans="1:7">
      <c r="A2556" t="s">
        <v>4159</v>
      </c>
      <c r="B2556" s="2">
        <v>45817</v>
      </c>
      <c r="C2556" t="s">
        <v>114</v>
      </c>
      <c r="D2556" t="s">
        <v>1629</v>
      </c>
      <c r="E2556">
        <v>279.77</v>
      </c>
      <c r="F2556" t="s">
        <v>1578</v>
      </c>
      <c r="G2556" t="s">
        <v>1271</v>
      </c>
    </row>
    <row r="2557" spans="1:7">
      <c r="A2557" t="s">
        <v>4160</v>
      </c>
      <c r="B2557" s="2">
        <v>45817</v>
      </c>
      <c r="C2557" t="s">
        <v>117</v>
      </c>
      <c r="D2557" t="s">
        <v>1629</v>
      </c>
      <c r="E2557">
        <v>278.38</v>
      </c>
      <c r="F2557" t="s">
        <v>1578</v>
      </c>
      <c r="G2557" t="s">
        <v>1271</v>
      </c>
    </row>
    <row r="2558" spans="1:7">
      <c r="A2558" t="s">
        <v>4161</v>
      </c>
      <c r="B2558" s="2">
        <v>45817</v>
      </c>
      <c r="C2558" t="s">
        <v>119</v>
      </c>
      <c r="D2558" t="s">
        <v>1629</v>
      </c>
      <c r="E2558">
        <v>279.77</v>
      </c>
      <c r="F2558" t="s">
        <v>1578</v>
      </c>
      <c r="G2558" t="s">
        <v>1271</v>
      </c>
    </row>
    <row r="2559" spans="1:7">
      <c r="A2559" t="s">
        <v>4162</v>
      </c>
      <c r="B2559" s="2">
        <v>45817</v>
      </c>
      <c r="C2559" t="s">
        <v>68</v>
      </c>
      <c r="D2559" t="s">
        <v>1683</v>
      </c>
      <c r="E2559">
        <v>465</v>
      </c>
      <c r="F2559" t="s">
        <v>1578</v>
      </c>
      <c r="G2559" t="s">
        <v>648</v>
      </c>
    </row>
    <row r="2560" spans="1:7">
      <c r="A2560" t="s">
        <v>4163</v>
      </c>
      <c r="B2560" s="2">
        <v>45818</v>
      </c>
      <c r="C2560" t="s">
        <v>61</v>
      </c>
      <c r="D2560" t="s">
        <v>1629</v>
      </c>
      <c r="E2560">
        <v>175.44</v>
      </c>
      <c r="F2560" t="s">
        <v>1578</v>
      </c>
      <c r="G2560" t="s">
        <v>1272</v>
      </c>
    </row>
    <row r="2561" spans="1:7">
      <c r="A2561" t="s">
        <v>4164</v>
      </c>
      <c r="B2561" s="2">
        <v>45818</v>
      </c>
      <c r="C2561" t="s">
        <v>65</v>
      </c>
      <c r="D2561" t="s">
        <v>1629</v>
      </c>
      <c r="E2561">
        <v>174.58</v>
      </c>
      <c r="F2561" t="s">
        <v>1578</v>
      </c>
      <c r="G2561" t="s">
        <v>1272</v>
      </c>
    </row>
    <row r="2562" spans="1:7">
      <c r="A2562" t="s">
        <v>4165</v>
      </c>
      <c r="B2562" s="2">
        <v>45818</v>
      </c>
      <c r="C2562" t="s">
        <v>75</v>
      </c>
      <c r="D2562" t="s">
        <v>1629</v>
      </c>
      <c r="E2562">
        <v>173.72</v>
      </c>
      <c r="F2562" t="s">
        <v>1578</v>
      </c>
      <c r="G2562" t="s">
        <v>1272</v>
      </c>
    </row>
    <row r="2563" spans="1:7">
      <c r="A2563" t="s">
        <v>4166</v>
      </c>
      <c r="B2563" s="2">
        <v>45818</v>
      </c>
      <c r="C2563" t="s">
        <v>79</v>
      </c>
      <c r="D2563" t="s">
        <v>1629</v>
      </c>
      <c r="E2563">
        <v>175.44</v>
      </c>
      <c r="F2563" t="s">
        <v>1578</v>
      </c>
      <c r="G2563" t="s">
        <v>1272</v>
      </c>
    </row>
    <row r="2564" spans="1:7">
      <c r="A2564" t="s">
        <v>4167</v>
      </c>
      <c r="B2564" s="2">
        <v>45818</v>
      </c>
      <c r="C2564" t="s">
        <v>81</v>
      </c>
      <c r="D2564" t="s">
        <v>1629</v>
      </c>
      <c r="E2564">
        <v>347.44</v>
      </c>
      <c r="F2564" t="s">
        <v>1578</v>
      </c>
      <c r="G2564" t="s">
        <v>1272</v>
      </c>
    </row>
    <row r="2565" spans="1:7">
      <c r="A2565" t="s">
        <v>4168</v>
      </c>
      <c r="B2565" s="2">
        <v>45818</v>
      </c>
      <c r="C2565" t="s">
        <v>84</v>
      </c>
      <c r="D2565" t="s">
        <v>1629</v>
      </c>
      <c r="E2565">
        <v>62.01</v>
      </c>
      <c r="F2565" t="s">
        <v>1578</v>
      </c>
      <c r="G2565" t="s">
        <v>1272</v>
      </c>
    </row>
    <row r="2566" spans="1:7">
      <c r="A2566" t="s">
        <v>4169</v>
      </c>
      <c r="B2566" s="2">
        <v>45818</v>
      </c>
      <c r="C2566" t="s">
        <v>89</v>
      </c>
      <c r="D2566" t="s">
        <v>1629</v>
      </c>
      <c r="E2566">
        <v>264.45</v>
      </c>
      <c r="F2566" t="s">
        <v>1578</v>
      </c>
      <c r="G2566" t="s">
        <v>1272</v>
      </c>
    </row>
    <row r="2567" spans="1:7">
      <c r="A2567" t="s">
        <v>4170</v>
      </c>
      <c r="B2567" s="2">
        <v>45818</v>
      </c>
      <c r="C2567" t="s">
        <v>110</v>
      </c>
      <c r="D2567" t="s">
        <v>1629</v>
      </c>
      <c r="E2567">
        <v>175.44</v>
      </c>
      <c r="F2567" t="s">
        <v>1578</v>
      </c>
      <c r="G2567" t="s">
        <v>1272</v>
      </c>
    </row>
    <row r="2568" spans="1:7">
      <c r="A2568" t="s">
        <v>4171</v>
      </c>
      <c r="B2568" s="2">
        <v>45818</v>
      </c>
      <c r="C2568" t="s">
        <v>114</v>
      </c>
      <c r="D2568" t="s">
        <v>1629</v>
      </c>
      <c r="E2568">
        <v>173.72</v>
      </c>
      <c r="F2568" t="s">
        <v>1578</v>
      </c>
      <c r="G2568" t="s">
        <v>1272</v>
      </c>
    </row>
    <row r="2569" spans="1:7">
      <c r="A2569" t="s">
        <v>4172</v>
      </c>
      <c r="B2569" s="2">
        <v>45818</v>
      </c>
      <c r="C2569" t="s">
        <v>117</v>
      </c>
      <c r="D2569" t="s">
        <v>1629</v>
      </c>
      <c r="E2569">
        <v>172.86</v>
      </c>
      <c r="F2569" t="s">
        <v>1578</v>
      </c>
      <c r="G2569" t="s">
        <v>1272</v>
      </c>
    </row>
    <row r="2570" spans="1:7">
      <c r="A2570" t="s">
        <v>4173</v>
      </c>
      <c r="B2570" s="2">
        <v>45818</v>
      </c>
      <c r="C2570" t="s">
        <v>119</v>
      </c>
      <c r="D2570" t="s">
        <v>1629</v>
      </c>
      <c r="E2570">
        <v>173.72</v>
      </c>
      <c r="F2570" t="s">
        <v>1578</v>
      </c>
      <c r="G2570" t="s">
        <v>1272</v>
      </c>
    </row>
    <row r="2571" spans="1:7">
      <c r="A2571" t="s">
        <v>4174</v>
      </c>
      <c r="B2571" s="2">
        <v>45818</v>
      </c>
      <c r="C2571" t="s">
        <v>61</v>
      </c>
      <c r="D2571" t="s">
        <v>1629</v>
      </c>
      <c r="E2571">
        <v>154.02000000000001</v>
      </c>
      <c r="F2571" t="s">
        <v>1578</v>
      </c>
      <c r="G2571" t="s">
        <v>1273</v>
      </c>
    </row>
    <row r="2572" spans="1:7">
      <c r="A2572" t="s">
        <v>4175</v>
      </c>
      <c r="B2572" s="2">
        <v>45818</v>
      </c>
      <c r="C2572" t="s">
        <v>65</v>
      </c>
      <c r="D2572" t="s">
        <v>1629</v>
      </c>
      <c r="E2572">
        <v>153.26</v>
      </c>
      <c r="F2572" t="s">
        <v>1578</v>
      </c>
      <c r="G2572" t="s">
        <v>1273</v>
      </c>
    </row>
    <row r="2573" spans="1:7">
      <c r="A2573" t="s">
        <v>4176</v>
      </c>
      <c r="B2573" s="2">
        <v>45818</v>
      </c>
      <c r="C2573" t="s">
        <v>68</v>
      </c>
      <c r="D2573" t="s">
        <v>1629</v>
      </c>
      <c r="E2573">
        <v>154.02000000000001</v>
      </c>
      <c r="F2573" t="s">
        <v>1578</v>
      </c>
      <c r="G2573" t="s">
        <v>1273</v>
      </c>
    </row>
    <row r="2574" spans="1:7">
      <c r="A2574" t="s">
        <v>4177</v>
      </c>
      <c r="B2574" s="2">
        <v>45818</v>
      </c>
      <c r="C2574" t="s">
        <v>70</v>
      </c>
      <c r="D2574" t="s">
        <v>1629</v>
      </c>
      <c r="E2574">
        <v>152.51</v>
      </c>
      <c r="F2574" t="s">
        <v>1578</v>
      </c>
      <c r="G2574" t="s">
        <v>1273</v>
      </c>
    </row>
    <row r="2575" spans="1:7">
      <c r="A2575" t="s">
        <v>4178</v>
      </c>
      <c r="B2575" s="2">
        <v>45818</v>
      </c>
      <c r="C2575" t="s">
        <v>75</v>
      </c>
      <c r="D2575" t="s">
        <v>1629</v>
      </c>
      <c r="E2575">
        <v>152.51</v>
      </c>
      <c r="F2575" t="s">
        <v>1578</v>
      </c>
      <c r="G2575" t="s">
        <v>1273</v>
      </c>
    </row>
    <row r="2576" spans="1:7">
      <c r="A2576" t="s">
        <v>4179</v>
      </c>
      <c r="B2576" s="2">
        <v>45818</v>
      </c>
      <c r="C2576" t="s">
        <v>77</v>
      </c>
      <c r="D2576" t="s">
        <v>1629</v>
      </c>
      <c r="E2576">
        <v>152.51</v>
      </c>
      <c r="F2576" t="s">
        <v>1578</v>
      </c>
      <c r="G2576" t="s">
        <v>1273</v>
      </c>
    </row>
    <row r="2577" spans="1:7">
      <c r="A2577" t="s">
        <v>4180</v>
      </c>
      <c r="B2577" s="2">
        <v>45818</v>
      </c>
      <c r="C2577" t="s">
        <v>79</v>
      </c>
      <c r="D2577" t="s">
        <v>1629</v>
      </c>
      <c r="E2577">
        <v>154.02000000000001</v>
      </c>
      <c r="F2577" t="s">
        <v>1578</v>
      </c>
      <c r="G2577" t="s">
        <v>1273</v>
      </c>
    </row>
    <row r="2578" spans="1:7">
      <c r="A2578" t="s">
        <v>4181</v>
      </c>
      <c r="B2578" s="2">
        <v>45818</v>
      </c>
      <c r="C2578" t="s">
        <v>81</v>
      </c>
      <c r="D2578" t="s">
        <v>1629</v>
      </c>
      <c r="E2578">
        <v>305.02</v>
      </c>
      <c r="F2578" t="s">
        <v>1578</v>
      </c>
      <c r="G2578" t="s">
        <v>1273</v>
      </c>
    </row>
    <row r="2579" spans="1:7">
      <c r="A2579" t="s">
        <v>4182</v>
      </c>
      <c r="B2579" s="2">
        <v>45818</v>
      </c>
      <c r="C2579" t="s">
        <v>108</v>
      </c>
      <c r="D2579" t="s">
        <v>1629</v>
      </c>
      <c r="E2579">
        <v>306.52999999999997</v>
      </c>
      <c r="F2579" t="s">
        <v>1578</v>
      </c>
      <c r="G2579" t="s">
        <v>1273</v>
      </c>
    </row>
    <row r="2580" spans="1:7">
      <c r="A2580" t="s">
        <v>4183</v>
      </c>
      <c r="B2580" s="2">
        <v>45818</v>
      </c>
      <c r="C2580" t="s">
        <v>110</v>
      </c>
      <c r="D2580" t="s">
        <v>1629</v>
      </c>
      <c r="E2580">
        <v>154.02000000000001</v>
      </c>
      <c r="F2580" t="s">
        <v>1578</v>
      </c>
      <c r="G2580" t="s">
        <v>1273</v>
      </c>
    </row>
    <row r="2581" spans="1:7">
      <c r="A2581" t="s">
        <v>4184</v>
      </c>
      <c r="B2581" s="2">
        <v>45818</v>
      </c>
      <c r="C2581" t="s">
        <v>114</v>
      </c>
      <c r="D2581" t="s">
        <v>1629</v>
      </c>
      <c r="E2581">
        <v>152.51</v>
      </c>
      <c r="F2581" t="s">
        <v>1578</v>
      </c>
      <c r="G2581" t="s">
        <v>1273</v>
      </c>
    </row>
    <row r="2582" spans="1:7">
      <c r="A2582" t="s">
        <v>4185</v>
      </c>
      <c r="B2582" s="2">
        <v>45818</v>
      </c>
      <c r="C2582" t="s">
        <v>117</v>
      </c>
      <c r="D2582" t="s">
        <v>1629</v>
      </c>
      <c r="E2582">
        <v>151.76</v>
      </c>
      <c r="F2582" t="s">
        <v>1578</v>
      </c>
      <c r="G2582" t="s">
        <v>1273</v>
      </c>
    </row>
    <row r="2583" spans="1:7">
      <c r="A2583" t="s">
        <v>4186</v>
      </c>
      <c r="B2583" s="2">
        <v>45818</v>
      </c>
      <c r="C2583" t="s">
        <v>119</v>
      </c>
      <c r="D2583" t="s">
        <v>1629</v>
      </c>
      <c r="E2583">
        <v>152.51</v>
      </c>
      <c r="F2583" t="s">
        <v>1578</v>
      </c>
      <c r="G2583" t="s">
        <v>1273</v>
      </c>
    </row>
    <row r="2584" spans="1:7">
      <c r="A2584" t="s">
        <v>4187</v>
      </c>
      <c r="B2584" s="2">
        <v>45818</v>
      </c>
      <c r="C2584" t="s">
        <v>61</v>
      </c>
      <c r="D2584" t="s">
        <v>1629</v>
      </c>
      <c r="E2584">
        <v>392.7</v>
      </c>
      <c r="F2584" t="s">
        <v>1578</v>
      </c>
      <c r="G2584" t="s">
        <v>1274</v>
      </c>
    </row>
    <row r="2585" spans="1:7">
      <c r="A2585" t="s">
        <v>4188</v>
      </c>
      <c r="B2585" s="2">
        <v>45818</v>
      </c>
      <c r="C2585" t="s">
        <v>65</v>
      </c>
      <c r="D2585" t="s">
        <v>1629</v>
      </c>
      <c r="E2585">
        <v>390.78</v>
      </c>
      <c r="F2585" t="s">
        <v>1578</v>
      </c>
      <c r="G2585" t="s">
        <v>1274</v>
      </c>
    </row>
    <row r="2586" spans="1:7">
      <c r="A2586" t="s">
        <v>4189</v>
      </c>
      <c r="B2586" s="2">
        <v>45818</v>
      </c>
      <c r="C2586" t="s">
        <v>68</v>
      </c>
      <c r="D2586" t="s">
        <v>1629</v>
      </c>
      <c r="E2586">
        <v>392.7</v>
      </c>
      <c r="F2586" t="s">
        <v>1578</v>
      </c>
      <c r="G2586" t="s">
        <v>1274</v>
      </c>
    </row>
    <row r="2587" spans="1:7">
      <c r="A2587" t="s">
        <v>4190</v>
      </c>
      <c r="B2587" s="2">
        <v>45818</v>
      </c>
      <c r="C2587" t="s">
        <v>70</v>
      </c>
      <c r="D2587" t="s">
        <v>1629</v>
      </c>
      <c r="E2587">
        <v>388.85</v>
      </c>
      <c r="F2587" t="s">
        <v>1578</v>
      </c>
      <c r="G2587" t="s">
        <v>1274</v>
      </c>
    </row>
    <row r="2588" spans="1:7">
      <c r="A2588" t="s">
        <v>4191</v>
      </c>
      <c r="B2588" s="2">
        <v>45818</v>
      </c>
      <c r="C2588" t="s">
        <v>75</v>
      </c>
      <c r="D2588" t="s">
        <v>1629</v>
      </c>
      <c r="E2588">
        <v>388.85</v>
      </c>
      <c r="F2588" t="s">
        <v>1578</v>
      </c>
      <c r="G2588" t="s">
        <v>1274</v>
      </c>
    </row>
    <row r="2589" spans="1:7">
      <c r="A2589" t="s">
        <v>4192</v>
      </c>
      <c r="B2589" s="2">
        <v>45818</v>
      </c>
      <c r="C2589" t="s">
        <v>77</v>
      </c>
      <c r="D2589" t="s">
        <v>1629</v>
      </c>
      <c r="E2589">
        <v>388.85</v>
      </c>
      <c r="F2589" t="s">
        <v>1578</v>
      </c>
      <c r="G2589" t="s">
        <v>1274</v>
      </c>
    </row>
    <row r="2590" spans="1:7">
      <c r="A2590" t="s">
        <v>4193</v>
      </c>
      <c r="B2590" s="2">
        <v>45818</v>
      </c>
      <c r="C2590" t="s">
        <v>79</v>
      </c>
      <c r="D2590" t="s">
        <v>1629</v>
      </c>
      <c r="E2590">
        <v>392.7</v>
      </c>
      <c r="F2590" t="s">
        <v>1578</v>
      </c>
      <c r="G2590" t="s">
        <v>1274</v>
      </c>
    </row>
    <row r="2591" spans="1:7">
      <c r="A2591" t="s">
        <v>4194</v>
      </c>
      <c r="B2591" s="2">
        <v>45818</v>
      </c>
      <c r="C2591" t="s">
        <v>81</v>
      </c>
      <c r="D2591" t="s">
        <v>1629</v>
      </c>
      <c r="E2591">
        <v>777.7</v>
      </c>
      <c r="F2591" t="s">
        <v>1578</v>
      </c>
      <c r="G2591" t="s">
        <v>1274</v>
      </c>
    </row>
    <row r="2592" spans="1:7">
      <c r="A2592" t="s">
        <v>4195</v>
      </c>
      <c r="B2592" s="2">
        <v>45818</v>
      </c>
      <c r="C2592" t="s">
        <v>110</v>
      </c>
      <c r="D2592" t="s">
        <v>1629</v>
      </c>
      <c r="E2592">
        <v>392.7</v>
      </c>
      <c r="F2592" t="s">
        <v>1578</v>
      </c>
      <c r="G2592" t="s">
        <v>1274</v>
      </c>
    </row>
    <row r="2593" spans="1:7">
      <c r="A2593" t="s">
        <v>4196</v>
      </c>
      <c r="B2593" s="2">
        <v>45818</v>
      </c>
      <c r="C2593" t="s">
        <v>114</v>
      </c>
      <c r="D2593" t="s">
        <v>1629</v>
      </c>
      <c r="E2593">
        <v>388.85</v>
      </c>
      <c r="F2593" t="s">
        <v>1578</v>
      </c>
      <c r="G2593" t="s">
        <v>1274</v>
      </c>
    </row>
    <row r="2594" spans="1:7">
      <c r="A2594" t="s">
        <v>4197</v>
      </c>
      <c r="B2594" s="2">
        <v>45818</v>
      </c>
      <c r="C2594" t="s">
        <v>117</v>
      </c>
      <c r="D2594" t="s">
        <v>1629</v>
      </c>
      <c r="E2594">
        <v>386.92</v>
      </c>
      <c r="F2594" t="s">
        <v>1578</v>
      </c>
      <c r="G2594" t="s">
        <v>1274</v>
      </c>
    </row>
    <row r="2595" spans="1:7">
      <c r="A2595" t="s">
        <v>4198</v>
      </c>
      <c r="B2595" s="2">
        <v>45818</v>
      </c>
      <c r="C2595" t="s">
        <v>119</v>
      </c>
      <c r="D2595" t="s">
        <v>1629</v>
      </c>
      <c r="E2595">
        <v>388.85</v>
      </c>
      <c r="F2595" t="s">
        <v>1578</v>
      </c>
      <c r="G2595" t="s">
        <v>1274</v>
      </c>
    </row>
    <row r="2596" spans="1:7">
      <c r="A2596" t="s">
        <v>4199</v>
      </c>
      <c r="B2596" s="2">
        <v>45818</v>
      </c>
      <c r="C2596" t="s">
        <v>65</v>
      </c>
      <c r="D2596" t="s">
        <v>1683</v>
      </c>
      <c r="E2596">
        <v>215</v>
      </c>
      <c r="F2596" t="s">
        <v>1578</v>
      </c>
      <c r="G2596" t="s">
        <v>650</v>
      </c>
    </row>
    <row r="2597" spans="1:7">
      <c r="A2597" t="s">
        <v>4200</v>
      </c>
      <c r="B2597" s="2">
        <v>45819</v>
      </c>
      <c r="C2597" t="s">
        <v>97</v>
      </c>
      <c r="D2597" t="s">
        <v>1683</v>
      </c>
      <c r="E2597">
        <v>56</v>
      </c>
      <c r="F2597" t="s">
        <v>1578</v>
      </c>
      <c r="G2597" t="s">
        <v>651</v>
      </c>
    </row>
    <row r="2598" spans="1:7">
      <c r="A2598" t="s">
        <v>4201</v>
      </c>
      <c r="B2598" s="2">
        <v>45820</v>
      </c>
      <c r="C2598" t="s">
        <v>61</v>
      </c>
      <c r="D2598" t="s">
        <v>1629</v>
      </c>
      <c r="E2598">
        <v>381.48</v>
      </c>
      <c r="F2598" t="s">
        <v>1578</v>
      </c>
      <c r="G2598" t="s">
        <v>1275</v>
      </c>
    </row>
    <row r="2599" spans="1:7">
      <c r="A2599" t="s">
        <v>4202</v>
      </c>
      <c r="B2599" s="2">
        <v>45820</v>
      </c>
      <c r="C2599" t="s">
        <v>65</v>
      </c>
      <c r="D2599" t="s">
        <v>1629</v>
      </c>
      <c r="E2599">
        <v>379.61</v>
      </c>
      <c r="F2599" t="s">
        <v>1578</v>
      </c>
      <c r="G2599" t="s">
        <v>1275</v>
      </c>
    </row>
    <row r="2600" spans="1:7">
      <c r="A2600" t="s">
        <v>4203</v>
      </c>
      <c r="B2600" s="2">
        <v>45820</v>
      </c>
      <c r="C2600" t="s">
        <v>68</v>
      </c>
      <c r="D2600" t="s">
        <v>1629</v>
      </c>
      <c r="E2600">
        <v>381.48</v>
      </c>
      <c r="F2600" t="s">
        <v>1578</v>
      </c>
      <c r="G2600" t="s">
        <v>1275</v>
      </c>
    </row>
    <row r="2601" spans="1:7">
      <c r="A2601" t="s">
        <v>4204</v>
      </c>
      <c r="B2601" s="2">
        <v>45820</v>
      </c>
      <c r="C2601" t="s">
        <v>70</v>
      </c>
      <c r="D2601" t="s">
        <v>1629</v>
      </c>
      <c r="E2601">
        <v>377.74</v>
      </c>
      <c r="F2601" t="s">
        <v>1578</v>
      </c>
      <c r="G2601" t="s">
        <v>1275</v>
      </c>
    </row>
    <row r="2602" spans="1:7">
      <c r="A2602" t="s">
        <v>4205</v>
      </c>
      <c r="B2602" s="2">
        <v>45820</v>
      </c>
      <c r="C2602" t="s">
        <v>75</v>
      </c>
      <c r="D2602" t="s">
        <v>1629</v>
      </c>
      <c r="E2602">
        <v>377.74</v>
      </c>
      <c r="F2602" t="s">
        <v>1578</v>
      </c>
      <c r="G2602" t="s">
        <v>1275</v>
      </c>
    </row>
    <row r="2603" spans="1:7">
      <c r="A2603" t="s">
        <v>4206</v>
      </c>
      <c r="B2603" s="2">
        <v>45820</v>
      </c>
      <c r="C2603" t="s">
        <v>77</v>
      </c>
      <c r="D2603" t="s">
        <v>1629</v>
      </c>
      <c r="E2603">
        <v>377.74</v>
      </c>
      <c r="F2603" t="s">
        <v>1578</v>
      </c>
      <c r="G2603" t="s">
        <v>1275</v>
      </c>
    </row>
    <row r="2604" spans="1:7">
      <c r="A2604" t="s">
        <v>4207</v>
      </c>
      <c r="B2604" s="2">
        <v>45820</v>
      </c>
      <c r="C2604" t="s">
        <v>79</v>
      </c>
      <c r="D2604" t="s">
        <v>1629</v>
      </c>
      <c r="E2604">
        <v>381.48</v>
      </c>
      <c r="F2604" t="s">
        <v>1578</v>
      </c>
      <c r="G2604" t="s">
        <v>1275</v>
      </c>
    </row>
    <row r="2605" spans="1:7">
      <c r="A2605" t="s">
        <v>4208</v>
      </c>
      <c r="B2605" s="2">
        <v>45820</v>
      </c>
      <c r="C2605" t="s">
        <v>81</v>
      </c>
      <c r="D2605" t="s">
        <v>1629</v>
      </c>
      <c r="E2605">
        <v>755.48</v>
      </c>
      <c r="F2605" t="s">
        <v>1578</v>
      </c>
      <c r="G2605" t="s">
        <v>1275</v>
      </c>
    </row>
    <row r="2606" spans="1:7">
      <c r="A2606" t="s">
        <v>4209</v>
      </c>
      <c r="B2606" s="2">
        <v>45820</v>
      </c>
      <c r="C2606" t="s">
        <v>110</v>
      </c>
      <c r="D2606" t="s">
        <v>1629</v>
      </c>
      <c r="E2606">
        <v>381.48</v>
      </c>
      <c r="F2606" t="s">
        <v>1578</v>
      </c>
      <c r="G2606" t="s">
        <v>1275</v>
      </c>
    </row>
    <row r="2607" spans="1:7">
      <c r="A2607" t="s">
        <v>4210</v>
      </c>
      <c r="B2607" s="2">
        <v>45820</v>
      </c>
      <c r="C2607" t="s">
        <v>114</v>
      </c>
      <c r="D2607" t="s">
        <v>1629</v>
      </c>
      <c r="E2607">
        <v>377.74</v>
      </c>
      <c r="F2607" t="s">
        <v>1578</v>
      </c>
      <c r="G2607" t="s">
        <v>1275</v>
      </c>
    </row>
    <row r="2608" spans="1:7">
      <c r="A2608" t="s">
        <v>4211</v>
      </c>
      <c r="B2608" s="2">
        <v>45820</v>
      </c>
      <c r="C2608" t="s">
        <v>117</v>
      </c>
      <c r="D2608" t="s">
        <v>1629</v>
      </c>
      <c r="E2608">
        <v>375.87</v>
      </c>
      <c r="F2608" t="s">
        <v>1578</v>
      </c>
      <c r="G2608" t="s">
        <v>1275</v>
      </c>
    </row>
    <row r="2609" spans="1:7">
      <c r="A2609" t="s">
        <v>4212</v>
      </c>
      <c r="B2609" s="2">
        <v>45820</v>
      </c>
      <c r="C2609" t="s">
        <v>119</v>
      </c>
      <c r="D2609" t="s">
        <v>1629</v>
      </c>
      <c r="E2609">
        <v>377.74</v>
      </c>
      <c r="F2609" t="s">
        <v>1578</v>
      </c>
      <c r="G2609" t="s">
        <v>1275</v>
      </c>
    </row>
    <row r="2610" spans="1:7">
      <c r="A2610" t="s">
        <v>4213</v>
      </c>
      <c r="B2610" s="2">
        <v>45820</v>
      </c>
      <c r="C2610" t="s">
        <v>75</v>
      </c>
      <c r="D2610" t="s">
        <v>1629</v>
      </c>
      <c r="E2610">
        <v>432.28</v>
      </c>
      <c r="F2610" t="s">
        <v>1578</v>
      </c>
      <c r="G2610" t="s">
        <v>1276</v>
      </c>
    </row>
    <row r="2611" spans="1:7">
      <c r="A2611" t="s">
        <v>4214</v>
      </c>
      <c r="B2611" s="2">
        <v>45820</v>
      </c>
      <c r="C2611" t="s">
        <v>91</v>
      </c>
      <c r="D2611" t="s">
        <v>1629</v>
      </c>
      <c r="E2611">
        <v>438.7</v>
      </c>
      <c r="F2611" t="s">
        <v>1578</v>
      </c>
      <c r="G2611" t="s">
        <v>1276</v>
      </c>
    </row>
    <row r="2612" spans="1:7">
      <c r="A2612" t="s">
        <v>4215</v>
      </c>
      <c r="B2612" s="2">
        <v>45820</v>
      </c>
      <c r="C2612" t="s">
        <v>93</v>
      </c>
      <c r="D2612" t="s">
        <v>1629</v>
      </c>
      <c r="E2612">
        <v>436.56</v>
      </c>
      <c r="F2612" t="s">
        <v>1578</v>
      </c>
      <c r="G2612" t="s">
        <v>1276</v>
      </c>
    </row>
    <row r="2613" spans="1:7">
      <c r="A2613" t="s">
        <v>4216</v>
      </c>
      <c r="B2613" s="2">
        <v>45820</v>
      </c>
      <c r="C2613" t="s">
        <v>95</v>
      </c>
      <c r="D2613" t="s">
        <v>1629</v>
      </c>
      <c r="E2613">
        <v>434.42</v>
      </c>
      <c r="F2613" t="s">
        <v>1578</v>
      </c>
      <c r="G2613" t="s">
        <v>1276</v>
      </c>
    </row>
    <row r="2614" spans="1:7">
      <c r="A2614" t="s">
        <v>4217</v>
      </c>
      <c r="B2614" s="2">
        <v>45820</v>
      </c>
      <c r="C2614" t="s">
        <v>97</v>
      </c>
      <c r="D2614" t="s">
        <v>1629</v>
      </c>
      <c r="E2614">
        <v>432.28</v>
      </c>
      <c r="F2614" t="s">
        <v>1578</v>
      </c>
      <c r="G2614" t="s">
        <v>1276</v>
      </c>
    </row>
    <row r="2615" spans="1:7">
      <c r="A2615" t="s">
        <v>4218</v>
      </c>
      <c r="B2615" s="2">
        <v>45820</v>
      </c>
      <c r="C2615" t="s">
        <v>99</v>
      </c>
      <c r="D2615" t="s">
        <v>1629</v>
      </c>
      <c r="E2615">
        <v>529.01</v>
      </c>
      <c r="F2615" t="s">
        <v>1578</v>
      </c>
      <c r="G2615" t="s">
        <v>1276</v>
      </c>
    </row>
    <row r="2616" spans="1:7">
      <c r="A2616" t="s">
        <v>4219</v>
      </c>
      <c r="B2616" s="2">
        <v>45820</v>
      </c>
      <c r="C2616" t="s">
        <v>102</v>
      </c>
      <c r="D2616" t="s">
        <v>1629</v>
      </c>
      <c r="E2616">
        <v>436.56</v>
      </c>
      <c r="F2616" t="s">
        <v>1578</v>
      </c>
      <c r="G2616" t="s">
        <v>1276</v>
      </c>
    </row>
    <row r="2617" spans="1:7">
      <c r="A2617" t="s">
        <v>4220</v>
      </c>
      <c r="B2617" s="2">
        <v>45820</v>
      </c>
      <c r="C2617" t="s">
        <v>108</v>
      </c>
      <c r="D2617" t="s">
        <v>1629</v>
      </c>
      <c r="E2617">
        <v>868.84</v>
      </c>
      <c r="F2617" t="s">
        <v>1578</v>
      </c>
      <c r="G2617" t="s">
        <v>1276</v>
      </c>
    </row>
    <row r="2618" spans="1:7">
      <c r="A2618" t="s">
        <v>4221</v>
      </c>
      <c r="B2618" s="2">
        <v>45820</v>
      </c>
      <c r="C2618" t="s">
        <v>110</v>
      </c>
      <c r="D2618" t="s">
        <v>1629</v>
      </c>
      <c r="E2618">
        <v>436.56</v>
      </c>
      <c r="F2618" t="s">
        <v>1578</v>
      </c>
      <c r="G2618" t="s">
        <v>1276</v>
      </c>
    </row>
    <row r="2619" spans="1:7">
      <c r="A2619" t="s">
        <v>4222</v>
      </c>
      <c r="B2619" s="2">
        <v>45820</v>
      </c>
      <c r="C2619" t="s">
        <v>114</v>
      </c>
      <c r="D2619" t="s">
        <v>1629</v>
      </c>
      <c r="E2619">
        <v>432.28</v>
      </c>
      <c r="F2619" t="s">
        <v>1578</v>
      </c>
      <c r="G2619" t="s">
        <v>1276</v>
      </c>
    </row>
    <row r="2620" spans="1:7">
      <c r="A2620" t="s">
        <v>4223</v>
      </c>
      <c r="B2620" s="2">
        <v>45820</v>
      </c>
      <c r="C2620" t="s">
        <v>117</v>
      </c>
      <c r="D2620" t="s">
        <v>1629</v>
      </c>
      <c r="E2620">
        <v>430.14</v>
      </c>
      <c r="F2620" t="s">
        <v>1578</v>
      </c>
      <c r="G2620" t="s">
        <v>1276</v>
      </c>
    </row>
    <row r="2621" spans="1:7">
      <c r="A2621" t="s">
        <v>4224</v>
      </c>
      <c r="B2621" s="2">
        <v>45820</v>
      </c>
      <c r="C2621" t="s">
        <v>119</v>
      </c>
      <c r="D2621" t="s">
        <v>1629</v>
      </c>
      <c r="E2621">
        <v>432.28</v>
      </c>
      <c r="F2621" t="s">
        <v>1578</v>
      </c>
      <c r="G2621" t="s">
        <v>1276</v>
      </c>
    </row>
    <row r="2622" spans="1:7">
      <c r="A2622" t="s">
        <v>4225</v>
      </c>
      <c r="B2622" s="2">
        <v>45820</v>
      </c>
      <c r="C2622" t="s">
        <v>97</v>
      </c>
      <c r="D2622" t="s">
        <v>1683</v>
      </c>
      <c r="E2622">
        <v>94</v>
      </c>
      <c r="F2622" t="s">
        <v>1578</v>
      </c>
      <c r="G2622" t="s">
        <v>652</v>
      </c>
    </row>
    <row r="2623" spans="1:7">
      <c r="A2623" t="s">
        <v>4226</v>
      </c>
      <c r="B2623" s="2">
        <v>45820</v>
      </c>
      <c r="C2623" t="s">
        <v>84</v>
      </c>
      <c r="D2623" t="s">
        <v>1683</v>
      </c>
      <c r="E2623">
        <v>108</v>
      </c>
      <c r="F2623" t="s">
        <v>1578</v>
      </c>
      <c r="G2623" t="s">
        <v>653</v>
      </c>
    </row>
    <row r="2624" spans="1:7">
      <c r="A2624" t="s">
        <v>4227</v>
      </c>
      <c r="B2624" s="2">
        <v>45820</v>
      </c>
      <c r="C2624" t="s">
        <v>68</v>
      </c>
      <c r="D2624" t="s">
        <v>1683</v>
      </c>
      <c r="E2624">
        <v>169</v>
      </c>
      <c r="F2624" t="s">
        <v>1578</v>
      </c>
      <c r="G2624" t="s">
        <v>654</v>
      </c>
    </row>
    <row r="2625" spans="1:7">
      <c r="A2625" t="s">
        <v>4228</v>
      </c>
      <c r="B2625" s="2">
        <v>45821</v>
      </c>
      <c r="C2625" t="s">
        <v>61</v>
      </c>
      <c r="D2625" t="s">
        <v>1629</v>
      </c>
      <c r="E2625">
        <v>215.22</v>
      </c>
      <c r="F2625" t="s">
        <v>1578</v>
      </c>
      <c r="G2625" t="s">
        <v>1277</v>
      </c>
    </row>
    <row r="2626" spans="1:7">
      <c r="A2626" t="s">
        <v>4229</v>
      </c>
      <c r="B2626" s="2">
        <v>45821</v>
      </c>
      <c r="C2626" t="s">
        <v>65</v>
      </c>
      <c r="D2626" t="s">
        <v>1629</v>
      </c>
      <c r="E2626">
        <v>214.16</v>
      </c>
      <c r="F2626" t="s">
        <v>1578</v>
      </c>
      <c r="G2626" t="s">
        <v>1277</v>
      </c>
    </row>
    <row r="2627" spans="1:7">
      <c r="A2627" t="s">
        <v>4230</v>
      </c>
      <c r="B2627" s="2">
        <v>45821</v>
      </c>
      <c r="C2627" t="s">
        <v>68</v>
      </c>
      <c r="D2627" t="s">
        <v>1629</v>
      </c>
      <c r="E2627">
        <v>215.22</v>
      </c>
      <c r="F2627" t="s">
        <v>1578</v>
      </c>
      <c r="G2627" t="s">
        <v>1277</v>
      </c>
    </row>
    <row r="2628" spans="1:7">
      <c r="A2628" t="s">
        <v>4231</v>
      </c>
      <c r="B2628" s="2">
        <v>45821</v>
      </c>
      <c r="C2628" t="s">
        <v>70</v>
      </c>
      <c r="D2628" t="s">
        <v>1629</v>
      </c>
      <c r="E2628">
        <v>213.11</v>
      </c>
      <c r="F2628" t="s">
        <v>1578</v>
      </c>
      <c r="G2628" t="s">
        <v>1277</v>
      </c>
    </row>
    <row r="2629" spans="1:7">
      <c r="A2629" t="s">
        <v>4232</v>
      </c>
      <c r="B2629" s="2">
        <v>45821</v>
      </c>
      <c r="C2629" t="s">
        <v>73</v>
      </c>
      <c r="D2629" t="s">
        <v>1629</v>
      </c>
      <c r="E2629">
        <v>215.22</v>
      </c>
      <c r="F2629" t="s">
        <v>1578</v>
      </c>
      <c r="G2629" t="s">
        <v>1277</v>
      </c>
    </row>
    <row r="2630" spans="1:7">
      <c r="A2630" t="s">
        <v>4233</v>
      </c>
      <c r="B2630" s="2">
        <v>45821</v>
      </c>
      <c r="C2630" t="s">
        <v>75</v>
      </c>
      <c r="D2630" t="s">
        <v>1629</v>
      </c>
      <c r="E2630">
        <v>213.11</v>
      </c>
      <c r="F2630" t="s">
        <v>1578</v>
      </c>
      <c r="G2630" t="s">
        <v>1277</v>
      </c>
    </row>
    <row r="2631" spans="1:7">
      <c r="A2631" t="s">
        <v>4234</v>
      </c>
      <c r="B2631" s="2">
        <v>45821</v>
      </c>
      <c r="C2631" t="s">
        <v>77</v>
      </c>
      <c r="D2631" t="s">
        <v>1629</v>
      </c>
      <c r="E2631">
        <v>213.11</v>
      </c>
      <c r="F2631" t="s">
        <v>1578</v>
      </c>
      <c r="G2631" t="s">
        <v>1277</v>
      </c>
    </row>
    <row r="2632" spans="1:7">
      <c r="A2632" t="s">
        <v>4235</v>
      </c>
      <c r="B2632" s="2">
        <v>45821</v>
      </c>
      <c r="C2632" t="s">
        <v>79</v>
      </c>
      <c r="D2632" t="s">
        <v>1629</v>
      </c>
      <c r="E2632">
        <v>215.22</v>
      </c>
      <c r="F2632" t="s">
        <v>1578</v>
      </c>
      <c r="G2632" t="s">
        <v>1277</v>
      </c>
    </row>
    <row r="2633" spans="1:7">
      <c r="A2633" t="s">
        <v>4236</v>
      </c>
      <c r="B2633" s="2">
        <v>45821</v>
      </c>
      <c r="C2633" t="s">
        <v>81</v>
      </c>
      <c r="D2633" t="s">
        <v>1629</v>
      </c>
      <c r="E2633">
        <v>426.22</v>
      </c>
      <c r="F2633" t="s">
        <v>1578</v>
      </c>
      <c r="G2633" t="s">
        <v>1277</v>
      </c>
    </row>
    <row r="2634" spans="1:7">
      <c r="A2634" t="s">
        <v>4237</v>
      </c>
      <c r="B2634" s="2">
        <v>45821</v>
      </c>
      <c r="C2634" t="s">
        <v>108</v>
      </c>
      <c r="D2634" t="s">
        <v>1629</v>
      </c>
      <c r="E2634">
        <v>428.33</v>
      </c>
      <c r="F2634" t="s">
        <v>1578</v>
      </c>
      <c r="G2634" t="s">
        <v>1277</v>
      </c>
    </row>
    <row r="2635" spans="1:7">
      <c r="A2635" t="s">
        <v>4238</v>
      </c>
      <c r="B2635" s="2">
        <v>45821</v>
      </c>
      <c r="C2635" t="s">
        <v>110</v>
      </c>
      <c r="D2635" t="s">
        <v>1629</v>
      </c>
      <c r="E2635">
        <v>215.22</v>
      </c>
      <c r="F2635" t="s">
        <v>1578</v>
      </c>
      <c r="G2635" t="s">
        <v>1277</v>
      </c>
    </row>
    <row r="2636" spans="1:7">
      <c r="A2636" t="s">
        <v>4239</v>
      </c>
      <c r="B2636" s="2">
        <v>45821</v>
      </c>
      <c r="C2636" t="s">
        <v>114</v>
      </c>
      <c r="D2636" t="s">
        <v>1629</v>
      </c>
      <c r="E2636">
        <v>213.11</v>
      </c>
      <c r="F2636" t="s">
        <v>1578</v>
      </c>
      <c r="G2636" t="s">
        <v>1277</v>
      </c>
    </row>
    <row r="2637" spans="1:7">
      <c r="A2637" t="s">
        <v>4240</v>
      </c>
      <c r="B2637" s="2">
        <v>45821</v>
      </c>
      <c r="C2637" t="s">
        <v>117</v>
      </c>
      <c r="D2637" t="s">
        <v>1629</v>
      </c>
      <c r="E2637">
        <v>212.05</v>
      </c>
      <c r="F2637" t="s">
        <v>1578</v>
      </c>
      <c r="G2637" t="s">
        <v>1277</v>
      </c>
    </row>
    <row r="2638" spans="1:7">
      <c r="A2638" t="s">
        <v>4241</v>
      </c>
      <c r="B2638" s="2">
        <v>45821</v>
      </c>
      <c r="C2638" t="s">
        <v>119</v>
      </c>
      <c r="D2638" t="s">
        <v>1629</v>
      </c>
      <c r="E2638">
        <v>213.11</v>
      </c>
      <c r="F2638" t="s">
        <v>1578</v>
      </c>
      <c r="G2638" t="s">
        <v>1277</v>
      </c>
    </row>
    <row r="2639" spans="1:7">
      <c r="A2639" t="s">
        <v>4242</v>
      </c>
      <c r="B2639" s="2">
        <v>45821</v>
      </c>
      <c r="C2639" t="s">
        <v>106</v>
      </c>
      <c r="D2639" t="s">
        <v>1683</v>
      </c>
      <c r="E2639">
        <v>94</v>
      </c>
      <c r="F2639" t="s">
        <v>1578</v>
      </c>
      <c r="G2639" t="s">
        <v>656</v>
      </c>
    </row>
    <row r="2640" spans="1:7">
      <c r="A2640" t="s">
        <v>4243</v>
      </c>
      <c r="B2640" s="2">
        <v>45822</v>
      </c>
      <c r="C2640" t="s">
        <v>75</v>
      </c>
      <c r="D2640" t="s">
        <v>1629</v>
      </c>
      <c r="E2640">
        <v>373.7</v>
      </c>
      <c r="F2640" t="s">
        <v>1578</v>
      </c>
      <c r="G2640" t="s">
        <v>1278</v>
      </c>
    </row>
    <row r="2641" spans="1:7">
      <c r="A2641" t="s">
        <v>4244</v>
      </c>
      <c r="B2641" s="2">
        <v>45822</v>
      </c>
      <c r="C2641" t="s">
        <v>104</v>
      </c>
      <c r="D2641" t="s">
        <v>1629</v>
      </c>
      <c r="E2641">
        <v>762.2</v>
      </c>
      <c r="F2641" t="s">
        <v>1578</v>
      </c>
      <c r="G2641" t="s">
        <v>1278</v>
      </c>
    </row>
    <row r="2642" spans="1:7">
      <c r="A2642" t="s">
        <v>4245</v>
      </c>
      <c r="B2642" s="2">
        <v>45822</v>
      </c>
      <c r="C2642" t="s">
        <v>108</v>
      </c>
      <c r="D2642" t="s">
        <v>1629</v>
      </c>
      <c r="E2642">
        <v>751.1</v>
      </c>
      <c r="F2642" t="s">
        <v>1578</v>
      </c>
      <c r="G2642" t="s">
        <v>1278</v>
      </c>
    </row>
    <row r="2643" spans="1:7">
      <c r="A2643" t="s">
        <v>4246</v>
      </c>
      <c r="B2643" s="2">
        <v>45822</v>
      </c>
      <c r="C2643" t="s">
        <v>110</v>
      </c>
      <c r="D2643" t="s">
        <v>1629</v>
      </c>
      <c r="E2643">
        <v>377.4</v>
      </c>
      <c r="F2643" t="s">
        <v>1578</v>
      </c>
      <c r="G2643" t="s">
        <v>1278</v>
      </c>
    </row>
    <row r="2644" spans="1:7">
      <c r="A2644" t="s">
        <v>4247</v>
      </c>
      <c r="B2644" s="2">
        <v>45822</v>
      </c>
      <c r="C2644" t="s">
        <v>114</v>
      </c>
      <c r="D2644" t="s">
        <v>1629</v>
      </c>
      <c r="E2644">
        <v>373.7</v>
      </c>
      <c r="F2644" t="s">
        <v>1578</v>
      </c>
      <c r="G2644" t="s">
        <v>1278</v>
      </c>
    </row>
    <row r="2645" spans="1:7">
      <c r="A2645" t="s">
        <v>4248</v>
      </c>
      <c r="B2645" s="2">
        <v>45822</v>
      </c>
      <c r="C2645" t="s">
        <v>117</v>
      </c>
      <c r="D2645" t="s">
        <v>1629</v>
      </c>
      <c r="E2645">
        <v>371.85</v>
      </c>
      <c r="F2645" t="s">
        <v>1578</v>
      </c>
      <c r="G2645" t="s">
        <v>1278</v>
      </c>
    </row>
    <row r="2646" spans="1:7">
      <c r="A2646" t="s">
        <v>4249</v>
      </c>
      <c r="B2646" s="2">
        <v>45822</v>
      </c>
      <c r="C2646" t="s">
        <v>119</v>
      </c>
      <c r="D2646" t="s">
        <v>1629</v>
      </c>
      <c r="E2646">
        <v>373.7</v>
      </c>
      <c r="F2646" t="s">
        <v>1578</v>
      </c>
      <c r="G2646" t="s">
        <v>1278</v>
      </c>
    </row>
    <row r="2647" spans="1:7">
      <c r="A2647" t="s">
        <v>4250</v>
      </c>
      <c r="B2647" s="2">
        <v>45822</v>
      </c>
      <c r="C2647" t="s">
        <v>75</v>
      </c>
      <c r="D2647" t="s">
        <v>1629</v>
      </c>
      <c r="E2647">
        <v>405.01</v>
      </c>
      <c r="F2647" t="s">
        <v>1578</v>
      </c>
      <c r="G2647" t="s">
        <v>1279</v>
      </c>
    </row>
    <row r="2648" spans="1:7">
      <c r="A2648" t="s">
        <v>4251</v>
      </c>
      <c r="B2648" s="2">
        <v>45822</v>
      </c>
      <c r="C2648" t="s">
        <v>91</v>
      </c>
      <c r="D2648" t="s">
        <v>1629</v>
      </c>
      <c r="E2648">
        <v>411.02</v>
      </c>
      <c r="F2648" t="s">
        <v>1578</v>
      </c>
      <c r="G2648" t="s">
        <v>1279</v>
      </c>
    </row>
    <row r="2649" spans="1:7">
      <c r="A2649" t="s">
        <v>4252</v>
      </c>
      <c r="B2649" s="2">
        <v>45822</v>
      </c>
      <c r="C2649" t="s">
        <v>93</v>
      </c>
      <c r="D2649" t="s">
        <v>1629</v>
      </c>
      <c r="E2649">
        <v>409.02</v>
      </c>
      <c r="F2649" t="s">
        <v>1578</v>
      </c>
      <c r="G2649" t="s">
        <v>1279</v>
      </c>
    </row>
    <row r="2650" spans="1:7">
      <c r="A2650" t="s">
        <v>4253</v>
      </c>
      <c r="B2650" s="2">
        <v>45822</v>
      </c>
      <c r="C2650" t="s">
        <v>95</v>
      </c>
      <c r="D2650" t="s">
        <v>1629</v>
      </c>
      <c r="E2650">
        <v>407.02</v>
      </c>
      <c r="F2650" t="s">
        <v>1578</v>
      </c>
      <c r="G2650" t="s">
        <v>1279</v>
      </c>
    </row>
    <row r="2651" spans="1:7">
      <c r="A2651" t="s">
        <v>4254</v>
      </c>
      <c r="B2651" s="2">
        <v>45822</v>
      </c>
      <c r="C2651" t="s">
        <v>97</v>
      </c>
      <c r="D2651" t="s">
        <v>1629</v>
      </c>
      <c r="E2651">
        <v>405.01</v>
      </c>
      <c r="F2651" t="s">
        <v>1578</v>
      </c>
      <c r="G2651" t="s">
        <v>1279</v>
      </c>
    </row>
    <row r="2652" spans="1:7">
      <c r="A2652" t="s">
        <v>4255</v>
      </c>
      <c r="B2652" s="2">
        <v>45822</v>
      </c>
      <c r="C2652" t="s">
        <v>99</v>
      </c>
      <c r="D2652" t="s">
        <v>1629</v>
      </c>
      <c r="E2652">
        <v>495.64</v>
      </c>
      <c r="F2652" t="s">
        <v>1578</v>
      </c>
      <c r="G2652" t="s">
        <v>1279</v>
      </c>
    </row>
    <row r="2653" spans="1:7">
      <c r="A2653" t="s">
        <v>4256</v>
      </c>
      <c r="B2653" s="2">
        <v>45822</v>
      </c>
      <c r="C2653" t="s">
        <v>102</v>
      </c>
      <c r="D2653" t="s">
        <v>1629</v>
      </c>
      <c r="E2653">
        <v>409.02</v>
      </c>
      <c r="F2653" t="s">
        <v>1578</v>
      </c>
      <c r="G2653" t="s">
        <v>1279</v>
      </c>
    </row>
    <row r="2654" spans="1:7">
      <c r="A2654" t="s">
        <v>4257</v>
      </c>
      <c r="B2654" s="2">
        <v>45822</v>
      </c>
      <c r="C2654" t="s">
        <v>108</v>
      </c>
      <c r="D2654" t="s">
        <v>1629</v>
      </c>
      <c r="E2654">
        <v>814.03</v>
      </c>
      <c r="F2654" t="s">
        <v>1578</v>
      </c>
      <c r="G2654" t="s">
        <v>1279</v>
      </c>
    </row>
    <row r="2655" spans="1:7">
      <c r="A2655" t="s">
        <v>4258</v>
      </c>
      <c r="B2655" s="2">
        <v>45822</v>
      </c>
      <c r="C2655" t="s">
        <v>110</v>
      </c>
      <c r="D2655" t="s">
        <v>1629</v>
      </c>
      <c r="E2655">
        <v>409.02</v>
      </c>
      <c r="F2655" t="s">
        <v>1578</v>
      </c>
      <c r="G2655" t="s">
        <v>1279</v>
      </c>
    </row>
    <row r="2656" spans="1:7">
      <c r="A2656" t="s">
        <v>4259</v>
      </c>
      <c r="B2656" s="2">
        <v>45822</v>
      </c>
      <c r="C2656" t="s">
        <v>114</v>
      </c>
      <c r="D2656" t="s">
        <v>1629</v>
      </c>
      <c r="E2656">
        <v>405.01</v>
      </c>
      <c r="F2656" t="s">
        <v>1578</v>
      </c>
      <c r="G2656" t="s">
        <v>1279</v>
      </c>
    </row>
    <row r="2657" spans="1:7">
      <c r="A2657" t="s">
        <v>4260</v>
      </c>
      <c r="B2657" s="2">
        <v>45822</v>
      </c>
      <c r="C2657" t="s">
        <v>117</v>
      </c>
      <c r="D2657" t="s">
        <v>1629</v>
      </c>
      <c r="E2657">
        <v>403</v>
      </c>
      <c r="F2657" t="s">
        <v>1578</v>
      </c>
      <c r="G2657" t="s">
        <v>1279</v>
      </c>
    </row>
    <row r="2658" spans="1:7">
      <c r="A2658" t="s">
        <v>4261</v>
      </c>
      <c r="B2658" s="2">
        <v>45822</v>
      </c>
      <c r="C2658" t="s">
        <v>119</v>
      </c>
      <c r="D2658" t="s">
        <v>1629</v>
      </c>
      <c r="E2658">
        <v>405.01</v>
      </c>
      <c r="F2658" t="s">
        <v>1578</v>
      </c>
      <c r="G2658" t="s">
        <v>1279</v>
      </c>
    </row>
    <row r="2659" spans="1:7">
      <c r="A2659" t="s">
        <v>4262</v>
      </c>
      <c r="B2659" s="2">
        <v>45822</v>
      </c>
      <c r="C2659" t="s">
        <v>75</v>
      </c>
      <c r="D2659" t="s">
        <v>1629</v>
      </c>
      <c r="E2659">
        <v>459.55</v>
      </c>
      <c r="F2659" t="s">
        <v>1578</v>
      </c>
      <c r="G2659" t="s">
        <v>1280</v>
      </c>
    </row>
    <row r="2660" spans="1:7">
      <c r="A2660" t="s">
        <v>4263</v>
      </c>
      <c r="B2660" s="2">
        <v>45822</v>
      </c>
      <c r="C2660" t="s">
        <v>91</v>
      </c>
      <c r="D2660" t="s">
        <v>1629</v>
      </c>
      <c r="E2660">
        <v>466.37</v>
      </c>
      <c r="F2660" t="s">
        <v>1578</v>
      </c>
      <c r="G2660" t="s">
        <v>1280</v>
      </c>
    </row>
    <row r="2661" spans="1:7">
      <c r="A2661" t="s">
        <v>4264</v>
      </c>
      <c r="B2661" s="2">
        <v>45822</v>
      </c>
      <c r="C2661" t="s">
        <v>93</v>
      </c>
      <c r="D2661" t="s">
        <v>1629</v>
      </c>
      <c r="E2661">
        <v>464.1</v>
      </c>
      <c r="F2661" t="s">
        <v>1578</v>
      </c>
      <c r="G2661" t="s">
        <v>1280</v>
      </c>
    </row>
    <row r="2662" spans="1:7">
      <c r="A2662" t="s">
        <v>4265</v>
      </c>
      <c r="B2662" s="2">
        <v>45822</v>
      </c>
      <c r="C2662" t="s">
        <v>95</v>
      </c>
      <c r="D2662" t="s">
        <v>1629</v>
      </c>
      <c r="E2662">
        <v>461.82</v>
      </c>
      <c r="F2662" t="s">
        <v>1578</v>
      </c>
      <c r="G2662" t="s">
        <v>1280</v>
      </c>
    </row>
    <row r="2663" spans="1:7">
      <c r="A2663" t="s">
        <v>4266</v>
      </c>
      <c r="B2663" s="2">
        <v>45822</v>
      </c>
      <c r="C2663" t="s">
        <v>97</v>
      </c>
      <c r="D2663" t="s">
        <v>1629</v>
      </c>
      <c r="E2663">
        <v>459.55</v>
      </c>
      <c r="F2663" t="s">
        <v>1578</v>
      </c>
      <c r="G2663" t="s">
        <v>1280</v>
      </c>
    </row>
    <row r="2664" spans="1:7">
      <c r="A2664" t="s">
        <v>4267</v>
      </c>
      <c r="B2664" s="2">
        <v>45822</v>
      </c>
      <c r="C2664" t="s">
        <v>99</v>
      </c>
      <c r="D2664" t="s">
        <v>1629</v>
      </c>
      <c r="E2664">
        <v>562.38</v>
      </c>
      <c r="F2664" t="s">
        <v>1578</v>
      </c>
      <c r="G2664" t="s">
        <v>1280</v>
      </c>
    </row>
    <row r="2665" spans="1:7">
      <c r="A2665" t="s">
        <v>4268</v>
      </c>
      <c r="B2665" s="2">
        <v>45822</v>
      </c>
      <c r="C2665" t="s">
        <v>102</v>
      </c>
      <c r="D2665" t="s">
        <v>1629</v>
      </c>
      <c r="E2665">
        <v>464.1</v>
      </c>
      <c r="F2665" t="s">
        <v>1578</v>
      </c>
      <c r="G2665" t="s">
        <v>1280</v>
      </c>
    </row>
    <row r="2666" spans="1:7">
      <c r="A2666" t="s">
        <v>4269</v>
      </c>
      <c r="B2666" s="2">
        <v>45822</v>
      </c>
      <c r="C2666" t="s">
        <v>108</v>
      </c>
      <c r="D2666" t="s">
        <v>1629</v>
      </c>
      <c r="E2666">
        <v>923.65</v>
      </c>
      <c r="F2666" t="s">
        <v>1578</v>
      </c>
      <c r="G2666" t="s">
        <v>1280</v>
      </c>
    </row>
    <row r="2667" spans="1:7">
      <c r="A2667" t="s">
        <v>4270</v>
      </c>
      <c r="B2667" s="2">
        <v>45822</v>
      </c>
      <c r="C2667" t="s">
        <v>110</v>
      </c>
      <c r="D2667" t="s">
        <v>1629</v>
      </c>
      <c r="E2667">
        <v>464.1</v>
      </c>
      <c r="F2667" t="s">
        <v>1578</v>
      </c>
      <c r="G2667" t="s">
        <v>1280</v>
      </c>
    </row>
    <row r="2668" spans="1:7">
      <c r="A2668" t="s">
        <v>4271</v>
      </c>
      <c r="B2668" s="2">
        <v>45822</v>
      </c>
      <c r="C2668" t="s">
        <v>114</v>
      </c>
      <c r="D2668" t="s">
        <v>1629</v>
      </c>
      <c r="E2668">
        <v>459.55</v>
      </c>
      <c r="F2668" t="s">
        <v>1578</v>
      </c>
      <c r="G2668" t="s">
        <v>1280</v>
      </c>
    </row>
    <row r="2669" spans="1:7">
      <c r="A2669" t="s">
        <v>4272</v>
      </c>
      <c r="B2669" s="2">
        <v>45822</v>
      </c>
      <c r="C2669" t="s">
        <v>117</v>
      </c>
      <c r="D2669" t="s">
        <v>1629</v>
      </c>
      <c r="E2669">
        <v>457.28</v>
      </c>
      <c r="F2669" t="s">
        <v>1578</v>
      </c>
      <c r="G2669" t="s">
        <v>1280</v>
      </c>
    </row>
    <row r="2670" spans="1:7">
      <c r="A2670" t="s">
        <v>4273</v>
      </c>
      <c r="B2670" s="2">
        <v>45822</v>
      </c>
      <c r="C2670" t="s">
        <v>119</v>
      </c>
      <c r="D2670" t="s">
        <v>1629</v>
      </c>
      <c r="E2670">
        <v>459.55</v>
      </c>
      <c r="F2670" t="s">
        <v>1578</v>
      </c>
      <c r="G2670" t="s">
        <v>1280</v>
      </c>
    </row>
    <row r="2671" spans="1:7">
      <c r="A2671" t="s">
        <v>4274</v>
      </c>
      <c r="B2671" s="2">
        <v>45822</v>
      </c>
      <c r="C2671" t="s">
        <v>61</v>
      </c>
      <c r="D2671" t="s">
        <v>1629</v>
      </c>
      <c r="E2671">
        <v>206.04</v>
      </c>
      <c r="F2671" t="s">
        <v>1578</v>
      </c>
      <c r="G2671" t="s">
        <v>1281</v>
      </c>
    </row>
    <row r="2672" spans="1:7">
      <c r="A2672" t="s">
        <v>4275</v>
      </c>
      <c r="B2672" s="2">
        <v>45822</v>
      </c>
      <c r="C2672" t="s">
        <v>65</v>
      </c>
      <c r="D2672" t="s">
        <v>1629</v>
      </c>
      <c r="E2672">
        <v>205.03</v>
      </c>
      <c r="F2672" t="s">
        <v>1578</v>
      </c>
      <c r="G2672" t="s">
        <v>1281</v>
      </c>
    </row>
    <row r="2673" spans="1:7">
      <c r="A2673" t="s">
        <v>4276</v>
      </c>
      <c r="B2673" s="2">
        <v>45822</v>
      </c>
      <c r="C2673" t="s">
        <v>68</v>
      </c>
      <c r="D2673" t="s">
        <v>1629</v>
      </c>
      <c r="E2673">
        <v>206.04</v>
      </c>
      <c r="F2673" t="s">
        <v>1578</v>
      </c>
      <c r="G2673" t="s">
        <v>1281</v>
      </c>
    </row>
    <row r="2674" spans="1:7">
      <c r="A2674" t="s">
        <v>4277</v>
      </c>
      <c r="B2674" s="2">
        <v>45822</v>
      </c>
      <c r="C2674" t="s">
        <v>70</v>
      </c>
      <c r="D2674" t="s">
        <v>1629</v>
      </c>
      <c r="E2674">
        <v>204.02</v>
      </c>
      <c r="F2674" t="s">
        <v>1578</v>
      </c>
      <c r="G2674" t="s">
        <v>1281</v>
      </c>
    </row>
    <row r="2675" spans="1:7">
      <c r="A2675" t="s">
        <v>4278</v>
      </c>
      <c r="B2675" s="2">
        <v>45822</v>
      </c>
      <c r="C2675" t="s">
        <v>75</v>
      </c>
      <c r="D2675" t="s">
        <v>1629</v>
      </c>
      <c r="E2675">
        <v>204.02</v>
      </c>
      <c r="F2675" t="s">
        <v>1578</v>
      </c>
      <c r="G2675" t="s">
        <v>1281</v>
      </c>
    </row>
    <row r="2676" spans="1:7">
      <c r="A2676" t="s">
        <v>4279</v>
      </c>
      <c r="B2676" s="2">
        <v>45822</v>
      </c>
      <c r="C2676" t="s">
        <v>77</v>
      </c>
      <c r="D2676" t="s">
        <v>1629</v>
      </c>
      <c r="E2676">
        <v>204.02</v>
      </c>
      <c r="F2676" t="s">
        <v>1578</v>
      </c>
      <c r="G2676" t="s">
        <v>1281</v>
      </c>
    </row>
    <row r="2677" spans="1:7">
      <c r="A2677" t="s">
        <v>4280</v>
      </c>
      <c r="B2677" s="2">
        <v>45822</v>
      </c>
      <c r="C2677" t="s">
        <v>79</v>
      </c>
      <c r="D2677" t="s">
        <v>1629</v>
      </c>
      <c r="E2677">
        <v>206.04</v>
      </c>
      <c r="F2677" t="s">
        <v>1578</v>
      </c>
      <c r="G2677" t="s">
        <v>1281</v>
      </c>
    </row>
    <row r="2678" spans="1:7">
      <c r="A2678" t="s">
        <v>4281</v>
      </c>
      <c r="B2678" s="2">
        <v>45822</v>
      </c>
      <c r="C2678" t="s">
        <v>81</v>
      </c>
      <c r="D2678" t="s">
        <v>1629</v>
      </c>
      <c r="E2678">
        <v>408.04</v>
      </c>
      <c r="F2678" t="s">
        <v>1578</v>
      </c>
      <c r="G2678" t="s">
        <v>1281</v>
      </c>
    </row>
    <row r="2679" spans="1:7">
      <c r="A2679" t="s">
        <v>4282</v>
      </c>
      <c r="B2679" s="2">
        <v>45822</v>
      </c>
      <c r="C2679" t="s">
        <v>110</v>
      </c>
      <c r="D2679" t="s">
        <v>1629</v>
      </c>
      <c r="E2679">
        <v>206.04</v>
      </c>
      <c r="F2679" t="s">
        <v>1578</v>
      </c>
      <c r="G2679" t="s">
        <v>1281</v>
      </c>
    </row>
    <row r="2680" spans="1:7">
      <c r="A2680" t="s">
        <v>4283</v>
      </c>
      <c r="B2680" s="2">
        <v>45822</v>
      </c>
      <c r="C2680" t="s">
        <v>114</v>
      </c>
      <c r="D2680" t="s">
        <v>1629</v>
      </c>
      <c r="E2680">
        <v>204.02</v>
      </c>
      <c r="F2680" t="s">
        <v>1578</v>
      </c>
      <c r="G2680" t="s">
        <v>1281</v>
      </c>
    </row>
    <row r="2681" spans="1:7">
      <c r="A2681" t="s">
        <v>4284</v>
      </c>
      <c r="B2681" s="2">
        <v>45822</v>
      </c>
      <c r="C2681" t="s">
        <v>117</v>
      </c>
      <c r="D2681" t="s">
        <v>1629</v>
      </c>
      <c r="E2681">
        <v>203.01</v>
      </c>
      <c r="F2681" t="s">
        <v>1578</v>
      </c>
      <c r="G2681" t="s">
        <v>1281</v>
      </c>
    </row>
    <row r="2682" spans="1:7">
      <c r="A2682" t="s">
        <v>4285</v>
      </c>
      <c r="B2682" s="2">
        <v>45822</v>
      </c>
      <c r="C2682" t="s">
        <v>119</v>
      </c>
      <c r="D2682" t="s">
        <v>1629</v>
      </c>
      <c r="E2682">
        <v>204.02</v>
      </c>
      <c r="F2682" t="s">
        <v>1578</v>
      </c>
      <c r="G2682" t="s">
        <v>1281</v>
      </c>
    </row>
    <row r="2683" spans="1:7">
      <c r="A2683" t="s">
        <v>4286</v>
      </c>
      <c r="B2683" s="2">
        <v>45822</v>
      </c>
      <c r="C2683" t="s">
        <v>65</v>
      </c>
      <c r="D2683" t="s">
        <v>1683</v>
      </c>
      <c r="E2683">
        <v>351</v>
      </c>
      <c r="F2683" t="s">
        <v>1578</v>
      </c>
      <c r="G2683" t="s">
        <v>657</v>
      </c>
    </row>
    <row r="2684" spans="1:7">
      <c r="A2684" t="s">
        <v>4287</v>
      </c>
      <c r="B2684" s="2">
        <v>45822</v>
      </c>
      <c r="C2684" t="s">
        <v>106</v>
      </c>
      <c r="D2684" t="s">
        <v>1683</v>
      </c>
      <c r="E2684">
        <v>125</v>
      </c>
      <c r="F2684" t="s">
        <v>1578</v>
      </c>
      <c r="G2684" t="s">
        <v>658</v>
      </c>
    </row>
    <row r="2685" spans="1:7">
      <c r="A2685" t="s">
        <v>4288</v>
      </c>
      <c r="B2685" s="2">
        <v>45823</v>
      </c>
      <c r="C2685" t="s">
        <v>61</v>
      </c>
      <c r="D2685" t="s">
        <v>1629</v>
      </c>
      <c r="E2685">
        <v>352.92</v>
      </c>
      <c r="F2685" t="s">
        <v>1578</v>
      </c>
      <c r="G2685" t="s">
        <v>1282</v>
      </c>
    </row>
    <row r="2686" spans="1:7">
      <c r="A2686" t="s">
        <v>4289</v>
      </c>
      <c r="B2686" s="2">
        <v>45823</v>
      </c>
      <c r="C2686" t="s">
        <v>65</v>
      </c>
      <c r="D2686" t="s">
        <v>1629</v>
      </c>
      <c r="E2686">
        <v>351.19</v>
      </c>
      <c r="F2686" t="s">
        <v>1578</v>
      </c>
      <c r="G2686" t="s">
        <v>1282</v>
      </c>
    </row>
    <row r="2687" spans="1:7">
      <c r="A2687" t="s">
        <v>4290</v>
      </c>
      <c r="B2687" s="2">
        <v>45823</v>
      </c>
      <c r="C2687" t="s">
        <v>68</v>
      </c>
      <c r="D2687" t="s">
        <v>1629</v>
      </c>
      <c r="E2687">
        <v>352.92</v>
      </c>
      <c r="F2687" t="s">
        <v>1578</v>
      </c>
      <c r="G2687" t="s">
        <v>1282</v>
      </c>
    </row>
    <row r="2688" spans="1:7">
      <c r="A2688" t="s">
        <v>4291</v>
      </c>
      <c r="B2688" s="2">
        <v>45823</v>
      </c>
      <c r="C2688" t="s">
        <v>70</v>
      </c>
      <c r="D2688" t="s">
        <v>1629</v>
      </c>
      <c r="E2688">
        <v>349.46</v>
      </c>
      <c r="F2688" t="s">
        <v>1578</v>
      </c>
      <c r="G2688" t="s">
        <v>1282</v>
      </c>
    </row>
    <row r="2689" spans="1:7">
      <c r="A2689" t="s">
        <v>4292</v>
      </c>
      <c r="B2689" s="2">
        <v>45823</v>
      </c>
      <c r="C2689" t="s">
        <v>75</v>
      </c>
      <c r="D2689" t="s">
        <v>1629</v>
      </c>
      <c r="E2689">
        <v>349.46</v>
      </c>
      <c r="F2689" t="s">
        <v>1578</v>
      </c>
      <c r="G2689" t="s">
        <v>1282</v>
      </c>
    </row>
    <row r="2690" spans="1:7">
      <c r="A2690" t="s">
        <v>4293</v>
      </c>
      <c r="B2690" s="2">
        <v>45823</v>
      </c>
      <c r="C2690" t="s">
        <v>77</v>
      </c>
      <c r="D2690" t="s">
        <v>1629</v>
      </c>
      <c r="E2690">
        <v>349.46</v>
      </c>
      <c r="F2690" t="s">
        <v>1578</v>
      </c>
      <c r="G2690" t="s">
        <v>1282</v>
      </c>
    </row>
    <row r="2691" spans="1:7">
      <c r="A2691" t="s">
        <v>4294</v>
      </c>
      <c r="B2691" s="2">
        <v>45823</v>
      </c>
      <c r="C2691" t="s">
        <v>79</v>
      </c>
      <c r="D2691" t="s">
        <v>1629</v>
      </c>
      <c r="E2691">
        <v>352.92</v>
      </c>
      <c r="F2691" t="s">
        <v>1578</v>
      </c>
      <c r="G2691" t="s">
        <v>1282</v>
      </c>
    </row>
    <row r="2692" spans="1:7">
      <c r="A2692" t="s">
        <v>4295</v>
      </c>
      <c r="B2692" s="2">
        <v>45823</v>
      </c>
      <c r="C2692" t="s">
        <v>81</v>
      </c>
      <c r="D2692" t="s">
        <v>1629</v>
      </c>
      <c r="E2692">
        <v>698.92</v>
      </c>
      <c r="F2692" t="s">
        <v>1578</v>
      </c>
      <c r="G2692" t="s">
        <v>1282</v>
      </c>
    </row>
    <row r="2693" spans="1:7">
      <c r="A2693" t="s">
        <v>4296</v>
      </c>
      <c r="B2693" s="2">
        <v>45823</v>
      </c>
      <c r="C2693" t="s">
        <v>110</v>
      </c>
      <c r="D2693" t="s">
        <v>1629</v>
      </c>
      <c r="E2693">
        <v>352.92</v>
      </c>
      <c r="F2693" t="s">
        <v>1578</v>
      </c>
      <c r="G2693" t="s">
        <v>1282</v>
      </c>
    </row>
    <row r="2694" spans="1:7">
      <c r="A2694" t="s">
        <v>4297</v>
      </c>
      <c r="B2694" s="2">
        <v>45823</v>
      </c>
      <c r="C2694" t="s">
        <v>114</v>
      </c>
      <c r="D2694" t="s">
        <v>1629</v>
      </c>
      <c r="E2694">
        <v>349.46</v>
      </c>
      <c r="F2694" t="s">
        <v>1578</v>
      </c>
      <c r="G2694" t="s">
        <v>1282</v>
      </c>
    </row>
    <row r="2695" spans="1:7">
      <c r="A2695" t="s">
        <v>4298</v>
      </c>
      <c r="B2695" s="2">
        <v>45823</v>
      </c>
      <c r="C2695" t="s">
        <v>117</v>
      </c>
      <c r="D2695" t="s">
        <v>1629</v>
      </c>
      <c r="E2695">
        <v>347.73</v>
      </c>
      <c r="F2695" t="s">
        <v>1578</v>
      </c>
      <c r="G2695" t="s">
        <v>1282</v>
      </c>
    </row>
    <row r="2696" spans="1:7">
      <c r="A2696" t="s">
        <v>4299</v>
      </c>
      <c r="B2696" s="2">
        <v>45823</v>
      </c>
      <c r="C2696" t="s">
        <v>119</v>
      </c>
      <c r="D2696" t="s">
        <v>1629</v>
      </c>
      <c r="E2696">
        <v>349.46</v>
      </c>
      <c r="F2696" t="s">
        <v>1578</v>
      </c>
      <c r="G2696" t="s">
        <v>1282</v>
      </c>
    </row>
    <row r="2697" spans="1:7">
      <c r="A2697" t="s">
        <v>4300</v>
      </c>
      <c r="B2697" s="2">
        <v>45823</v>
      </c>
      <c r="C2697" t="s">
        <v>61</v>
      </c>
      <c r="D2697" t="s">
        <v>1629</v>
      </c>
      <c r="E2697">
        <v>431.46</v>
      </c>
      <c r="F2697" t="s">
        <v>1578</v>
      </c>
      <c r="G2697" t="s">
        <v>1283</v>
      </c>
    </row>
    <row r="2698" spans="1:7">
      <c r="A2698" t="s">
        <v>4301</v>
      </c>
      <c r="B2698" s="2">
        <v>45823</v>
      </c>
      <c r="C2698" t="s">
        <v>65</v>
      </c>
      <c r="D2698" t="s">
        <v>1629</v>
      </c>
      <c r="E2698">
        <v>429.34</v>
      </c>
      <c r="F2698" t="s">
        <v>1578</v>
      </c>
      <c r="G2698" t="s">
        <v>1283</v>
      </c>
    </row>
    <row r="2699" spans="1:7">
      <c r="A2699" t="s">
        <v>4302</v>
      </c>
      <c r="B2699" s="2">
        <v>45823</v>
      </c>
      <c r="C2699" t="s">
        <v>68</v>
      </c>
      <c r="D2699" t="s">
        <v>1629</v>
      </c>
      <c r="E2699">
        <v>431.46</v>
      </c>
      <c r="F2699" t="s">
        <v>1578</v>
      </c>
      <c r="G2699" t="s">
        <v>1283</v>
      </c>
    </row>
    <row r="2700" spans="1:7">
      <c r="A2700" t="s">
        <v>4303</v>
      </c>
      <c r="B2700" s="2">
        <v>45823</v>
      </c>
      <c r="C2700" t="s">
        <v>70</v>
      </c>
      <c r="D2700" t="s">
        <v>1629</v>
      </c>
      <c r="E2700">
        <v>427.23</v>
      </c>
      <c r="F2700" t="s">
        <v>1578</v>
      </c>
      <c r="G2700" t="s">
        <v>1283</v>
      </c>
    </row>
    <row r="2701" spans="1:7">
      <c r="A2701" t="s">
        <v>4304</v>
      </c>
      <c r="B2701" s="2">
        <v>45823</v>
      </c>
      <c r="C2701" t="s">
        <v>73</v>
      </c>
      <c r="D2701" t="s">
        <v>1629</v>
      </c>
      <c r="E2701">
        <v>431.46</v>
      </c>
      <c r="F2701" t="s">
        <v>1578</v>
      </c>
      <c r="G2701" t="s">
        <v>1283</v>
      </c>
    </row>
    <row r="2702" spans="1:7">
      <c r="A2702" t="s">
        <v>4305</v>
      </c>
      <c r="B2702" s="2">
        <v>45823</v>
      </c>
      <c r="C2702" t="s">
        <v>75</v>
      </c>
      <c r="D2702" t="s">
        <v>1629</v>
      </c>
      <c r="E2702">
        <v>427.23</v>
      </c>
      <c r="F2702" t="s">
        <v>1578</v>
      </c>
      <c r="G2702" t="s">
        <v>1283</v>
      </c>
    </row>
    <row r="2703" spans="1:7">
      <c r="A2703" t="s">
        <v>4306</v>
      </c>
      <c r="B2703" s="2">
        <v>45823</v>
      </c>
      <c r="C2703" t="s">
        <v>77</v>
      </c>
      <c r="D2703" t="s">
        <v>1629</v>
      </c>
      <c r="E2703">
        <v>427.23</v>
      </c>
      <c r="F2703" t="s">
        <v>1578</v>
      </c>
      <c r="G2703" t="s">
        <v>1283</v>
      </c>
    </row>
    <row r="2704" spans="1:7">
      <c r="A2704" t="s">
        <v>4307</v>
      </c>
      <c r="B2704" s="2">
        <v>45823</v>
      </c>
      <c r="C2704" t="s">
        <v>79</v>
      </c>
      <c r="D2704" t="s">
        <v>1629</v>
      </c>
      <c r="E2704">
        <v>431.46</v>
      </c>
      <c r="F2704" t="s">
        <v>1578</v>
      </c>
      <c r="G2704" t="s">
        <v>1283</v>
      </c>
    </row>
    <row r="2705" spans="1:7">
      <c r="A2705" t="s">
        <v>4308</v>
      </c>
      <c r="B2705" s="2">
        <v>45823</v>
      </c>
      <c r="C2705" t="s">
        <v>81</v>
      </c>
      <c r="D2705" t="s">
        <v>1629</v>
      </c>
      <c r="E2705">
        <v>854.46</v>
      </c>
      <c r="F2705" t="s">
        <v>1578</v>
      </c>
      <c r="G2705" t="s">
        <v>1283</v>
      </c>
    </row>
    <row r="2706" spans="1:7">
      <c r="A2706" t="s">
        <v>4309</v>
      </c>
      <c r="B2706" s="2">
        <v>45823</v>
      </c>
      <c r="C2706" t="s">
        <v>108</v>
      </c>
      <c r="D2706" t="s">
        <v>1629</v>
      </c>
      <c r="E2706">
        <v>858.69</v>
      </c>
      <c r="F2706" t="s">
        <v>1578</v>
      </c>
      <c r="G2706" t="s">
        <v>1283</v>
      </c>
    </row>
    <row r="2707" spans="1:7">
      <c r="A2707" t="s">
        <v>4310</v>
      </c>
      <c r="B2707" s="2">
        <v>45823</v>
      </c>
      <c r="C2707" t="s">
        <v>110</v>
      </c>
      <c r="D2707" t="s">
        <v>1629</v>
      </c>
      <c r="E2707">
        <v>431.46</v>
      </c>
      <c r="F2707" t="s">
        <v>1578</v>
      </c>
      <c r="G2707" t="s">
        <v>1283</v>
      </c>
    </row>
    <row r="2708" spans="1:7">
      <c r="A2708" t="s">
        <v>4311</v>
      </c>
      <c r="B2708" s="2">
        <v>45823</v>
      </c>
      <c r="C2708" t="s">
        <v>114</v>
      </c>
      <c r="D2708" t="s">
        <v>1629</v>
      </c>
      <c r="E2708">
        <v>427.23</v>
      </c>
      <c r="F2708" t="s">
        <v>1578</v>
      </c>
      <c r="G2708" t="s">
        <v>1283</v>
      </c>
    </row>
    <row r="2709" spans="1:7">
      <c r="A2709" t="s">
        <v>4312</v>
      </c>
      <c r="B2709" s="2">
        <v>45823</v>
      </c>
      <c r="C2709" t="s">
        <v>117</v>
      </c>
      <c r="D2709" t="s">
        <v>1629</v>
      </c>
      <c r="E2709">
        <v>425.11</v>
      </c>
      <c r="F2709" t="s">
        <v>1578</v>
      </c>
      <c r="G2709" t="s">
        <v>1283</v>
      </c>
    </row>
    <row r="2710" spans="1:7">
      <c r="A2710" t="s">
        <v>4313</v>
      </c>
      <c r="B2710" s="2">
        <v>45823</v>
      </c>
      <c r="C2710" t="s">
        <v>119</v>
      </c>
      <c r="D2710" t="s">
        <v>1629</v>
      </c>
      <c r="E2710">
        <v>427.23</v>
      </c>
      <c r="F2710" t="s">
        <v>1578</v>
      </c>
      <c r="G2710" t="s">
        <v>1283</v>
      </c>
    </row>
    <row r="2711" spans="1:7">
      <c r="A2711" t="s">
        <v>4314</v>
      </c>
      <c r="B2711" s="2">
        <v>45823</v>
      </c>
      <c r="C2711" t="s">
        <v>75</v>
      </c>
      <c r="D2711" t="s">
        <v>1629</v>
      </c>
      <c r="E2711">
        <v>97.97</v>
      </c>
      <c r="F2711" t="s">
        <v>1578</v>
      </c>
      <c r="G2711" t="s">
        <v>1284</v>
      </c>
    </row>
    <row r="2712" spans="1:7">
      <c r="A2712" t="s">
        <v>4315</v>
      </c>
      <c r="B2712" s="2">
        <v>45823</v>
      </c>
      <c r="C2712" t="s">
        <v>91</v>
      </c>
      <c r="D2712" t="s">
        <v>1629</v>
      </c>
      <c r="E2712">
        <v>99.42</v>
      </c>
      <c r="F2712" t="s">
        <v>1578</v>
      </c>
      <c r="G2712" t="s">
        <v>1284</v>
      </c>
    </row>
    <row r="2713" spans="1:7">
      <c r="A2713" t="s">
        <v>4316</v>
      </c>
      <c r="B2713" s="2">
        <v>45823</v>
      </c>
      <c r="C2713" t="s">
        <v>93</v>
      </c>
      <c r="D2713" t="s">
        <v>1629</v>
      </c>
      <c r="E2713">
        <v>98.94</v>
      </c>
      <c r="F2713" t="s">
        <v>1578</v>
      </c>
      <c r="G2713" t="s">
        <v>1284</v>
      </c>
    </row>
    <row r="2714" spans="1:7">
      <c r="A2714" t="s">
        <v>4317</v>
      </c>
      <c r="B2714" s="2">
        <v>45823</v>
      </c>
      <c r="C2714" t="s">
        <v>95</v>
      </c>
      <c r="D2714" t="s">
        <v>1629</v>
      </c>
      <c r="E2714">
        <v>98.45</v>
      </c>
      <c r="F2714" t="s">
        <v>1578</v>
      </c>
      <c r="G2714" t="s">
        <v>1284</v>
      </c>
    </row>
    <row r="2715" spans="1:7">
      <c r="A2715" t="s">
        <v>4318</v>
      </c>
      <c r="B2715" s="2">
        <v>45823</v>
      </c>
      <c r="C2715" t="s">
        <v>97</v>
      </c>
      <c r="D2715" t="s">
        <v>1629</v>
      </c>
      <c r="E2715">
        <v>97.97</v>
      </c>
      <c r="F2715" t="s">
        <v>1578</v>
      </c>
      <c r="G2715" t="s">
        <v>1284</v>
      </c>
    </row>
    <row r="2716" spans="1:7">
      <c r="A2716" t="s">
        <v>4319</v>
      </c>
      <c r="B2716" s="2">
        <v>45823</v>
      </c>
      <c r="C2716" t="s">
        <v>99</v>
      </c>
      <c r="D2716" t="s">
        <v>1629</v>
      </c>
      <c r="E2716">
        <v>119.89</v>
      </c>
      <c r="F2716" t="s">
        <v>1578</v>
      </c>
      <c r="G2716" t="s">
        <v>1284</v>
      </c>
    </row>
    <row r="2717" spans="1:7">
      <c r="A2717" t="s">
        <v>4320</v>
      </c>
      <c r="B2717" s="2">
        <v>45823</v>
      </c>
      <c r="C2717" t="s">
        <v>102</v>
      </c>
      <c r="D2717" t="s">
        <v>1629</v>
      </c>
      <c r="E2717">
        <v>98.94</v>
      </c>
      <c r="F2717" t="s">
        <v>1578</v>
      </c>
      <c r="G2717" t="s">
        <v>1284</v>
      </c>
    </row>
    <row r="2718" spans="1:7">
      <c r="A2718" t="s">
        <v>4321</v>
      </c>
      <c r="B2718" s="2">
        <v>45823</v>
      </c>
      <c r="C2718" t="s">
        <v>108</v>
      </c>
      <c r="D2718" t="s">
        <v>1629</v>
      </c>
      <c r="E2718">
        <v>196.91</v>
      </c>
      <c r="F2718" t="s">
        <v>1578</v>
      </c>
      <c r="G2718" t="s">
        <v>1284</v>
      </c>
    </row>
    <row r="2719" spans="1:7">
      <c r="A2719" t="s">
        <v>4322</v>
      </c>
      <c r="B2719" s="2">
        <v>45823</v>
      </c>
      <c r="C2719" t="s">
        <v>110</v>
      </c>
      <c r="D2719" t="s">
        <v>1629</v>
      </c>
      <c r="E2719">
        <v>98.94</v>
      </c>
      <c r="F2719" t="s">
        <v>1578</v>
      </c>
      <c r="G2719" t="s">
        <v>1284</v>
      </c>
    </row>
    <row r="2720" spans="1:7">
      <c r="A2720" t="s">
        <v>4323</v>
      </c>
      <c r="B2720" s="2">
        <v>45823</v>
      </c>
      <c r="C2720" t="s">
        <v>114</v>
      </c>
      <c r="D2720" t="s">
        <v>1629</v>
      </c>
      <c r="E2720">
        <v>97.97</v>
      </c>
      <c r="F2720" t="s">
        <v>1578</v>
      </c>
      <c r="G2720" t="s">
        <v>1284</v>
      </c>
    </row>
    <row r="2721" spans="1:7">
      <c r="A2721" t="s">
        <v>4324</v>
      </c>
      <c r="B2721" s="2">
        <v>45823</v>
      </c>
      <c r="C2721" t="s">
        <v>117</v>
      </c>
      <c r="D2721" t="s">
        <v>1629</v>
      </c>
      <c r="E2721">
        <v>97.48</v>
      </c>
      <c r="F2721" t="s">
        <v>1578</v>
      </c>
      <c r="G2721" t="s">
        <v>1284</v>
      </c>
    </row>
    <row r="2722" spans="1:7">
      <c r="A2722" t="s">
        <v>4325</v>
      </c>
      <c r="B2722" s="2">
        <v>45823</v>
      </c>
      <c r="C2722" t="s">
        <v>119</v>
      </c>
      <c r="D2722" t="s">
        <v>1629</v>
      </c>
      <c r="E2722">
        <v>97.97</v>
      </c>
      <c r="F2722" t="s">
        <v>1578</v>
      </c>
      <c r="G2722" t="s">
        <v>1284</v>
      </c>
    </row>
    <row r="2723" spans="1:7">
      <c r="A2723" t="s">
        <v>4326</v>
      </c>
      <c r="B2723" s="2">
        <v>45823</v>
      </c>
      <c r="C2723" t="s">
        <v>106</v>
      </c>
      <c r="D2723" t="s">
        <v>1683</v>
      </c>
      <c r="E2723">
        <v>291</v>
      </c>
      <c r="F2723" t="s">
        <v>1578</v>
      </c>
      <c r="G2723" t="s">
        <v>660</v>
      </c>
    </row>
    <row r="2724" spans="1:7">
      <c r="A2724" t="s">
        <v>4327</v>
      </c>
      <c r="B2724" s="2">
        <v>45823</v>
      </c>
      <c r="C2724" t="s">
        <v>104</v>
      </c>
      <c r="D2724" t="s">
        <v>1683</v>
      </c>
      <c r="E2724">
        <v>374</v>
      </c>
      <c r="F2724" t="s">
        <v>1578</v>
      </c>
      <c r="G2724" t="s">
        <v>661</v>
      </c>
    </row>
    <row r="2725" spans="1:7">
      <c r="A2725" t="s">
        <v>4328</v>
      </c>
      <c r="B2725" s="2">
        <v>45823</v>
      </c>
      <c r="C2725" t="s">
        <v>104</v>
      </c>
      <c r="D2725" t="s">
        <v>1683</v>
      </c>
      <c r="E2725">
        <v>146</v>
      </c>
      <c r="F2725" t="s">
        <v>1578</v>
      </c>
      <c r="G2725" t="s">
        <v>662</v>
      </c>
    </row>
    <row r="2726" spans="1:7">
      <c r="A2726" t="s">
        <v>4329</v>
      </c>
      <c r="B2726" s="2">
        <v>45823</v>
      </c>
      <c r="C2726" t="s">
        <v>70</v>
      </c>
      <c r="D2726" t="s">
        <v>1683</v>
      </c>
      <c r="E2726">
        <v>163</v>
      </c>
      <c r="F2726" t="s">
        <v>1578</v>
      </c>
      <c r="G2726" t="s">
        <v>663</v>
      </c>
    </row>
    <row r="2727" spans="1:7">
      <c r="A2727" t="s">
        <v>4330</v>
      </c>
      <c r="B2727" s="2">
        <v>45823</v>
      </c>
      <c r="C2727" t="s">
        <v>77</v>
      </c>
      <c r="D2727" t="s">
        <v>1683</v>
      </c>
      <c r="E2727">
        <v>117</v>
      </c>
      <c r="F2727" t="s">
        <v>1578</v>
      </c>
      <c r="G2727" t="s">
        <v>664</v>
      </c>
    </row>
    <row r="2728" spans="1:7">
      <c r="A2728" t="s">
        <v>4331</v>
      </c>
      <c r="B2728" s="2">
        <v>45824</v>
      </c>
      <c r="C2728" t="s">
        <v>61</v>
      </c>
      <c r="D2728" t="s">
        <v>1629</v>
      </c>
      <c r="E2728">
        <v>474.3</v>
      </c>
      <c r="F2728" t="s">
        <v>1578</v>
      </c>
      <c r="G2728" t="s">
        <v>1285</v>
      </c>
    </row>
    <row r="2729" spans="1:7">
      <c r="A2729" t="s">
        <v>4332</v>
      </c>
      <c r="B2729" s="2">
        <v>45824</v>
      </c>
      <c r="C2729" t="s">
        <v>65</v>
      </c>
      <c r="D2729" t="s">
        <v>1629</v>
      </c>
      <c r="E2729">
        <v>471.98</v>
      </c>
      <c r="F2729" t="s">
        <v>1578</v>
      </c>
      <c r="G2729" t="s">
        <v>1285</v>
      </c>
    </row>
    <row r="2730" spans="1:7">
      <c r="A2730" t="s">
        <v>4333</v>
      </c>
      <c r="B2730" s="2">
        <v>45824</v>
      </c>
      <c r="C2730" t="s">
        <v>68</v>
      </c>
      <c r="D2730" t="s">
        <v>1629</v>
      </c>
      <c r="E2730">
        <v>474.3</v>
      </c>
      <c r="F2730" t="s">
        <v>1578</v>
      </c>
      <c r="G2730" t="s">
        <v>1285</v>
      </c>
    </row>
    <row r="2731" spans="1:7">
      <c r="A2731" t="s">
        <v>4334</v>
      </c>
      <c r="B2731" s="2">
        <v>45824</v>
      </c>
      <c r="C2731" t="s">
        <v>70</v>
      </c>
      <c r="D2731" t="s">
        <v>1629</v>
      </c>
      <c r="E2731">
        <v>469.65</v>
      </c>
      <c r="F2731" t="s">
        <v>1578</v>
      </c>
      <c r="G2731" t="s">
        <v>1285</v>
      </c>
    </row>
    <row r="2732" spans="1:7">
      <c r="A2732" t="s">
        <v>4335</v>
      </c>
      <c r="B2732" s="2">
        <v>45824</v>
      </c>
      <c r="C2732" t="s">
        <v>75</v>
      </c>
      <c r="D2732" t="s">
        <v>1629</v>
      </c>
      <c r="E2732">
        <v>469.65</v>
      </c>
      <c r="F2732" t="s">
        <v>1578</v>
      </c>
      <c r="G2732" t="s">
        <v>1285</v>
      </c>
    </row>
    <row r="2733" spans="1:7">
      <c r="A2733" t="s">
        <v>4336</v>
      </c>
      <c r="B2733" s="2">
        <v>45824</v>
      </c>
      <c r="C2733" t="s">
        <v>77</v>
      </c>
      <c r="D2733" t="s">
        <v>1629</v>
      </c>
      <c r="E2733">
        <v>469.65</v>
      </c>
      <c r="F2733" t="s">
        <v>1578</v>
      </c>
      <c r="G2733" t="s">
        <v>1285</v>
      </c>
    </row>
    <row r="2734" spans="1:7">
      <c r="A2734" t="s">
        <v>4337</v>
      </c>
      <c r="B2734" s="2">
        <v>45824</v>
      </c>
      <c r="C2734" t="s">
        <v>79</v>
      </c>
      <c r="D2734" t="s">
        <v>1629</v>
      </c>
      <c r="E2734">
        <v>474.3</v>
      </c>
      <c r="F2734" t="s">
        <v>1578</v>
      </c>
      <c r="G2734" t="s">
        <v>1285</v>
      </c>
    </row>
    <row r="2735" spans="1:7">
      <c r="A2735" t="s">
        <v>4338</v>
      </c>
      <c r="B2735" s="2">
        <v>45824</v>
      </c>
      <c r="C2735" t="s">
        <v>81</v>
      </c>
      <c r="D2735" t="s">
        <v>1629</v>
      </c>
      <c r="E2735">
        <v>939.3</v>
      </c>
      <c r="F2735" t="s">
        <v>1578</v>
      </c>
      <c r="G2735" t="s">
        <v>1285</v>
      </c>
    </row>
    <row r="2736" spans="1:7">
      <c r="A2736" t="s">
        <v>4339</v>
      </c>
      <c r="B2736" s="2">
        <v>45824</v>
      </c>
      <c r="C2736" t="s">
        <v>110</v>
      </c>
      <c r="D2736" t="s">
        <v>1629</v>
      </c>
      <c r="E2736">
        <v>474.3</v>
      </c>
      <c r="F2736" t="s">
        <v>1578</v>
      </c>
      <c r="G2736" t="s">
        <v>1285</v>
      </c>
    </row>
    <row r="2737" spans="1:7">
      <c r="A2737" t="s">
        <v>4340</v>
      </c>
      <c r="B2737" s="2">
        <v>45824</v>
      </c>
      <c r="C2737" t="s">
        <v>114</v>
      </c>
      <c r="D2737" t="s">
        <v>1629</v>
      </c>
      <c r="E2737">
        <v>469.65</v>
      </c>
      <c r="F2737" t="s">
        <v>1578</v>
      </c>
      <c r="G2737" t="s">
        <v>1285</v>
      </c>
    </row>
    <row r="2738" spans="1:7">
      <c r="A2738" t="s">
        <v>4341</v>
      </c>
      <c r="B2738" s="2">
        <v>45824</v>
      </c>
      <c r="C2738" t="s">
        <v>117</v>
      </c>
      <c r="D2738" t="s">
        <v>1629</v>
      </c>
      <c r="E2738">
        <v>467.32</v>
      </c>
      <c r="F2738" t="s">
        <v>1578</v>
      </c>
      <c r="G2738" t="s">
        <v>1285</v>
      </c>
    </row>
    <row r="2739" spans="1:7">
      <c r="A2739" t="s">
        <v>4342</v>
      </c>
      <c r="B2739" s="2">
        <v>45824</v>
      </c>
      <c r="C2739" t="s">
        <v>119</v>
      </c>
      <c r="D2739" t="s">
        <v>1629</v>
      </c>
      <c r="E2739">
        <v>469.65</v>
      </c>
      <c r="F2739" t="s">
        <v>1578</v>
      </c>
      <c r="G2739" t="s">
        <v>1285</v>
      </c>
    </row>
    <row r="2740" spans="1:7">
      <c r="A2740" t="s">
        <v>4343</v>
      </c>
      <c r="B2740" s="2">
        <v>45824</v>
      </c>
      <c r="C2740" t="s">
        <v>61</v>
      </c>
      <c r="D2740" t="s">
        <v>1629</v>
      </c>
      <c r="E2740">
        <v>335.58</v>
      </c>
      <c r="F2740" t="s">
        <v>1578</v>
      </c>
      <c r="G2740" t="s">
        <v>1286</v>
      </c>
    </row>
    <row r="2741" spans="1:7">
      <c r="A2741" t="s">
        <v>4344</v>
      </c>
      <c r="B2741" s="2">
        <v>45824</v>
      </c>
      <c r="C2741" t="s">
        <v>65</v>
      </c>
      <c r="D2741" t="s">
        <v>1629</v>
      </c>
      <c r="E2741">
        <v>333.93</v>
      </c>
      <c r="F2741" t="s">
        <v>1578</v>
      </c>
      <c r="G2741" t="s">
        <v>1286</v>
      </c>
    </row>
    <row r="2742" spans="1:7">
      <c r="A2742" t="s">
        <v>4345</v>
      </c>
      <c r="B2742" s="2">
        <v>45824</v>
      </c>
      <c r="C2742" t="s">
        <v>68</v>
      </c>
      <c r="D2742" t="s">
        <v>1629</v>
      </c>
      <c r="E2742">
        <v>335.58</v>
      </c>
      <c r="F2742" t="s">
        <v>1578</v>
      </c>
      <c r="G2742" t="s">
        <v>1286</v>
      </c>
    </row>
    <row r="2743" spans="1:7">
      <c r="A2743" t="s">
        <v>4346</v>
      </c>
      <c r="B2743" s="2">
        <v>45824</v>
      </c>
      <c r="C2743" t="s">
        <v>75</v>
      </c>
      <c r="D2743" t="s">
        <v>1629</v>
      </c>
      <c r="E2743">
        <v>332.29</v>
      </c>
      <c r="F2743" t="s">
        <v>1578</v>
      </c>
      <c r="G2743" t="s">
        <v>1286</v>
      </c>
    </row>
    <row r="2744" spans="1:7">
      <c r="A2744" t="s">
        <v>4347</v>
      </c>
      <c r="B2744" s="2">
        <v>45824</v>
      </c>
      <c r="C2744" t="s">
        <v>79</v>
      </c>
      <c r="D2744" t="s">
        <v>1629</v>
      </c>
      <c r="E2744">
        <v>335.58</v>
      </c>
      <c r="F2744" t="s">
        <v>1578</v>
      </c>
      <c r="G2744" t="s">
        <v>1286</v>
      </c>
    </row>
    <row r="2745" spans="1:7">
      <c r="A2745" t="s">
        <v>4348</v>
      </c>
      <c r="B2745" s="2">
        <v>45824</v>
      </c>
      <c r="C2745" t="s">
        <v>81</v>
      </c>
      <c r="D2745" t="s">
        <v>1629</v>
      </c>
      <c r="E2745">
        <v>664.58</v>
      </c>
      <c r="F2745" t="s">
        <v>1578</v>
      </c>
      <c r="G2745" t="s">
        <v>1286</v>
      </c>
    </row>
    <row r="2746" spans="1:7">
      <c r="A2746" t="s">
        <v>4349</v>
      </c>
      <c r="B2746" s="2">
        <v>45824</v>
      </c>
      <c r="C2746" t="s">
        <v>97</v>
      </c>
      <c r="D2746" t="s">
        <v>1629</v>
      </c>
      <c r="E2746">
        <v>335.58</v>
      </c>
      <c r="F2746" t="s">
        <v>1578</v>
      </c>
      <c r="G2746" t="s">
        <v>1286</v>
      </c>
    </row>
    <row r="2747" spans="1:7">
      <c r="A2747" t="s">
        <v>4350</v>
      </c>
      <c r="B2747" s="2">
        <v>45824</v>
      </c>
      <c r="C2747" t="s">
        <v>110</v>
      </c>
      <c r="D2747" t="s">
        <v>1629</v>
      </c>
      <c r="E2747">
        <v>335.58</v>
      </c>
      <c r="F2747" t="s">
        <v>1578</v>
      </c>
      <c r="G2747" t="s">
        <v>1286</v>
      </c>
    </row>
    <row r="2748" spans="1:7">
      <c r="A2748" t="s">
        <v>4351</v>
      </c>
      <c r="B2748" s="2">
        <v>45824</v>
      </c>
      <c r="C2748" t="s">
        <v>114</v>
      </c>
      <c r="D2748" t="s">
        <v>1629</v>
      </c>
      <c r="E2748">
        <v>332.29</v>
      </c>
      <c r="F2748" t="s">
        <v>1578</v>
      </c>
      <c r="G2748" t="s">
        <v>1286</v>
      </c>
    </row>
    <row r="2749" spans="1:7">
      <c r="A2749" t="s">
        <v>4352</v>
      </c>
      <c r="B2749" s="2">
        <v>45824</v>
      </c>
      <c r="C2749" t="s">
        <v>117</v>
      </c>
      <c r="D2749" t="s">
        <v>1629</v>
      </c>
      <c r="E2749">
        <v>330.64</v>
      </c>
      <c r="F2749" t="s">
        <v>1578</v>
      </c>
      <c r="G2749" t="s">
        <v>1286</v>
      </c>
    </row>
    <row r="2750" spans="1:7">
      <c r="A2750" t="s">
        <v>4353</v>
      </c>
      <c r="B2750" s="2">
        <v>45824</v>
      </c>
      <c r="C2750" t="s">
        <v>119</v>
      </c>
      <c r="D2750" t="s">
        <v>1629</v>
      </c>
      <c r="E2750">
        <v>332.29</v>
      </c>
      <c r="F2750" t="s">
        <v>1578</v>
      </c>
      <c r="G2750" t="s">
        <v>1286</v>
      </c>
    </row>
    <row r="2751" spans="1:7">
      <c r="A2751" t="s">
        <v>4354</v>
      </c>
      <c r="B2751" s="2">
        <v>45824</v>
      </c>
      <c r="C2751" t="s">
        <v>106</v>
      </c>
      <c r="D2751" t="s">
        <v>1683</v>
      </c>
      <c r="E2751">
        <v>445</v>
      </c>
      <c r="F2751" t="s">
        <v>1578</v>
      </c>
      <c r="G2751" t="s">
        <v>665</v>
      </c>
    </row>
    <row r="2752" spans="1:7">
      <c r="A2752" t="s">
        <v>4355</v>
      </c>
      <c r="B2752" s="2">
        <v>45824</v>
      </c>
      <c r="C2752" t="s">
        <v>73</v>
      </c>
      <c r="D2752" t="s">
        <v>1683</v>
      </c>
      <c r="E2752">
        <v>180</v>
      </c>
      <c r="F2752" t="s">
        <v>1578</v>
      </c>
      <c r="G2752" t="s">
        <v>666</v>
      </c>
    </row>
    <row r="2753" spans="1:7">
      <c r="A2753" t="s">
        <v>4356</v>
      </c>
      <c r="B2753" s="2">
        <v>45825</v>
      </c>
      <c r="C2753" t="s">
        <v>75</v>
      </c>
      <c r="D2753" t="s">
        <v>1629</v>
      </c>
      <c r="E2753">
        <v>241.39</v>
      </c>
      <c r="F2753" t="s">
        <v>1578</v>
      </c>
      <c r="G2753" t="s">
        <v>1287</v>
      </c>
    </row>
    <row r="2754" spans="1:7">
      <c r="A2754" t="s">
        <v>4357</v>
      </c>
      <c r="B2754" s="2">
        <v>45825</v>
      </c>
      <c r="C2754" t="s">
        <v>106</v>
      </c>
      <c r="D2754" t="s">
        <v>1629</v>
      </c>
      <c r="E2754">
        <v>246.17</v>
      </c>
      <c r="F2754" t="s">
        <v>1578</v>
      </c>
      <c r="G2754" t="s">
        <v>1287</v>
      </c>
    </row>
    <row r="2755" spans="1:7">
      <c r="A2755" t="s">
        <v>4358</v>
      </c>
      <c r="B2755" s="2">
        <v>45825</v>
      </c>
      <c r="C2755" t="s">
        <v>108</v>
      </c>
      <c r="D2755" t="s">
        <v>1629</v>
      </c>
      <c r="E2755">
        <v>485.17</v>
      </c>
      <c r="F2755" t="s">
        <v>1578</v>
      </c>
      <c r="G2755" t="s">
        <v>1287</v>
      </c>
    </row>
    <row r="2756" spans="1:7">
      <c r="A2756" t="s">
        <v>4359</v>
      </c>
      <c r="B2756" s="2">
        <v>45825</v>
      </c>
      <c r="C2756" t="s">
        <v>110</v>
      </c>
      <c r="D2756" t="s">
        <v>1629</v>
      </c>
      <c r="E2756">
        <v>243.78</v>
      </c>
      <c r="F2756" t="s">
        <v>1578</v>
      </c>
      <c r="G2756" t="s">
        <v>1287</v>
      </c>
    </row>
    <row r="2757" spans="1:7">
      <c r="A2757" t="s">
        <v>4360</v>
      </c>
      <c r="B2757" s="2">
        <v>45825</v>
      </c>
      <c r="C2757" t="s">
        <v>114</v>
      </c>
      <c r="D2757" t="s">
        <v>1629</v>
      </c>
      <c r="E2757">
        <v>241.39</v>
      </c>
      <c r="F2757" t="s">
        <v>1578</v>
      </c>
      <c r="G2757" t="s">
        <v>1287</v>
      </c>
    </row>
    <row r="2758" spans="1:7">
      <c r="A2758" t="s">
        <v>4361</v>
      </c>
      <c r="B2758" s="2">
        <v>45825</v>
      </c>
      <c r="C2758" t="s">
        <v>117</v>
      </c>
      <c r="D2758" t="s">
        <v>1629</v>
      </c>
      <c r="E2758">
        <v>240.19</v>
      </c>
      <c r="F2758" t="s">
        <v>1578</v>
      </c>
      <c r="G2758" t="s">
        <v>1287</v>
      </c>
    </row>
    <row r="2759" spans="1:7">
      <c r="A2759" t="s">
        <v>4362</v>
      </c>
      <c r="B2759" s="2">
        <v>45825</v>
      </c>
      <c r="C2759" t="s">
        <v>119</v>
      </c>
      <c r="D2759" t="s">
        <v>1629</v>
      </c>
      <c r="E2759">
        <v>241.39</v>
      </c>
      <c r="F2759" t="s">
        <v>1578</v>
      </c>
      <c r="G2759" t="s">
        <v>1287</v>
      </c>
    </row>
    <row r="2760" spans="1:7">
      <c r="A2760" t="s">
        <v>4363</v>
      </c>
      <c r="B2760" s="2">
        <v>45825</v>
      </c>
      <c r="C2760" t="s">
        <v>75</v>
      </c>
      <c r="D2760" t="s">
        <v>1629</v>
      </c>
      <c r="E2760">
        <v>459.55</v>
      </c>
      <c r="F2760" t="s">
        <v>1578</v>
      </c>
      <c r="G2760" t="s">
        <v>1288</v>
      </c>
    </row>
    <row r="2761" spans="1:7">
      <c r="A2761" t="s">
        <v>4364</v>
      </c>
      <c r="B2761" s="2">
        <v>45825</v>
      </c>
      <c r="C2761" t="s">
        <v>91</v>
      </c>
      <c r="D2761" t="s">
        <v>1629</v>
      </c>
      <c r="E2761">
        <v>466.37</v>
      </c>
      <c r="F2761" t="s">
        <v>1578</v>
      </c>
      <c r="G2761" t="s">
        <v>1288</v>
      </c>
    </row>
    <row r="2762" spans="1:7">
      <c r="A2762" t="s">
        <v>4365</v>
      </c>
      <c r="B2762" s="2">
        <v>45825</v>
      </c>
      <c r="C2762" t="s">
        <v>93</v>
      </c>
      <c r="D2762" t="s">
        <v>1629</v>
      </c>
      <c r="E2762">
        <v>464.1</v>
      </c>
      <c r="F2762" t="s">
        <v>1578</v>
      </c>
      <c r="G2762" t="s">
        <v>1288</v>
      </c>
    </row>
    <row r="2763" spans="1:7">
      <c r="A2763" t="s">
        <v>4366</v>
      </c>
      <c r="B2763" s="2">
        <v>45825</v>
      </c>
      <c r="C2763" t="s">
        <v>95</v>
      </c>
      <c r="D2763" t="s">
        <v>1629</v>
      </c>
      <c r="E2763">
        <v>461.82</v>
      </c>
      <c r="F2763" t="s">
        <v>1578</v>
      </c>
      <c r="G2763" t="s">
        <v>1288</v>
      </c>
    </row>
    <row r="2764" spans="1:7">
      <c r="A2764" t="s">
        <v>4367</v>
      </c>
      <c r="B2764" s="2">
        <v>45825</v>
      </c>
      <c r="C2764" t="s">
        <v>97</v>
      </c>
      <c r="D2764" t="s">
        <v>1629</v>
      </c>
      <c r="E2764">
        <v>459.55</v>
      </c>
      <c r="F2764" t="s">
        <v>1578</v>
      </c>
      <c r="G2764" t="s">
        <v>1288</v>
      </c>
    </row>
    <row r="2765" spans="1:7">
      <c r="A2765" t="s">
        <v>4368</v>
      </c>
      <c r="B2765" s="2">
        <v>45825</v>
      </c>
      <c r="C2765" t="s">
        <v>99</v>
      </c>
      <c r="D2765" t="s">
        <v>1629</v>
      </c>
      <c r="E2765">
        <v>562.38</v>
      </c>
      <c r="F2765" t="s">
        <v>1578</v>
      </c>
      <c r="G2765" t="s">
        <v>1288</v>
      </c>
    </row>
    <row r="2766" spans="1:7">
      <c r="A2766" t="s">
        <v>4369</v>
      </c>
      <c r="B2766" s="2">
        <v>45825</v>
      </c>
      <c r="C2766" t="s">
        <v>102</v>
      </c>
      <c r="D2766" t="s">
        <v>1629</v>
      </c>
      <c r="E2766">
        <v>464.1</v>
      </c>
      <c r="F2766" t="s">
        <v>1578</v>
      </c>
      <c r="G2766" t="s">
        <v>1288</v>
      </c>
    </row>
    <row r="2767" spans="1:7">
      <c r="A2767" t="s">
        <v>4370</v>
      </c>
      <c r="B2767" s="2">
        <v>45825</v>
      </c>
      <c r="C2767" t="s">
        <v>108</v>
      </c>
      <c r="D2767" t="s">
        <v>1629</v>
      </c>
      <c r="E2767">
        <v>923.65</v>
      </c>
      <c r="F2767" t="s">
        <v>1578</v>
      </c>
      <c r="G2767" t="s">
        <v>1288</v>
      </c>
    </row>
    <row r="2768" spans="1:7">
      <c r="A2768" t="s">
        <v>4371</v>
      </c>
      <c r="B2768" s="2">
        <v>45825</v>
      </c>
      <c r="C2768" t="s">
        <v>110</v>
      </c>
      <c r="D2768" t="s">
        <v>1629</v>
      </c>
      <c r="E2768">
        <v>464.1</v>
      </c>
      <c r="F2768" t="s">
        <v>1578</v>
      </c>
      <c r="G2768" t="s">
        <v>1288</v>
      </c>
    </row>
    <row r="2769" spans="1:7">
      <c r="A2769" t="s">
        <v>4372</v>
      </c>
      <c r="B2769" s="2">
        <v>45825</v>
      </c>
      <c r="C2769" t="s">
        <v>114</v>
      </c>
      <c r="D2769" t="s">
        <v>1629</v>
      </c>
      <c r="E2769">
        <v>459.55</v>
      </c>
      <c r="F2769" t="s">
        <v>1578</v>
      </c>
      <c r="G2769" t="s">
        <v>1288</v>
      </c>
    </row>
    <row r="2770" spans="1:7">
      <c r="A2770" t="s">
        <v>4373</v>
      </c>
      <c r="B2770" s="2">
        <v>45825</v>
      </c>
      <c r="C2770" t="s">
        <v>117</v>
      </c>
      <c r="D2770" t="s">
        <v>1629</v>
      </c>
      <c r="E2770">
        <v>457.28</v>
      </c>
      <c r="F2770" t="s">
        <v>1578</v>
      </c>
      <c r="G2770" t="s">
        <v>1288</v>
      </c>
    </row>
    <row r="2771" spans="1:7">
      <c r="A2771" t="s">
        <v>4374</v>
      </c>
      <c r="B2771" s="2">
        <v>45825</v>
      </c>
      <c r="C2771" t="s">
        <v>119</v>
      </c>
      <c r="D2771" t="s">
        <v>1629</v>
      </c>
      <c r="E2771">
        <v>459.55</v>
      </c>
      <c r="F2771" t="s">
        <v>1578</v>
      </c>
      <c r="G2771" t="s">
        <v>1288</v>
      </c>
    </row>
    <row r="2772" spans="1:7">
      <c r="A2772" t="s">
        <v>4375</v>
      </c>
      <c r="B2772" s="2">
        <v>45825</v>
      </c>
      <c r="C2772" t="s">
        <v>61</v>
      </c>
      <c r="D2772" t="s">
        <v>1629</v>
      </c>
      <c r="E2772">
        <v>182.58</v>
      </c>
      <c r="F2772" t="s">
        <v>1578</v>
      </c>
      <c r="G2772" t="s">
        <v>1289</v>
      </c>
    </row>
    <row r="2773" spans="1:7">
      <c r="A2773" t="s">
        <v>4376</v>
      </c>
      <c r="B2773" s="2">
        <v>45825</v>
      </c>
      <c r="C2773" t="s">
        <v>65</v>
      </c>
      <c r="D2773" t="s">
        <v>1629</v>
      </c>
      <c r="E2773">
        <v>181.68</v>
      </c>
      <c r="F2773" t="s">
        <v>1578</v>
      </c>
      <c r="G2773" t="s">
        <v>1289</v>
      </c>
    </row>
    <row r="2774" spans="1:7">
      <c r="A2774" t="s">
        <v>4377</v>
      </c>
      <c r="B2774" s="2">
        <v>45825</v>
      </c>
      <c r="C2774" t="s">
        <v>68</v>
      </c>
      <c r="D2774" t="s">
        <v>1629</v>
      </c>
      <c r="E2774">
        <v>182.58</v>
      </c>
      <c r="F2774" t="s">
        <v>1578</v>
      </c>
      <c r="G2774" t="s">
        <v>1289</v>
      </c>
    </row>
    <row r="2775" spans="1:7">
      <c r="A2775" t="s">
        <v>4378</v>
      </c>
      <c r="B2775" s="2">
        <v>45825</v>
      </c>
      <c r="C2775" t="s">
        <v>75</v>
      </c>
      <c r="D2775" t="s">
        <v>1629</v>
      </c>
      <c r="E2775">
        <v>180.79</v>
      </c>
      <c r="F2775" t="s">
        <v>1578</v>
      </c>
      <c r="G2775" t="s">
        <v>1289</v>
      </c>
    </row>
    <row r="2776" spans="1:7">
      <c r="A2776" t="s">
        <v>4379</v>
      </c>
      <c r="B2776" s="2">
        <v>45825</v>
      </c>
      <c r="C2776" t="s">
        <v>79</v>
      </c>
      <c r="D2776" t="s">
        <v>1629</v>
      </c>
      <c r="E2776">
        <v>182.58</v>
      </c>
      <c r="F2776" t="s">
        <v>1578</v>
      </c>
      <c r="G2776" t="s">
        <v>1289</v>
      </c>
    </row>
    <row r="2777" spans="1:7">
      <c r="A2777" t="s">
        <v>4380</v>
      </c>
      <c r="B2777" s="2">
        <v>45825</v>
      </c>
      <c r="C2777" t="s">
        <v>81</v>
      </c>
      <c r="D2777" t="s">
        <v>1629</v>
      </c>
      <c r="E2777">
        <v>361.58</v>
      </c>
      <c r="F2777" t="s">
        <v>1578</v>
      </c>
      <c r="G2777" t="s">
        <v>1289</v>
      </c>
    </row>
    <row r="2778" spans="1:7">
      <c r="A2778" t="s">
        <v>4381</v>
      </c>
      <c r="B2778" s="2">
        <v>45825</v>
      </c>
      <c r="C2778" t="s">
        <v>97</v>
      </c>
      <c r="D2778" t="s">
        <v>1629</v>
      </c>
      <c r="E2778">
        <v>182.58</v>
      </c>
      <c r="F2778" t="s">
        <v>1578</v>
      </c>
      <c r="G2778" t="s">
        <v>1289</v>
      </c>
    </row>
    <row r="2779" spans="1:7">
      <c r="A2779" t="s">
        <v>4382</v>
      </c>
      <c r="B2779" s="2">
        <v>45825</v>
      </c>
      <c r="C2779" t="s">
        <v>110</v>
      </c>
      <c r="D2779" t="s">
        <v>1629</v>
      </c>
      <c r="E2779">
        <v>182.58</v>
      </c>
      <c r="F2779" t="s">
        <v>1578</v>
      </c>
      <c r="G2779" t="s">
        <v>1289</v>
      </c>
    </row>
    <row r="2780" spans="1:7">
      <c r="A2780" t="s">
        <v>4383</v>
      </c>
      <c r="B2780" s="2">
        <v>45825</v>
      </c>
      <c r="C2780" t="s">
        <v>114</v>
      </c>
      <c r="D2780" t="s">
        <v>1629</v>
      </c>
      <c r="E2780">
        <v>180.79</v>
      </c>
      <c r="F2780" t="s">
        <v>1578</v>
      </c>
      <c r="G2780" t="s">
        <v>1289</v>
      </c>
    </row>
    <row r="2781" spans="1:7">
      <c r="A2781" t="s">
        <v>4384</v>
      </c>
      <c r="B2781" s="2">
        <v>45825</v>
      </c>
      <c r="C2781" t="s">
        <v>117</v>
      </c>
      <c r="D2781" t="s">
        <v>1629</v>
      </c>
      <c r="E2781">
        <v>179.9</v>
      </c>
      <c r="F2781" t="s">
        <v>1578</v>
      </c>
      <c r="G2781" t="s">
        <v>1289</v>
      </c>
    </row>
    <row r="2782" spans="1:7">
      <c r="A2782" t="s">
        <v>4385</v>
      </c>
      <c r="B2782" s="2">
        <v>45825</v>
      </c>
      <c r="C2782" t="s">
        <v>119</v>
      </c>
      <c r="D2782" t="s">
        <v>1629</v>
      </c>
      <c r="E2782">
        <v>180.79</v>
      </c>
      <c r="F2782" t="s">
        <v>1578</v>
      </c>
      <c r="G2782" t="s">
        <v>1289</v>
      </c>
    </row>
    <row r="2783" spans="1:7">
      <c r="A2783" t="s">
        <v>4386</v>
      </c>
      <c r="B2783" s="2">
        <v>45825</v>
      </c>
      <c r="C2783" t="s">
        <v>106</v>
      </c>
      <c r="D2783" t="s">
        <v>1683</v>
      </c>
      <c r="E2783">
        <v>152</v>
      </c>
      <c r="F2783" t="s">
        <v>1578</v>
      </c>
      <c r="G2783" t="s">
        <v>667</v>
      </c>
    </row>
    <row r="2784" spans="1:7">
      <c r="A2784" t="s">
        <v>4387</v>
      </c>
      <c r="B2784" s="2">
        <v>45825</v>
      </c>
      <c r="C2784" t="s">
        <v>89</v>
      </c>
      <c r="D2784" t="s">
        <v>1683</v>
      </c>
      <c r="E2784">
        <v>299</v>
      </c>
      <c r="F2784" t="s">
        <v>1578</v>
      </c>
      <c r="G2784" t="s">
        <v>668</v>
      </c>
    </row>
    <row r="2785" spans="1:7">
      <c r="A2785" t="s">
        <v>4388</v>
      </c>
      <c r="B2785" s="2">
        <v>45826</v>
      </c>
      <c r="C2785" t="s">
        <v>75</v>
      </c>
      <c r="D2785" t="s">
        <v>1629</v>
      </c>
      <c r="E2785">
        <v>448.44</v>
      </c>
      <c r="F2785" t="s">
        <v>1578</v>
      </c>
      <c r="G2785" t="s">
        <v>1290</v>
      </c>
    </row>
    <row r="2786" spans="1:7">
      <c r="A2786" t="s">
        <v>4389</v>
      </c>
      <c r="B2786" s="2">
        <v>45826</v>
      </c>
      <c r="C2786" t="s">
        <v>91</v>
      </c>
      <c r="D2786" t="s">
        <v>1629</v>
      </c>
      <c r="E2786">
        <v>455.1</v>
      </c>
      <c r="F2786" t="s">
        <v>1578</v>
      </c>
      <c r="G2786" t="s">
        <v>1290</v>
      </c>
    </row>
    <row r="2787" spans="1:7">
      <c r="A2787" t="s">
        <v>4390</v>
      </c>
      <c r="B2787" s="2">
        <v>45826</v>
      </c>
      <c r="C2787" t="s">
        <v>93</v>
      </c>
      <c r="D2787" t="s">
        <v>1629</v>
      </c>
      <c r="E2787">
        <v>452.88</v>
      </c>
      <c r="F2787" t="s">
        <v>1578</v>
      </c>
      <c r="G2787" t="s">
        <v>1290</v>
      </c>
    </row>
    <row r="2788" spans="1:7">
      <c r="A2788" t="s">
        <v>4391</v>
      </c>
      <c r="B2788" s="2">
        <v>45826</v>
      </c>
      <c r="C2788" t="s">
        <v>95</v>
      </c>
      <c r="D2788" t="s">
        <v>1629</v>
      </c>
      <c r="E2788">
        <v>450.66</v>
      </c>
      <c r="F2788" t="s">
        <v>1578</v>
      </c>
      <c r="G2788" t="s">
        <v>1290</v>
      </c>
    </row>
    <row r="2789" spans="1:7">
      <c r="A2789" t="s">
        <v>4392</v>
      </c>
      <c r="B2789" s="2">
        <v>45826</v>
      </c>
      <c r="C2789" t="s">
        <v>97</v>
      </c>
      <c r="D2789" t="s">
        <v>1629</v>
      </c>
      <c r="E2789">
        <v>448.44</v>
      </c>
      <c r="F2789" t="s">
        <v>1578</v>
      </c>
      <c r="G2789" t="s">
        <v>1290</v>
      </c>
    </row>
    <row r="2790" spans="1:7">
      <c r="A2790" t="s">
        <v>4393</v>
      </c>
      <c r="B2790" s="2">
        <v>45826</v>
      </c>
      <c r="C2790" t="s">
        <v>99</v>
      </c>
      <c r="D2790" t="s">
        <v>1629</v>
      </c>
      <c r="E2790">
        <v>548.78</v>
      </c>
      <c r="F2790" t="s">
        <v>1578</v>
      </c>
      <c r="G2790" t="s">
        <v>1290</v>
      </c>
    </row>
    <row r="2791" spans="1:7">
      <c r="A2791" t="s">
        <v>4394</v>
      </c>
      <c r="B2791" s="2">
        <v>45826</v>
      </c>
      <c r="C2791" t="s">
        <v>102</v>
      </c>
      <c r="D2791" t="s">
        <v>1629</v>
      </c>
      <c r="E2791">
        <v>452.88</v>
      </c>
      <c r="F2791" t="s">
        <v>1578</v>
      </c>
      <c r="G2791" t="s">
        <v>1290</v>
      </c>
    </row>
    <row r="2792" spans="1:7">
      <c r="A2792" t="s">
        <v>4395</v>
      </c>
      <c r="B2792" s="2">
        <v>45826</v>
      </c>
      <c r="C2792" t="s">
        <v>108</v>
      </c>
      <c r="D2792" t="s">
        <v>1629</v>
      </c>
      <c r="E2792">
        <v>901.32</v>
      </c>
      <c r="F2792" t="s">
        <v>1578</v>
      </c>
      <c r="G2792" t="s">
        <v>1290</v>
      </c>
    </row>
    <row r="2793" spans="1:7">
      <c r="A2793" t="s">
        <v>4396</v>
      </c>
      <c r="B2793" s="2">
        <v>45826</v>
      </c>
      <c r="C2793" t="s">
        <v>110</v>
      </c>
      <c r="D2793" t="s">
        <v>1629</v>
      </c>
      <c r="E2793">
        <v>452.88</v>
      </c>
      <c r="F2793" t="s">
        <v>1578</v>
      </c>
      <c r="G2793" t="s">
        <v>1290</v>
      </c>
    </row>
    <row r="2794" spans="1:7">
      <c r="A2794" t="s">
        <v>4397</v>
      </c>
      <c r="B2794" s="2">
        <v>45826</v>
      </c>
      <c r="C2794" t="s">
        <v>114</v>
      </c>
      <c r="D2794" t="s">
        <v>1629</v>
      </c>
      <c r="E2794">
        <v>448.44</v>
      </c>
      <c r="F2794" t="s">
        <v>1578</v>
      </c>
      <c r="G2794" t="s">
        <v>1290</v>
      </c>
    </row>
    <row r="2795" spans="1:7">
      <c r="A2795" t="s">
        <v>4398</v>
      </c>
      <c r="B2795" s="2">
        <v>45826</v>
      </c>
      <c r="C2795" t="s">
        <v>117</v>
      </c>
      <c r="D2795" t="s">
        <v>1629</v>
      </c>
      <c r="E2795">
        <v>446.22</v>
      </c>
      <c r="F2795" t="s">
        <v>1578</v>
      </c>
      <c r="G2795" t="s">
        <v>1290</v>
      </c>
    </row>
    <row r="2796" spans="1:7">
      <c r="A2796" t="s">
        <v>4399</v>
      </c>
      <c r="B2796" s="2">
        <v>45826</v>
      </c>
      <c r="C2796" t="s">
        <v>119</v>
      </c>
      <c r="D2796" t="s">
        <v>1629</v>
      </c>
      <c r="E2796">
        <v>448.44</v>
      </c>
      <c r="F2796" t="s">
        <v>1578</v>
      </c>
      <c r="G2796" t="s">
        <v>1290</v>
      </c>
    </row>
    <row r="2797" spans="1:7">
      <c r="A2797" t="s">
        <v>4400</v>
      </c>
      <c r="B2797" s="2">
        <v>45826</v>
      </c>
      <c r="C2797" t="s">
        <v>119</v>
      </c>
      <c r="D2797" t="s">
        <v>1683</v>
      </c>
      <c r="E2797">
        <v>270</v>
      </c>
      <c r="F2797" t="s">
        <v>1578</v>
      </c>
      <c r="G2797" t="s">
        <v>669</v>
      </c>
    </row>
    <row r="2798" spans="1:7">
      <c r="A2798" t="s">
        <v>4401</v>
      </c>
      <c r="B2798" s="2">
        <v>45827</v>
      </c>
      <c r="C2798" t="s">
        <v>61</v>
      </c>
      <c r="D2798" t="s">
        <v>1629</v>
      </c>
      <c r="E2798">
        <v>187.68</v>
      </c>
      <c r="F2798" t="s">
        <v>1578</v>
      </c>
      <c r="G2798" t="s">
        <v>1291</v>
      </c>
    </row>
    <row r="2799" spans="1:7">
      <c r="A2799" t="s">
        <v>4402</v>
      </c>
      <c r="B2799" s="2">
        <v>45827</v>
      </c>
      <c r="C2799" t="s">
        <v>65</v>
      </c>
      <c r="D2799" t="s">
        <v>1629</v>
      </c>
      <c r="E2799">
        <v>186.76</v>
      </c>
      <c r="F2799" t="s">
        <v>1578</v>
      </c>
      <c r="G2799" t="s">
        <v>1291</v>
      </c>
    </row>
    <row r="2800" spans="1:7">
      <c r="A2800" t="s">
        <v>4403</v>
      </c>
      <c r="B2800" s="2">
        <v>45827</v>
      </c>
      <c r="C2800" t="s">
        <v>68</v>
      </c>
      <c r="D2800" t="s">
        <v>1629</v>
      </c>
      <c r="E2800">
        <v>187.68</v>
      </c>
      <c r="F2800" t="s">
        <v>1578</v>
      </c>
      <c r="G2800" t="s">
        <v>1291</v>
      </c>
    </row>
    <row r="2801" spans="1:7">
      <c r="A2801" t="s">
        <v>4404</v>
      </c>
      <c r="B2801" s="2">
        <v>45827</v>
      </c>
      <c r="C2801" t="s">
        <v>70</v>
      </c>
      <c r="D2801" t="s">
        <v>1629</v>
      </c>
      <c r="E2801">
        <v>185.84</v>
      </c>
      <c r="F2801" t="s">
        <v>1578</v>
      </c>
      <c r="G2801" t="s">
        <v>1291</v>
      </c>
    </row>
    <row r="2802" spans="1:7">
      <c r="A2802" t="s">
        <v>4405</v>
      </c>
      <c r="B2802" s="2">
        <v>45827</v>
      </c>
      <c r="C2802" t="s">
        <v>75</v>
      </c>
      <c r="D2802" t="s">
        <v>1629</v>
      </c>
      <c r="E2802">
        <v>185.84</v>
      </c>
      <c r="F2802" t="s">
        <v>1578</v>
      </c>
      <c r="G2802" t="s">
        <v>1291</v>
      </c>
    </row>
    <row r="2803" spans="1:7">
      <c r="A2803" t="s">
        <v>4406</v>
      </c>
      <c r="B2803" s="2">
        <v>45827</v>
      </c>
      <c r="C2803" t="s">
        <v>77</v>
      </c>
      <c r="D2803" t="s">
        <v>1629</v>
      </c>
      <c r="E2803">
        <v>185.84</v>
      </c>
      <c r="F2803" t="s">
        <v>1578</v>
      </c>
      <c r="G2803" t="s">
        <v>1291</v>
      </c>
    </row>
    <row r="2804" spans="1:7">
      <c r="A2804" t="s">
        <v>4407</v>
      </c>
      <c r="B2804" s="2">
        <v>45827</v>
      </c>
      <c r="C2804" t="s">
        <v>79</v>
      </c>
      <c r="D2804" t="s">
        <v>1629</v>
      </c>
      <c r="E2804">
        <v>187.68</v>
      </c>
      <c r="F2804" t="s">
        <v>1578</v>
      </c>
      <c r="G2804" t="s">
        <v>1291</v>
      </c>
    </row>
    <row r="2805" spans="1:7">
      <c r="A2805" t="s">
        <v>4408</v>
      </c>
      <c r="B2805" s="2">
        <v>45827</v>
      </c>
      <c r="C2805" t="s">
        <v>81</v>
      </c>
      <c r="D2805" t="s">
        <v>1629</v>
      </c>
      <c r="E2805">
        <v>371.68</v>
      </c>
      <c r="F2805" t="s">
        <v>1578</v>
      </c>
      <c r="G2805" t="s">
        <v>1291</v>
      </c>
    </row>
    <row r="2806" spans="1:7">
      <c r="A2806" t="s">
        <v>4409</v>
      </c>
      <c r="B2806" s="2">
        <v>45827</v>
      </c>
      <c r="C2806" t="s">
        <v>110</v>
      </c>
      <c r="D2806" t="s">
        <v>1629</v>
      </c>
      <c r="E2806">
        <v>187.68</v>
      </c>
      <c r="F2806" t="s">
        <v>1578</v>
      </c>
      <c r="G2806" t="s">
        <v>1291</v>
      </c>
    </row>
    <row r="2807" spans="1:7">
      <c r="A2807" t="s">
        <v>4410</v>
      </c>
      <c r="B2807" s="2">
        <v>45827</v>
      </c>
      <c r="C2807" t="s">
        <v>114</v>
      </c>
      <c r="D2807" t="s">
        <v>1629</v>
      </c>
      <c r="E2807">
        <v>185.84</v>
      </c>
      <c r="F2807" t="s">
        <v>1578</v>
      </c>
      <c r="G2807" t="s">
        <v>1291</v>
      </c>
    </row>
    <row r="2808" spans="1:7">
      <c r="A2808" t="s">
        <v>4411</v>
      </c>
      <c r="B2808" s="2">
        <v>45827</v>
      </c>
      <c r="C2808" t="s">
        <v>117</v>
      </c>
      <c r="D2808" t="s">
        <v>1629</v>
      </c>
      <c r="E2808">
        <v>184.92</v>
      </c>
      <c r="F2808" t="s">
        <v>1578</v>
      </c>
      <c r="G2808" t="s">
        <v>1291</v>
      </c>
    </row>
    <row r="2809" spans="1:7">
      <c r="A2809" t="s">
        <v>4412</v>
      </c>
      <c r="B2809" s="2">
        <v>45827</v>
      </c>
      <c r="C2809" t="s">
        <v>119</v>
      </c>
      <c r="D2809" t="s">
        <v>1629</v>
      </c>
      <c r="E2809">
        <v>185.84</v>
      </c>
      <c r="F2809" t="s">
        <v>1578</v>
      </c>
      <c r="G2809" t="s">
        <v>1291</v>
      </c>
    </row>
    <row r="2810" spans="1:7">
      <c r="A2810" t="s">
        <v>4413</v>
      </c>
      <c r="B2810" s="2">
        <v>45827</v>
      </c>
      <c r="C2810" t="s">
        <v>61</v>
      </c>
      <c r="D2810" t="s">
        <v>1629</v>
      </c>
      <c r="E2810">
        <v>361.08</v>
      </c>
      <c r="F2810" t="s">
        <v>1578</v>
      </c>
      <c r="G2810" t="s">
        <v>1292</v>
      </c>
    </row>
    <row r="2811" spans="1:7">
      <c r="A2811" t="s">
        <v>4414</v>
      </c>
      <c r="B2811" s="2">
        <v>45827</v>
      </c>
      <c r="C2811" t="s">
        <v>65</v>
      </c>
      <c r="D2811" t="s">
        <v>1629</v>
      </c>
      <c r="E2811">
        <v>359.31</v>
      </c>
      <c r="F2811" t="s">
        <v>1578</v>
      </c>
      <c r="G2811" t="s">
        <v>1292</v>
      </c>
    </row>
    <row r="2812" spans="1:7">
      <c r="A2812" t="s">
        <v>4415</v>
      </c>
      <c r="B2812" s="2">
        <v>45827</v>
      </c>
      <c r="C2812" t="s">
        <v>68</v>
      </c>
      <c r="D2812" t="s">
        <v>1629</v>
      </c>
      <c r="E2812">
        <v>361.08</v>
      </c>
      <c r="F2812" t="s">
        <v>1578</v>
      </c>
      <c r="G2812" t="s">
        <v>1292</v>
      </c>
    </row>
    <row r="2813" spans="1:7">
      <c r="A2813" t="s">
        <v>4416</v>
      </c>
      <c r="B2813" s="2">
        <v>45827</v>
      </c>
      <c r="C2813" t="s">
        <v>70</v>
      </c>
      <c r="D2813" t="s">
        <v>1629</v>
      </c>
      <c r="E2813">
        <v>357.54</v>
      </c>
      <c r="F2813" t="s">
        <v>1578</v>
      </c>
      <c r="G2813" t="s">
        <v>1292</v>
      </c>
    </row>
    <row r="2814" spans="1:7">
      <c r="A2814" t="s">
        <v>4417</v>
      </c>
      <c r="B2814" s="2">
        <v>45827</v>
      </c>
      <c r="C2814" t="s">
        <v>75</v>
      </c>
      <c r="D2814" t="s">
        <v>1629</v>
      </c>
      <c r="E2814">
        <v>357.54</v>
      </c>
      <c r="F2814" t="s">
        <v>1578</v>
      </c>
      <c r="G2814" t="s">
        <v>1292</v>
      </c>
    </row>
    <row r="2815" spans="1:7">
      <c r="A2815" t="s">
        <v>4418</v>
      </c>
      <c r="B2815" s="2">
        <v>45827</v>
      </c>
      <c r="C2815" t="s">
        <v>77</v>
      </c>
      <c r="D2815" t="s">
        <v>1629</v>
      </c>
      <c r="E2815">
        <v>357.54</v>
      </c>
      <c r="F2815" t="s">
        <v>1578</v>
      </c>
      <c r="G2815" t="s">
        <v>1292</v>
      </c>
    </row>
    <row r="2816" spans="1:7">
      <c r="A2816" t="s">
        <v>4419</v>
      </c>
      <c r="B2816" s="2">
        <v>45827</v>
      </c>
      <c r="C2816" t="s">
        <v>79</v>
      </c>
      <c r="D2816" t="s">
        <v>1629</v>
      </c>
      <c r="E2816">
        <v>361.08</v>
      </c>
      <c r="F2816" t="s">
        <v>1578</v>
      </c>
      <c r="G2816" t="s">
        <v>1292</v>
      </c>
    </row>
    <row r="2817" spans="1:7">
      <c r="A2817" t="s">
        <v>4420</v>
      </c>
      <c r="B2817" s="2">
        <v>45827</v>
      </c>
      <c r="C2817" t="s">
        <v>81</v>
      </c>
      <c r="D2817" t="s">
        <v>1629</v>
      </c>
      <c r="E2817">
        <v>715.08</v>
      </c>
      <c r="F2817" t="s">
        <v>1578</v>
      </c>
      <c r="G2817" t="s">
        <v>1292</v>
      </c>
    </row>
    <row r="2818" spans="1:7">
      <c r="A2818" t="s">
        <v>4421</v>
      </c>
      <c r="B2818" s="2">
        <v>45827</v>
      </c>
      <c r="C2818" t="s">
        <v>110</v>
      </c>
      <c r="D2818" t="s">
        <v>1629</v>
      </c>
      <c r="E2818">
        <v>361.08</v>
      </c>
      <c r="F2818" t="s">
        <v>1578</v>
      </c>
      <c r="G2818" t="s">
        <v>1292</v>
      </c>
    </row>
    <row r="2819" spans="1:7">
      <c r="A2819" t="s">
        <v>4422</v>
      </c>
      <c r="B2819" s="2">
        <v>45827</v>
      </c>
      <c r="C2819" t="s">
        <v>114</v>
      </c>
      <c r="D2819" t="s">
        <v>1629</v>
      </c>
      <c r="E2819">
        <v>357.54</v>
      </c>
      <c r="F2819" t="s">
        <v>1578</v>
      </c>
      <c r="G2819" t="s">
        <v>1292</v>
      </c>
    </row>
    <row r="2820" spans="1:7">
      <c r="A2820" t="s">
        <v>4423</v>
      </c>
      <c r="B2820" s="2">
        <v>45827</v>
      </c>
      <c r="C2820" t="s">
        <v>117</v>
      </c>
      <c r="D2820" t="s">
        <v>1629</v>
      </c>
      <c r="E2820">
        <v>355.77</v>
      </c>
      <c r="F2820" t="s">
        <v>1578</v>
      </c>
      <c r="G2820" t="s">
        <v>1292</v>
      </c>
    </row>
    <row r="2821" spans="1:7">
      <c r="A2821" t="s">
        <v>4424</v>
      </c>
      <c r="B2821" s="2">
        <v>45827</v>
      </c>
      <c r="C2821" t="s">
        <v>119</v>
      </c>
      <c r="D2821" t="s">
        <v>1629</v>
      </c>
      <c r="E2821">
        <v>357.54</v>
      </c>
      <c r="F2821" t="s">
        <v>1578</v>
      </c>
      <c r="G2821" t="s">
        <v>1292</v>
      </c>
    </row>
    <row r="2822" spans="1:7">
      <c r="A2822" t="s">
        <v>4425</v>
      </c>
      <c r="B2822" s="2">
        <v>45827</v>
      </c>
      <c r="C2822" t="s">
        <v>91</v>
      </c>
      <c r="D2822" t="s">
        <v>1683</v>
      </c>
      <c r="E2822">
        <v>1147</v>
      </c>
      <c r="F2822" t="s">
        <v>1578</v>
      </c>
      <c r="G2822" t="s">
        <v>670</v>
      </c>
    </row>
    <row r="2823" spans="1:7">
      <c r="A2823" t="s">
        <v>4426</v>
      </c>
      <c r="B2823" s="2">
        <v>45828</v>
      </c>
      <c r="C2823" t="s">
        <v>65</v>
      </c>
      <c r="D2823" t="s">
        <v>1683</v>
      </c>
      <c r="E2823">
        <v>350</v>
      </c>
      <c r="F2823" t="s">
        <v>1578</v>
      </c>
      <c r="G2823" t="s">
        <v>671</v>
      </c>
    </row>
    <row r="2824" spans="1:7">
      <c r="A2824" t="s">
        <v>4427</v>
      </c>
      <c r="B2824" s="2">
        <v>45829</v>
      </c>
      <c r="C2824" t="s">
        <v>61</v>
      </c>
      <c r="D2824" t="s">
        <v>1629</v>
      </c>
      <c r="E2824">
        <v>324.36</v>
      </c>
      <c r="F2824" t="s">
        <v>1578</v>
      </c>
      <c r="G2824" t="s">
        <v>1293</v>
      </c>
    </row>
    <row r="2825" spans="1:7">
      <c r="A2825" t="s">
        <v>4428</v>
      </c>
      <c r="B2825" s="2">
        <v>45829</v>
      </c>
      <c r="C2825" t="s">
        <v>65</v>
      </c>
      <c r="D2825" t="s">
        <v>1629</v>
      </c>
      <c r="E2825">
        <v>322.77</v>
      </c>
      <c r="F2825" t="s">
        <v>1578</v>
      </c>
      <c r="G2825" t="s">
        <v>1293</v>
      </c>
    </row>
    <row r="2826" spans="1:7">
      <c r="A2826" t="s">
        <v>4429</v>
      </c>
      <c r="B2826" s="2">
        <v>45829</v>
      </c>
      <c r="C2826" t="s">
        <v>75</v>
      </c>
      <c r="D2826" t="s">
        <v>1629</v>
      </c>
      <c r="E2826">
        <v>321.18</v>
      </c>
      <c r="F2826" t="s">
        <v>1578</v>
      </c>
      <c r="G2826" t="s">
        <v>1293</v>
      </c>
    </row>
    <row r="2827" spans="1:7">
      <c r="A2827" t="s">
        <v>4430</v>
      </c>
      <c r="B2827" s="2">
        <v>45829</v>
      </c>
      <c r="C2827" t="s">
        <v>79</v>
      </c>
      <c r="D2827" t="s">
        <v>1629</v>
      </c>
      <c r="E2827">
        <v>324.36</v>
      </c>
      <c r="F2827" t="s">
        <v>1578</v>
      </c>
      <c r="G2827" t="s">
        <v>1293</v>
      </c>
    </row>
    <row r="2828" spans="1:7">
      <c r="A2828" t="s">
        <v>4431</v>
      </c>
      <c r="B2828" s="2">
        <v>45829</v>
      </c>
      <c r="C2828" t="s">
        <v>81</v>
      </c>
      <c r="D2828" t="s">
        <v>1629</v>
      </c>
      <c r="E2828">
        <v>642.36</v>
      </c>
      <c r="F2828" t="s">
        <v>1578</v>
      </c>
      <c r="G2828" t="s">
        <v>1293</v>
      </c>
    </row>
    <row r="2829" spans="1:7">
      <c r="A2829" t="s">
        <v>4432</v>
      </c>
      <c r="B2829" s="2">
        <v>45829</v>
      </c>
      <c r="C2829" t="s">
        <v>84</v>
      </c>
      <c r="D2829" t="s">
        <v>1629</v>
      </c>
      <c r="E2829">
        <v>114.64</v>
      </c>
      <c r="F2829" t="s">
        <v>1578</v>
      </c>
      <c r="G2829" t="s">
        <v>1293</v>
      </c>
    </row>
    <row r="2830" spans="1:7">
      <c r="A2830" t="s">
        <v>4433</v>
      </c>
      <c r="B2830" s="2">
        <v>45829</v>
      </c>
      <c r="C2830" t="s">
        <v>89</v>
      </c>
      <c r="D2830" t="s">
        <v>1629</v>
      </c>
      <c r="E2830">
        <v>488.92</v>
      </c>
      <c r="F2830" t="s">
        <v>1578</v>
      </c>
      <c r="G2830" t="s">
        <v>1293</v>
      </c>
    </row>
    <row r="2831" spans="1:7">
      <c r="A2831" t="s">
        <v>4434</v>
      </c>
      <c r="B2831" s="2">
        <v>45829</v>
      </c>
      <c r="C2831" t="s">
        <v>110</v>
      </c>
      <c r="D2831" t="s">
        <v>1629</v>
      </c>
      <c r="E2831">
        <v>324.36</v>
      </c>
      <c r="F2831" t="s">
        <v>1578</v>
      </c>
      <c r="G2831" t="s">
        <v>1293</v>
      </c>
    </row>
    <row r="2832" spans="1:7">
      <c r="A2832" t="s">
        <v>4435</v>
      </c>
      <c r="B2832" s="2">
        <v>45829</v>
      </c>
      <c r="C2832" t="s">
        <v>114</v>
      </c>
      <c r="D2832" t="s">
        <v>1629</v>
      </c>
      <c r="E2832">
        <v>321.18</v>
      </c>
      <c r="F2832" t="s">
        <v>1578</v>
      </c>
      <c r="G2832" t="s">
        <v>1293</v>
      </c>
    </row>
    <row r="2833" spans="1:7">
      <c r="A2833" t="s">
        <v>4436</v>
      </c>
      <c r="B2833" s="2">
        <v>45829</v>
      </c>
      <c r="C2833" t="s">
        <v>117</v>
      </c>
      <c r="D2833" t="s">
        <v>1629</v>
      </c>
      <c r="E2833">
        <v>319.58999999999997</v>
      </c>
      <c r="F2833" t="s">
        <v>1578</v>
      </c>
      <c r="G2833" t="s">
        <v>1293</v>
      </c>
    </row>
    <row r="2834" spans="1:7">
      <c r="A2834" t="s">
        <v>4437</v>
      </c>
      <c r="B2834" s="2">
        <v>45829</v>
      </c>
      <c r="C2834" t="s">
        <v>119</v>
      </c>
      <c r="D2834" t="s">
        <v>1629</v>
      </c>
      <c r="E2834">
        <v>321.18</v>
      </c>
      <c r="F2834" t="s">
        <v>1578</v>
      </c>
      <c r="G2834" t="s">
        <v>1293</v>
      </c>
    </row>
    <row r="2835" spans="1:7">
      <c r="A2835" t="s">
        <v>4438</v>
      </c>
      <c r="B2835" s="2">
        <v>45829</v>
      </c>
      <c r="C2835" t="s">
        <v>61</v>
      </c>
      <c r="D2835" t="s">
        <v>1629</v>
      </c>
      <c r="E2835">
        <v>387.6</v>
      </c>
      <c r="F2835" t="s">
        <v>1578</v>
      </c>
      <c r="G2835" t="s">
        <v>1294</v>
      </c>
    </row>
    <row r="2836" spans="1:7">
      <c r="A2836" t="s">
        <v>4439</v>
      </c>
      <c r="B2836" s="2">
        <v>45829</v>
      </c>
      <c r="C2836" t="s">
        <v>65</v>
      </c>
      <c r="D2836" t="s">
        <v>1629</v>
      </c>
      <c r="E2836">
        <v>385.7</v>
      </c>
      <c r="F2836" t="s">
        <v>1578</v>
      </c>
      <c r="G2836" t="s">
        <v>1294</v>
      </c>
    </row>
    <row r="2837" spans="1:7">
      <c r="A2837" t="s">
        <v>4440</v>
      </c>
      <c r="B2837" s="2">
        <v>45829</v>
      </c>
      <c r="C2837" t="s">
        <v>68</v>
      </c>
      <c r="D2837" t="s">
        <v>1629</v>
      </c>
      <c r="E2837">
        <v>387.6</v>
      </c>
      <c r="F2837" t="s">
        <v>1578</v>
      </c>
      <c r="G2837" t="s">
        <v>1294</v>
      </c>
    </row>
    <row r="2838" spans="1:7">
      <c r="A2838" t="s">
        <v>4441</v>
      </c>
      <c r="B2838" s="2">
        <v>45829</v>
      </c>
      <c r="C2838" t="s">
        <v>70</v>
      </c>
      <c r="D2838" t="s">
        <v>1629</v>
      </c>
      <c r="E2838">
        <v>383.8</v>
      </c>
      <c r="F2838" t="s">
        <v>1578</v>
      </c>
      <c r="G2838" t="s">
        <v>1294</v>
      </c>
    </row>
    <row r="2839" spans="1:7">
      <c r="A2839" t="s">
        <v>4442</v>
      </c>
      <c r="B2839" s="2">
        <v>45829</v>
      </c>
      <c r="C2839" t="s">
        <v>75</v>
      </c>
      <c r="D2839" t="s">
        <v>1629</v>
      </c>
      <c r="E2839">
        <v>383.8</v>
      </c>
      <c r="F2839" t="s">
        <v>1578</v>
      </c>
      <c r="G2839" t="s">
        <v>1294</v>
      </c>
    </row>
    <row r="2840" spans="1:7">
      <c r="A2840" t="s">
        <v>4443</v>
      </c>
      <c r="B2840" s="2">
        <v>45829</v>
      </c>
      <c r="C2840" t="s">
        <v>77</v>
      </c>
      <c r="D2840" t="s">
        <v>1629</v>
      </c>
      <c r="E2840">
        <v>383.8</v>
      </c>
      <c r="F2840" t="s">
        <v>1578</v>
      </c>
      <c r="G2840" t="s">
        <v>1294</v>
      </c>
    </row>
    <row r="2841" spans="1:7">
      <c r="A2841" t="s">
        <v>4444</v>
      </c>
      <c r="B2841" s="2">
        <v>45829</v>
      </c>
      <c r="C2841" t="s">
        <v>79</v>
      </c>
      <c r="D2841" t="s">
        <v>1629</v>
      </c>
      <c r="E2841">
        <v>387.6</v>
      </c>
      <c r="F2841" t="s">
        <v>1578</v>
      </c>
      <c r="G2841" t="s">
        <v>1294</v>
      </c>
    </row>
    <row r="2842" spans="1:7">
      <c r="A2842" t="s">
        <v>4445</v>
      </c>
      <c r="B2842" s="2">
        <v>45829</v>
      </c>
      <c r="C2842" t="s">
        <v>81</v>
      </c>
      <c r="D2842" t="s">
        <v>1629</v>
      </c>
      <c r="E2842">
        <v>767.6</v>
      </c>
      <c r="F2842" t="s">
        <v>1578</v>
      </c>
      <c r="G2842" t="s">
        <v>1294</v>
      </c>
    </row>
    <row r="2843" spans="1:7">
      <c r="A2843" t="s">
        <v>4446</v>
      </c>
      <c r="B2843" s="2">
        <v>45829</v>
      </c>
      <c r="C2843" t="s">
        <v>110</v>
      </c>
      <c r="D2843" t="s">
        <v>1629</v>
      </c>
      <c r="E2843">
        <v>387.6</v>
      </c>
      <c r="F2843" t="s">
        <v>1578</v>
      </c>
      <c r="G2843" t="s">
        <v>1294</v>
      </c>
    </row>
    <row r="2844" spans="1:7">
      <c r="A2844" t="s">
        <v>4447</v>
      </c>
      <c r="B2844" s="2">
        <v>45829</v>
      </c>
      <c r="C2844" t="s">
        <v>114</v>
      </c>
      <c r="D2844" t="s">
        <v>1629</v>
      </c>
      <c r="E2844">
        <v>383.8</v>
      </c>
      <c r="F2844" t="s">
        <v>1578</v>
      </c>
      <c r="G2844" t="s">
        <v>1294</v>
      </c>
    </row>
    <row r="2845" spans="1:7">
      <c r="A2845" t="s">
        <v>4448</v>
      </c>
      <c r="B2845" s="2">
        <v>45829</v>
      </c>
      <c r="C2845" t="s">
        <v>117</v>
      </c>
      <c r="D2845" t="s">
        <v>1629</v>
      </c>
      <c r="E2845">
        <v>381.9</v>
      </c>
      <c r="F2845" t="s">
        <v>1578</v>
      </c>
      <c r="G2845" t="s">
        <v>1294</v>
      </c>
    </row>
    <row r="2846" spans="1:7">
      <c r="A2846" t="s">
        <v>4449</v>
      </c>
      <c r="B2846" s="2">
        <v>45829</v>
      </c>
      <c r="C2846" t="s">
        <v>119</v>
      </c>
      <c r="D2846" t="s">
        <v>1629</v>
      </c>
      <c r="E2846">
        <v>383.8</v>
      </c>
      <c r="F2846" t="s">
        <v>1578</v>
      </c>
      <c r="G2846" t="s">
        <v>1294</v>
      </c>
    </row>
    <row r="2847" spans="1:7">
      <c r="A2847" t="s">
        <v>4450</v>
      </c>
      <c r="B2847" s="2">
        <v>45829</v>
      </c>
      <c r="C2847" t="s">
        <v>108</v>
      </c>
      <c r="D2847" t="s">
        <v>1683</v>
      </c>
      <c r="E2847">
        <v>473</v>
      </c>
      <c r="F2847" t="s">
        <v>1578</v>
      </c>
      <c r="G2847" t="s">
        <v>672</v>
      </c>
    </row>
    <row r="2848" spans="1:7">
      <c r="A2848" t="s">
        <v>4451</v>
      </c>
      <c r="B2848" s="2">
        <v>45829</v>
      </c>
      <c r="C2848" t="s">
        <v>81</v>
      </c>
      <c r="D2848" t="s">
        <v>1683</v>
      </c>
      <c r="E2848">
        <v>716</v>
      </c>
      <c r="F2848" t="s">
        <v>1578</v>
      </c>
      <c r="G2848" t="s">
        <v>673</v>
      </c>
    </row>
    <row r="2849" spans="1:7">
      <c r="A2849" t="s">
        <v>4452</v>
      </c>
      <c r="B2849" s="2">
        <v>45830</v>
      </c>
      <c r="C2849" t="s">
        <v>61</v>
      </c>
      <c r="D2849" t="s">
        <v>1629</v>
      </c>
      <c r="E2849">
        <v>390.66</v>
      </c>
      <c r="F2849" t="s">
        <v>1578</v>
      </c>
      <c r="G2849" t="s">
        <v>1295</v>
      </c>
    </row>
    <row r="2850" spans="1:7">
      <c r="A2850" t="s">
        <v>4453</v>
      </c>
      <c r="B2850" s="2">
        <v>45830</v>
      </c>
      <c r="C2850" t="s">
        <v>65</v>
      </c>
      <c r="D2850" t="s">
        <v>1629</v>
      </c>
      <c r="E2850">
        <v>388.74</v>
      </c>
      <c r="F2850" t="s">
        <v>1578</v>
      </c>
      <c r="G2850" t="s">
        <v>1295</v>
      </c>
    </row>
    <row r="2851" spans="1:7">
      <c r="A2851" t="s">
        <v>4454</v>
      </c>
      <c r="B2851" s="2">
        <v>45830</v>
      </c>
      <c r="C2851" t="s">
        <v>68</v>
      </c>
      <c r="D2851" t="s">
        <v>1629</v>
      </c>
      <c r="E2851">
        <v>390.66</v>
      </c>
      <c r="F2851" t="s">
        <v>1578</v>
      </c>
      <c r="G2851" t="s">
        <v>1295</v>
      </c>
    </row>
    <row r="2852" spans="1:7">
      <c r="A2852" t="s">
        <v>4455</v>
      </c>
      <c r="B2852" s="2">
        <v>45830</v>
      </c>
      <c r="C2852" t="s">
        <v>70</v>
      </c>
      <c r="D2852" t="s">
        <v>1629</v>
      </c>
      <c r="E2852">
        <v>386.83</v>
      </c>
      <c r="F2852" t="s">
        <v>1578</v>
      </c>
      <c r="G2852" t="s">
        <v>1295</v>
      </c>
    </row>
    <row r="2853" spans="1:7">
      <c r="A2853" t="s">
        <v>4456</v>
      </c>
      <c r="B2853" s="2">
        <v>45830</v>
      </c>
      <c r="C2853" t="s">
        <v>75</v>
      </c>
      <c r="D2853" t="s">
        <v>1629</v>
      </c>
      <c r="E2853">
        <v>386.83</v>
      </c>
      <c r="F2853" t="s">
        <v>1578</v>
      </c>
      <c r="G2853" t="s">
        <v>1295</v>
      </c>
    </row>
    <row r="2854" spans="1:7">
      <c r="A2854" t="s">
        <v>4457</v>
      </c>
      <c r="B2854" s="2">
        <v>45830</v>
      </c>
      <c r="C2854" t="s">
        <v>77</v>
      </c>
      <c r="D2854" t="s">
        <v>1629</v>
      </c>
      <c r="E2854">
        <v>386.83</v>
      </c>
      <c r="F2854" t="s">
        <v>1578</v>
      </c>
      <c r="G2854" t="s">
        <v>1295</v>
      </c>
    </row>
    <row r="2855" spans="1:7">
      <c r="A2855" t="s">
        <v>4458</v>
      </c>
      <c r="B2855" s="2">
        <v>45830</v>
      </c>
      <c r="C2855" t="s">
        <v>79</v>
      </c>
      <c r="D2855" t="s">
        <v>1629</v>
      </c>
      <c r="E2855">
        <v>390.66</v>
      </c>
      <c r="F2855" t="s">
        <v>1578</v>
      </c>
      <c r="G2855" t="s">
        <v>1295</v>
      </c>
    </row>
    <row r="2856" spans="1:7">
      <c r="A2856" t="s">
        <v>4459</v>
      </c>
      <c r="B2856" s="2">
        <v>45830</v>
      </c>
      <c r="C2856" t="s">
        <v>81</v>
      </c>
      <c r="D2856" t="s">
        <v>1629</v>
      </c>
      <c r="E2856">
        <v>773.66</v>
      </c>
      <c r="F2856" t="s">
        <v>1578</v>
      </c>
      <c r="G2856" t="s">
        <v>1295</v>
      </c>
    </row>
    <row r="2857" spans="1:7">
      <c r="A2857" t="s">
        <v>4460</v>
      </c>
      <c r="B2857" s="2">
        <v>45830</v>
      </c>
      <c r="C2857" t="s">
        <v>108</v>
      </c>
      <c r="D2857" t="s">
        <v>1629</v>
      </c>
      <c r="E2857">
        <v>777.49</v>
      </c>
      <c r="F2857" t="s">
        <v>1578</v>
      </c>
      <c r="G2857" t="s">
        <v>1295</v>
      </c>
    </row>
    <row r="2858" spans="1:7">
      <c r="A2858" t="s">
        <v>4461</v>
      </c>
      <c r="B2858" s="2">
        <v>45830</v>
      </c>
      <c r="C2858" t="s">
        <v>110</v>
      </c>
      <c r="D2858" t="s">
        <v>1629</v>
      </c>
      <c r="E2858">
        <v>390.66</v>
      </c>
      <c r="F2858" t="s">
        <v>1578</v>
      </c>
      <c r="G2858" t="s">
        <v>1295</v>
      </c>
    </row>
    <row r="2859" spans="1:7">
      <c r="A2859" t="s">
        <v>4462</v>
      </c>
      <c r="B2859" s="2">
        <v>45830</v>
      </c>
      <c r="C2859" t="s">
        <v>114</v>
      </c>
      <c r="D2859" t="s">
        <v>1629</v>
      </c>
      <c r="E2859">
        <v>386.83</v>
      </c>
      <c r="F2859" t="s">
        <v>1578</v>
      </c>
      <c r="G2859" t="s">
        <v>1295</v>
      </c>
    </row>
    <row r="2860" spans="1:7">
      <c r="A2860" t="s">
        <v>4463</v>
      </c>
      <c r="B2860" s="2">
        <v>45830</v>
      </c>
      <c r="C2860" t="s">
        <v>117</v>
      </c>
      <c r="D2860" t="s">
        <v>1629</v>
      </c>
      <c r="E2860">
        <v>384.92</v>
      </c>
      <c r="F2860" t="s">
        <v>1578</v>
      </c>
      <c r="G2860" t="s">
        <v>1295</v>
      </c>
    </row>
    <row r="2861" spans="1:7">
      <c r="A2861" t="s">
        <v>4464</v>
      </c>
      <c r="B2861" s="2">
        <v>45830</v>
      </c>
      <c r="C2861" t="s">
        <v>119</v>
      </c>
      <c r="D2861" t="s">
        <v>1629</v>
      </c>
      <c r="E2861">
        <v>386.83</v>
      </c>
      <c r="F2861" t="s">
        <v>1578</v>
      </c>
      <c r="G2861" t="s">
        <v>1295</v>
      </c>
    </row>
    <row r="2862" spans="1:7">
      <c r="A2862" t="s">
        <v>4465</v>
      </c>
      <c r="B2862" s="2">
        <v>45830</v>
      </c>
      <c r="C2862" t="s">
        <v>95</v>
      </c>
      <c r="D2862" t="s">
        <v>1683</v>
      </c>
      <c r="E2862">
        <v>156</v>
      </c>
      <c r="F2862" t="s">
        <v>1578</v>
      </c>
      <c r="G2862" t="s">
        <v>674</v>
      </c>
    </row>
    <row r="2863" spans="1:7">
      <c r="A2863" t="s">
        <v>4466</v>
      </c>
      <c r="B2863" s="2">
        <v>45830</v>
      </c>
      <c r="C2863" t="s">
        <v>84</v>
      </c>
      <c r="D2863" t="s">
        <v>1683</v>
      </c>
      <c r="E2863">
        <v>482</v>
      </c>
      <c r="F2863" t="s">
        <v>1578</v>
      </c>
      <c r="G2863" t="s">
        <v>675</v>
      </c>
    </row>
    <row r="2864" spans="1:7">
      <c r="A2864" t="s">
        <v>4467</v>
      </c>
      <c r="B2864" s="2">
        <v>45831</v>
      </c>
      <c r="C2864" t="s">
        <v>108</v>
      </c>
      <c r="D2864" t="s">
        <v>1683</v>
      </c>
      <c r="E2864">
        <v>75</v>
      </c>
      <c r="F2864" t="s">
        <v>1578</v>
      </c>
      <c r="G2864" t="s">
        <v>676</v>
      </c>
    </row>
    <row r="2865" spans="1:7">
      <c r="A2865" t="s">
        <v>4468</v>
      </c>
      <c r="B2865" s="2">
        <v>45831</v>
      </c>
      <c r="C2865" t="s">
        <v>91</v>
      </c>
      <c r="D2865" t="s">
        <v>1683</v>
      </c>
      <c r="E2865">
        <v>267</v>
      </c>
      <c r="F2865" t="s">
        <v>1578</v>
      </c>
      <c r="G2865" t="s">
        <v>677</v>
      </c>
    </row>
    <row r="2866" spans="1:7">
      <c r="A2866" t="s">
        <v>4469</v>
      </c>
      <c r="B2866" s="2">
        <v>45832</v>
      </c>
      <c r="C2866" t="s">
        <v>81</v>
      </c>
      <c r="D2866" t="s">
        <v>1683</v>
      </c>
      <c r="E2866">
        <v>133</v>
      </c>
      <c r="F2866" t="s">
        <v>1578</v>
      </c>
      <c r="G2866" t="s">
        <v>679</v>
      </c>
    </row>
    <row r="2867" spans="1:7">
      <c r="A2867" t="s">
        <v>4470</v>
      </c>
      <c r="B2867" s="2">
        <v>45833</v>
      </c>
      <c r="C2867" t="s">
        <v>61</v>
      </c>
      <c r="D2867" t="s">
        <v>1629</v>
      </c>
      <c r="E2867">
        <v>250.92</v>
      </c>
      <c r="F2867" t="s">
        <v>1578</v>
      </c>
      <c r="G2867" t="s">
        <v>1296</v>
      </c>
    </row>
    <row r="2868" spans="1:7">
      <c r="A2868" t="s">
        <v>4471</v>
      </c>
      <c r="B2868" s="2">
        <v>45833</v>
      </c>
      <c r="C2868" t="s">
        <v>65</v>
      </c>
      <c r="D2868" t="s">
        <v>1629</v>
      </c>
      <c r="E2868">
        <v>249.69</v>
      </c>
      <c r="F2868" t="s">
        <v>1578</v>
      </c>
      <c r="G2868" t="s">
        <v>1296</v>
      </c>
    </row>
    <row r="2869" spans="1:7">
      <c r="A2869" t="s">
        <v>4472</v>
      </c>
      <c r="B2869" s="2">
        <v>45833</v>
      </c>
      <c r="C2869" t="s">
        <v>68</v>
      </c>
      <c r="D2869" t="s">
        <v>1629</v>
      </c>
      <c r="E2869">
        <v>250.92</v>
      </c>
      <c r="F2869" t="s">
        <v>1578</v>
      </c>
      <c r="G2869" t="s">
        <v>1296</v>
      </c>
    </row>
    <row r="2870" spans="1:7">
      <c r="A2870" t="s">
        <v>4473</v>
      </c>
      <c r="B2870" s="2">
        <v>45833</v>
      </c>
      <c r="C2870" t="s">
        <v>70</v>
      </c>
      <c r="D2870" t="s">
        <v>1629</v>
      </c>
      <c r="E2870">
        <v>248.46</v>
      </c>
      <c r="F2870" t="s">
        <v>1578</v>
      </c>
      <c r="G2870" t="s">
        <v>1296</v>
      </c>
    </row>
    <row r="2871" spans="1:7">
      <c r="A2871" t="s">
        <v>4474</v>
      </c>
      <c r="B2871" s="2">
        <v>45833</v>
      </c>
      <c r="C2871" t="s">
        <v>75</v>
      </c>
      <c r="D2871" t="s">
        <v>1629</v>
      </c>
      <c r="E2871">
        <v>248.46</v>
      </c>
      <c r="F2871" t="s">
        <v>1578</v>
      </c>
      <c r="G2871" t="s">
        <v>1296</v>
      </c>
    </row>
    <row r="2872" spans="1:7">
      <c r="A2872" t="s">
        <v>4475</v>
      </c>
      <c r="B2872" s="2">
        <v>45833</v>
      </c>
      <c r="C2872" t="s">
        <v>77</v>
      </c>
      <c r="D2872" t="s">
        <v>1629</v>
      </c>
      <c r="E2872">
        <v>248.46</v>
      </c>
      <c r="F2872" t="s">
        <v>1578</v>
      </c>
      <c r="G2872" t="s">
        <v>1296</v>
      </c>
    </row>
    <row r="2873" spans="1:7">
      <c r="A2873" t="s">
        <v>4476</v>
      </c>
      <c r="B2873" s="2">
        <v>45833</v>
      </c>
      <c r="C2873" t="s">
        <v>79</v>
      </c>
      <c r="D2873" t="s">
        <v>1629</v>
      </c>
      <c r="E2873">
        <v>250.92</v>
      </c>
      <c r="F2873" t="s">
        <v>1578</v>
      </c>
      <c r="G2873" t="s">
        <v>1296</v>
      </c>
    </row>
    <row r="2874" spans="1:7">
      <c r="A2874" t="s">
        <v>4477</v>
      </c>
      <c r="B2874" s="2">
        <v>45833</v>
      </c>
      <c r="C2874" t="s">
        <v>81</v>
      </c>
      <c r="D2874" t="s">
        <v>1629</v>
      </c>
      <c r="E2874">
        <v>496.92</v>
      </c>
      <c r="F2874" t="s">
        <v>1578</v>
      </c>
      <c r="G2874" t="s">
        <v>1296</v>
      </c>
    </row>
    <row r="2875" spans="1:7">
      <c r="A2875" t="s">
        <v>4478</v>
      </c>
      <c r="B2875" s="2">
        <v>45833</v>
      </c>
      <c r="C2875" t="s">
        <v>110</v>
      </c>
      <c r="D2875" t="s">
        <v>1629</v>
      </c>
      <c r="E2875">
        <v>250.92</v>
      </c>
      <c r="F2875" t="s">
        <v>1578</v>
      </c>
      <c r="G2875" t="s">
        <v>1296</v>
      </c>
    </row>
    <row r="2876" spans="1:7">
      <c r="A2876" t="s">
        <v>4479</v>
      </c>
      <c r="B2876" s="2">
        <v>45833</v>
      </c>
      <c r="C2876" t="s">
        <v>114</v>
      </c>
      <c r="D2876" t="s">
        <v>1629</v>
      </c>
      <c r="E2876">
        <v>248.46</v>
      </c>
      <c r="F2876" t="s">
        <v>1578</v>
      </c>
      <c r="G2876" t="s">
        <v>1296</v>
      </c>
    </row>
    <row r="2877" spans="1:7">
      <c r="A2877" t="s">
        <v>4480</v>
      </c>
      <c r="B2877" s="2">
        <v>45833</v>
      </c>
      <c r="C2877" t="s">
        <v>117</v>
      </c>
      <c r="D2877" t="s">
        <v>1629</v>
      </c>
      <c r="E2877">
        <v>247.23</v>
      </c>
      <c r="F2877" t="s">
        <v>1578</v>
      </c>
      <c r="G2877" t="s">
        <v>1296</v>
      </c>
    </row>
    <row r="2878" spans="1:7">
      <c r="A2878" t="s">
        <v>4481</v>
      </c>
      <c r="B2878" s="2">
        <v>45833</v>
      </c>
      <c r="C2878" t="s">
        <v>119</v>
      </c>
      <c r="D2878" t="s">
        <v>1629</v>
      </c>
      <c r="E2878">
        <v>248.46</v>
      </c>
      <c r="F2878" t="s">
        <v>1578</v>
      </c>
      <c r="G2878" t="s">
        <v>1296</v>
      </c>
    </row>
    <row r="2879" spans="1:7">
      <c r="A2879" t="s">
        <v>4482</v>
      </c>
      <c r="B2879" s="2">
        <v>45833</v>
      </c>
      <c r="C2879" t="s">
        <v>102</v>
      </c>
      <c r="D2879" t="s">
        <v>1683</v>
      </c>
      <c r="E2879">
        <v>180</v>
      </c>
      <c r="F2879" t="s">
        <v>1578</v>
      </c>
      <c r="G2879" t="s">
        <v>680</v>
      </c>
    </row>
    <row r="2880" spans="1:7">
      <c r="A2880" t="s">
        <v>4483</v>
      </c>
      <c r="B2880" s="2">
        <v>45833</v>
      </c>
      <c r="C2880" t="s">
        <v>114</v>
      </c>
      <c r="D2880" t="s">
        <v>1683</v>
      </c>
      <c r="E2880">
        <v>550</v>
      </c>
      <c r="F2880" t="s">
        <v>1578</v>
      </c>
      <c r="G2880" t="s">
        <v>681</v>
      </c>
    </row>
    <row r="2881" spans="1:7">
      <c r="A2881" t="s">
        <v>4484</v>
      </c>
      <c r="B2881" s="2">
        <v>45833</v>
      </c>
      <c r="C2881" t="s">
        <v>87</v>
      </c>
      <c r="D2881" t="s">
        <v>1683</v>
      </c>
      <c r="E2881">
        <v>214</v>
      </c>
      <c r="F2881" t="s">
        <v>1578</v>
      </c>
      <c r="G2881" t="s">
        <v>683</v>
      </c>
    </row>
    <row r="2882" spans="1:7">
      <c r="A2882" t="s">
        <v>4485</v>
      </c>
      <c r="B2882" s="2">
        <v>45833</v>
      </c>
      <c r="C2882" t="s">
        <v>110</v>
      </c>
      <c r="D2882" t="s">
        <v>1683</v>
      </c>
      <c r="E2882">
        <v>312</v>
      </c>
      <c r="F2882" t="s">
        <v>1578</v>
      </c>
      <c r="G2882" t="s">
        <v>684</v>
      </c>
    </row>
    <row r="2883" spans="1:7">
      <c r="A2883" t="s">
        <v>4486</v>
      </c>
      <c r="B2883" s="2">
        <v>45834</v>
      </c>
      <c r="C2883" t="s">
        <v>61</v>
      </c>
      <c r="D2883" t="s">
        <v>1629</v>
      </c>
      <c r="E2883">
        <v>339.66</v>
      </c>
      <c r="F2883" t="s">
        <v>1578</v>
      </c>
      <c r="G2883" t="s">
        <v>1297</v>
      </c>
    </row>
    <row r="2884" spans="1:7">
      <c r="A2884" t="s">
        <v>4487</v>
      </c>
      <c r="B2884" s="2">
        <v>45834</v>
      </c>
      <c r="C2884" t="s">
        <v>65</v>
      </c>
      <c r="D2884" t="s">
        <v>1629</v>
      </c>
      <c r="E2884">
        <v>337.99</v>
      </c>
      <c r="F2884" t="s">
        <v>1578</v>
      </c>
      <c r="G2884" t="s">
        <v>1297</v>
      </c>
    </row>
    <row r="2885" spans="1:7">
      <c r="A2885" t="s">
        <v>4488</v>
      </c>
      <c r="B2885" s="2">
        <v>45834</v>
      </c>
      <c r="C2885" t="s">
        <v>68</v>
      </c>
      <c r="D2885" t="s">
        <v>1629</v>
      </c>
      <c r="E2885">
        <v>339.66</v>
      </c>
      <c r="F2885" t="s">
        <v>1578</v>
      </c>
      <c r="G2885" t="s">
        <v>1297</v>
      </c>
    </row>
    <row r="2886" spans="1:7">
      <c r="A2886" t="s">
        <v>4489</v>
      </c>
      <c r="B2886" s="2">
        <v>45834</v>
      </c>
      <c r="C2886" t="s">
        <v>75</v>
      </c>
      <c r="D2886" t="s">
        <v>1629</v>
      </c>
      <c r="E2886">
        <v>336.33</v>
      </c>
      <c r="F2886" t="s">
        <v>1578</v>
      </c>
      <c r="G2886" t="s">
        <v>1297</v>
      </c>
    </row>
    <row r="2887" spans="1:7">
      <c r="A2887" t="s">
        <v>4490</v>
      </c>
      <c r="B2887" s="2">
        <v>45834</v>
      </c>
      <c r="C2887" t="s">
        <v>79</v>
      </c>
      <c r="D2887" t="s">
        <v>1629</v>
      </c>
      <c r="E2887">
        <v>339.66</v>
      </c>
      <c r="F2887" t="s">
        <v>1578</v>
      </c>
      <c r="G2887" t="s">
        <v>1297</v>
      </c>
    </row>
    <row r="2888" spans="1:7">
      <c r="A2888" t="s">
        <v>4491</v>
      </c>
      <c r="B2888" s="2">
        <v>45834</v>
      </c>
      <c r="C2888" t="s">
        <v>81</v>
      </c>
      <c r="D2888" t="s">
        <v>1629</v>
      </c>
      <c r="E2888">
        <v>672.66</v>
      </c>
      <c r="F2888" t="s">
        <v>1578</v>
      </c>
      <c r="G2888" t="s">
        <v>1297</v>
      </c>
    </row>
    <row r="2889" spans="1:7">
      <c r="A2889" t="s">
        <v>4492</v>
      </c>
      <c r="B2889" s="2">
        <v>45834</v>
      </c>
      <c r="C2889" t="s">
        <v>110</v>
      </c>
      <c r="D2889" t="s">
        <v>1629</v>
      </c>
      <c r="E2889">
        <v>339.66</v>
      </c>
      <c r="F2889" t="s">
        <v>1578</v>
      </c>
      <c r="G2889" t="s">
        <v>1297</v>
      </c>
    </row>
    <row r="2890" spans="1:7">
      <c r="A2890" t="s">
        <v>4493</v>
      </c>
      <c r="B2890" s="2">
        <v>45834</v>
      </c>
      <c r="C2890" t="s">
        <v>114</v>
      </c>
      <c r="D2890" t="s">
        <v>1629</v>
      </c>
      <c r="E2890">
        <v>336.33</v>
      </c>
      <c r="F2890" t="s">
        <v>1578</v>
      </c>
      <c r="G2890" t="s">
        <v>1297</v>
      </c>
    </row>
    <row r="2891" spans="1:7">
      <c r="A2891" t="s">
        <v>4494</v>
      </c>
      <c r="B2891" s="2">
        <v>45834</v>
      </c>
      <c r="C2891" t="s">
        <v>117</v>
      </c>
      <c r="D2891" t="s">
        <v>1629</v>
      </c>
      <c r="E2891">
        <v>334.66</v>
      </c>
      <c r="F2891" t="s">
        <v>1578</v>
      </c>
      <c r="G2891" t="s">
        <v>1297</v>
      </c>
    </row>
    <row r="2892" spans="1:7">
      <c r="A2892" t="s">
        <v>4495</v>
      </c>
      <c r="B2892" s="2">
        <v>45834</v>
      </c>
      <c r="C2892" t="s">
        <v>119</v>
      </c>
      <c r="D2892" t="s">
        <v>1629</v>
      </c>
      <c r="E2892">
        <v>336.33</v>
      </c>
      <c r="F2892" t="s">
        <v>1578</v>
      </c>
      <c r="G2892" t="s">
        <v>1297</v>
      </c>
    </row>
    <row r="2893" spans="1:7">
      <c r="A2893" t="s">
        <v>4496</v>
      </c>
      <c r="B2893" s="2">
        <v>45834</v>
      </c>
      <c r="C2893" t="s">
        <v>61</v>
      </c>
      <c r="D2893" t="s">
        <v>1629</v>
      </c>
      <c r="E2893">
        <v>186.66</v>
      </c>
      <c r="F2893" t="s">
        <v>1578</v>
      </c>
      <c r="G2893" t="s">
        <v>1298</v>
      </c>
    </row>
    <row r="2894" spans="1:7">
      <c r="A2894" t="s">
        <v>4497</v>
      </c>
      <c r="B2894" s="2">
        <v>45834</v>
      </c>
      <c r="C2894" t="s">
        <v>65</v>
      </c>
      <c r="D2894" t="s">
        <v>1629</v>
      </c>
      <c r="E2894">
        <v>185.74</v>
      </c>
      <c r="F2894" t="s">
        <v>1578</v>
      </c>
      <c r="G2894" t="s">
        <v>1298</v>
      </c>
    </row>
    <row r="2895" spans="1:7">
      <c r="A2895" t="s">
        <v>4498</v>
      </c>
      <c r="B2895" s="2">
        <v>45834</v>
      </c>
      <c r="C2895" t="s">
        <v>68</v>
      </c>
      <c r="D2895" t="s">
        <v>1629</v>
      </c>
      <c r="E2895">
        <v>186.66</v>
      </c>
      <c r="F2895" t="s">
        <v>1578</v>
      </c>
      <c r="G2895" t="s">
        <v>1298</v>
      </c>
    </row>
    <row r="2896" spans="1:7">
      <c r="A2896" t="s">
        <v>4499</v>
      </c>
      <c r="B2896" s="2">
        <v>45834</v>
      </c>
      <c r="C2896" t="s">
        <v>70</v>
      </c>
      <c r="D2896" t="s">
        <v>1629</v>
      </c>
      <c r="E2896">
        <v>184.83</v>
      </c>
      <c r="F2896" t="s">
        <v>1578</v>
      </c>
      <c r="G2896" t="s">
        <v>1298</v>
      </c>
    </row>
    <row r="2897" spans="1:7">
      <c r="A2897" t="s">
        <v>4500</v>
      </c>
      <c r="B2897" s="2">
        <v>45834</v>
      </c>
      <c r="C2897" t="s">
        <v>75</v>
      </c>
      <c r="D2897" t="s">
        <v>1629</v>
      </c>
      <c r="E2897">
        <v>184.83</v>
      </c>
      <c r="F2897" t="s">
        <v>1578</v>
      </c>
      <c r="G2897" t="s">
        <v>1298</v>
      </c>
    </row>
    <row r="2898" spans="1:7">
      <c r="A2898" t="s">
        <v>4501</v>
      </c>
      <c r="B2898" s="2">
        <v>45834</v>
      </c>
      <c r="C2898" t="s">
        <v>77</v>
      </c>
      <c r="D2898" t="s">
        <v>1629</v>
      </c>
      <c r="E2898">
        <v>184.83</v>
      </c>
      <c r="F2898" t="s">
        <v>1578</v>
      </c>
      <c r="G2898" t="s">
        <v>1298</v>
      </c>
    </row>
    <row r="2899" spans="1:7">
      <c r="A2899" t="s">
        <v>4502</v>
      </c>
      <c r="B2899" s="2">
        <v>45834</v>
      </c>
      <c r="C2899" t="s">
        <v>79</v>
      </c>
      <c r="D2899" t="s">
        <v>1629</v>
      </c>
      <c r="E2899">
        <v>186.66</v>
      </c>
      <c r="F2899" t="s">
        <v>1578</v>
      </c>
      <c r="G2899" t="s">
        <v>1298</v>
      </c>
    </row>
    <row r="2900" spans="1:7">
      <c r="A2900" t="s">
        <v>4503</v>
      </c>
      <c r="B2900" s="2">
        <v>45834</v>
      </c>
      <c r="C2900" t="s">
        <v>81</v>
      </c>
      <c r="D2900" t="s">
        <v>1629</v>
      </c>
      <c r="E2900">
        <v>369.66</v>
      </c>
      <c r="F2900" t="s">
        <v>1578</v>
      </c>
      <c r="G2900" t="s">
        <v>1298</v>
      </c>
    </row>
    <row r="2901" spans="1:7">
      <c r="A2901" t="s">
        <v>4504</v>
      </c>
      <c r="B2901" s="2">
        <v>45834</v>
      </c>
      <c r="C2901" t="s">
        <v>110</v>
      </c>
      <c r="D2901" t="s">
        <v>1629</v>
      </c>
      <c r="E2901">
        <v>186.66</v>
      </c>
      <c r="F2901" t="s">
        <v>1578</v>
      </c>
      <c r="G2901" t="s">
        <v>1298</v>
      </c>
    </row>
    <row r="2902" spans="1:7">
      <c r="A2902" t="s">
        <v>4505</v>
      </c>
      <c r="B2902" s="2">
        <v>45834</v>
      </c>
      <c r="C2902" t="s">
        <v>114</v>
      </c>
      <c r="D2902" t="s">
        <v>1629</v>
      </c>
      <c r="E2902">
        <v>184.83</v>
      </c>
      <c r="F2902" t="s">
        <v>1578</v>
      </c>
      <c r="G2902" t="s">
        <v>1298</v>
      </c>
    </row>
    <row r="2903" spans="1:7">
      <c r="A2903" t="s">
        <v>4506</v>
      </c>
      <c r="B2903" s="2">
        <v>45834</v>
      </c>
      <c r="C2903" t="s">
        <v>117</v>
      </c>
      <c r="D2903" t="s">
        <v>1629</v>
      </c>
      <c r="E2903">
        <v>183.92</v>
      </c>
      <c r="F2903" t="s">
        <v>1578</v>
      </c>
      <c r="G2903" t="s">
        <v>1298</v>
      </c>
    </row>
    <row r="2904" spans="1:7">
      <c r="A2904" t="s">
        <v>4507</v>
      </c>
      <c r="B2904" s="2">
        <v>45834</v>
      </c>
      <c r="C2904" t="s">
        <v>119</v>
      </c>
      <c r="D2904" t="s">
        <v>1629</v>
      </c>
      <c r="E2904">
        <v>184.83</v>
      </c>
      <c r="F2904" t="s">
        <v>1578</v>
      </c>
      <c r="G2904" t="s">
        <v>1298</v>
      </c>
    </row>
    <row r="2905" spans="1:7">
      <c r="A2905" t="s">
        <v>4508</v>
      </c>
      <c r="B2905" s="2">
        <v>45834</v>
      </c>
      <c r="C2905" t="s">
        <v>61</v>
      </c>
      <c r="D2905" t="s">
        <v>1629</v>
      </c>
      <c r="E2905">
        <v>450.84</v>
      </c>
      <c r="F2905" t="s">
        <v>1578</v>
      </c>
      <c r="G2905" t="s">
        <v>1299</v>
      </c>
    </row>
    <row r="2906" spans="1:7">
      <c r="A2906" t="s">
        <v>4509</v>
      </c>
      <c r="B2906" s="2">
        <v>45834</v>
      </c>
      <c r="C2906" t="s">
        <v>65</v>
      </c>
      <c r="D2906" t="s">
        <v>1629</v>
      </c>
      <c r="E2906">
        <v>448.63</v>
      </c>
      <c r="F2906" t="s">
        <v>1578</v>
      </c>
      <c r="G2906" t="s">
        <v>1299</v>
      </c>
    </row>
    <row r="2907" spans="1:7">
      <c r="A2907" t="s">
        <v>4510</v>
      </c>
      <c r="B2907" s="2">
        <v>45834</v>
      </c>
      <c r="C2907" t="s">
        <v>68</v>
      </c>
      <c r="D2907" t="s">
        <v>1629</v>
      </c>
      <c r="E2907">
        <v>450.84</v>
      </c>
      <c r="F2907" t="s">
        <v>1578</v>
      </c>
      <c r="G2907" t="s">
        <v>1299</v>
      </c>
    </row>
    <row r="2908" spans="1:7">
      <c r="A2908" t="s">
        <v>4511</v>
      </c>
      <c r="B2908" s="2">
        <v>45834</v>
      </c>
      <c r="C2908" t="s">
        <v>70</v>
      </c>
      <c r="D2908" t="s">
        <v>1629</v>
      </c>
      <c r="E2908">
        <v>446.42</v>
      </c>
      <c r="F2908" t="s">
        <v>1578</v>
      </c>
      <c r="G2908" t="s">
        <v>1299</v>
      </c>
    </row>
    <row r="2909" spans="1:7">
      <c r="A2909" t="s">
        <v>4512</v>
      </c>
      <c r="B2909" s="2">
        <v>45834</v>
      </c>
      <c r="C2909" t="s">
        <v>75</v>
      </c>
      <c r="D2909" t="s">
        <v>1629</v>
      </c>
      <c r="E2909">
        <v>446.42</v>
      </c>
      <c r="F2909" t="s">
        <v>1578</v>
      </c>
      <c r="G2909" t="s">
        <v>1299</v>
      </c>
    </row>
    <row r="2910" spans="1:7">
      <c r="A2910" t="s">
        <v>4513</v>
      </c>
      <c r="B2910" s="2">
        <v>45834</v>
      </c>
      <c r="C2910" t="s">
        <v>77</v>
      </c>
      <c r="D2910" t="s">
        <v>1629</v>
      </c>
      <c r="E2910">
        <v>446.42</v>
      </c>
      <c r="F2910" t="s">
        <v>1578</v>
      </c>
      <c r="G2910" t="s">
        <v>1299</v>
      </c>
    </row>
    <row r="2911" spans="1:7">
      <c r="A2911" t="s">
        <v>4514</v>
      </c>
      <c r="B2911" s="2">
        <v>45834</v>
      </c>
      <c r="C2911" t="s">
        <v>79</v>
      </c>
      <c r="D2911" t="s">
        <v>1629</v>
      </c>
      <c r="E2911">
        <v>450.84</v>
      </c>
      <c r="F2911" t="s">
        <v>1578</v>
      </c>
      <c r="G2911" t="s">
        <v>1299</v>
      </c>
    </row>
    <row r="2912" spans="1:7">
      <c r="A2912" t="s">
        <v>4515</v>
      </c>
      <c r="B2912" s="2">
        <v>45834</v>
      </c>
      <c r="C2912" t="s">
        <v>81</v>
      </c>
      <c r="D2912" t="s">
        <v>1629</v>
      </c>
      <c r="E2912">
        <v>892.84</v>
      </c>
      <c r="F2912" t="s">
        <v>1578</v>
      </c>
      <c r="G2912" t="s">
        <v>1299</v>
      </c>
    </row>
    <row r="2913" spans="1:7">
      <c r="A2913" t="s">
        <v>4516</v>
      </c>
      <c r="B2913" s="2">
        <v>45834</v>
      </c>
      <c r="C2913" t="s">
        <v>110</v>
      </c>
      <c r="D2913" t="s">
        <v>1629</v>
      </c>
      <c r="E2913">
        <v>450.84</v>
      </c>
      <c r="F2913" t="s">
        <v>1578</v>
      </c>
      <c r="G2913" t="s">
        <v>1299</v>
      </c>
    </row>
    <row r="2914" spans="1:7">
      <c r="A2914" t="s">
        <v>4517</v>
      </c>
      <c r="B2914" s="2">
        <v>45834</v>
      </c>
      <c r="C2914" t="s">
        <v>114</v>
      </c>
      <c r="D2914" t="s">
        <v>1629</v>
      </c>
      <c r="E2914">
        <v>446.42</v>
      </c>
      <c r="F2914" t="s">
        <v>1578</v>
      </c>
      <c r="G2914" t="s">
        <v>1299</v>
      </c>
    </row>
    <row r="2915" spans="1:7">
      <c r="A2915" t="s">
        <v>4518</v>
      </c>
      <c r="B2915" s="2">
        <v>45834</v>
      </c>
      <c r="C2915" t="s">
        <v>117</v>
      </c>
      <c r="D2915" t="s">
        <v>1629</v>
      </c>
      <c r="E2915">
        <v>444.21</v>
      </c>
      <c r="F2915" t="s">
        <v>1578</v>
      </c>
      <c r="G2915" t="s">
        <v>1299</v>
      </c>
    </row>
    <row r="2916" spans="1:7">
      <c r="A2916" t="s">
        <v>4519</v>
      </c>
      <c r="B2916" s="2">
        <v>45834</v>
      </c>
      <c r="C2916" t="s">
        <v>119</v>
      </c>
      <c r="D2916" t="s">
        <v>1629</v>
      </c>
      <c r="E2916">
        <v>446.42</v>
      </c>
      <c r="F2916" t="s">
        <v>1578</v>
      </c>
      <c r="G2916" t="s">
        <v>1299</v>
      </c>
    </row>
    <row r="2917" spans="1:7">
      <c r="A2917" t="s">
        <v>4520</v>
      </c>
      <c r="B2917" s="2">
        <v>45834</v>
      </c>
      <c r="C2917" t="s">
        <v>61</v>
      </c>
      <c r="D2917" t="s">
        <v>1629</v>
      </c>
      <c r="E2917">
        <v>183.6</v>
      </c>
      <c r="F2917" t="s">
        <v>1578</v>
      </c>
      <c r="G2917" t="s">
        <v>1300</v>
      </c>
    </row>
    <row r="2918" spans="1:7">
      <c r="A2918" t="s">
        <v>4521</v>
      </c>
      <c r="B2918" s="2">
        <v>45834</v>
      </c>
      <c r="C2918" t="s">
        <v>65</v>
      </c>
      <c r="D2918" t="s">
        <v>1629</v>
      </c>
      <c r="E2918">
        <v>182.7</v>
      </c>
      <c r="F2918" t="s">
        <v>1578</v>
      </c>
      <c r="G2918" t="s">
        <v>1300</v>
      </c>
    </row>
    <row r="2919" spans="1:7">
      <c r="A2919" t="s">
        <v>4522</v>
      </c>
      <c r="B2919" s="2">
        <v>45834</v>
      </c>
      <c r="C2919" t="s">
        <v>68</v>
      </c>
      <c r="D2919" t="s">
        <v>1629</v>
      </c>
      <c r="E2919">
        <v>183.6</v>
      </c>
      <c r="F2919" t="s">
        <v>1578</v>
      </c>
      <c r="G2919" t="s">
        <v>1300</v>
      </c>
    </row>
    <row r="2920" spans="1:7">
      <c r="A2920" t="s">
        <v>4523</v>
      </c>
      <c r="B2920" s="2">
        <v>45834</v>
      </c>
      <c r="C2920" t="s">
        <v>70</v>
      </c>
      <c r="D2920" t="s">
        <v>1629</v>
      </c>
      <c r="E2920">
        <v>181.8</v>
      </c>
      <c r="F2920" t="s">
        <v>1578</v>
      </c>
      <c r="G2920" t="s">
        <v>1300</v>
      </c>
    </row>
    <row r="2921" spans="1:7">
      <c r="A2921" t="s">
        <v>4524</v>
      </c>
      <c r="B2921" s="2">
        <v>45834</v>
      </c>
      <c r="C2921" t="s">
        <v>75</v>
      </c>
      <c r="D2921" t="s">
        <v>1629</v>
      </c>
      <c r="E2921">
        <v>181.8</v>
      </c>
      <c r="F2921" t="s">
        <v>1578</v>
      </c>
      <c r="G2921" t="s">
        <v>1300</v>
      </c>
    </row>
    <row r="2922" spans="1:7">
      <c r="A2922" t="s">
        <v>4525</v>
      </c>
      <c r="B2922" s="2">
        <v>45834</v>
      </c>
      <c r="C2922" t="s">
        <v>77</v>
      </c>
      <c r="D2922" t="s">
        <v>1629</v>
      </c>
      <c r="E2922">
        <v>181.8</v>
      </c>
      <c r="F2922" t="s">
        <v>1578</v>
      </c>
      <c r="G2922" t="s">
        <v>1300</v>
      </c>
    </row>
    <row r="2923" spans="1:7">
      <c r="A2923" t="s">
        <v>4526</v>
      </c>
      <c r="B2923" s="2">
        <v>45834</v>
      </c>
      <c r="C2923" t="s">
        <v>79</v>
      </c>
      <c r="D2923" t="s">
        <v>1629</v>
      </c>
      <c r="E2923">
        <v>183.6</v>
      </c>
      <c r="F2923" t="s">
        <v>1578</v>
      </c>
      <c r="G2923" t="s">
        <v>1300</v>
      </c>
    </row>
    <row r="2924" spans="1:7">
      <c r="A2924" t="s">
        <v>4527</v>
      </c>
      <c r="B2924" s="2">
        <v>45834</v>
      </c>
      <c r="C2924" t="s">
        <v>81</v>
      </c>
      <c r="D2924" t="s">
        <v>1629</v>
      </c>
      <c r="E2924">
        <v>363.6</v>
      </c>
      <c r="F2924" t="s">
        <v>1578</v>
      </c>
      <c r="G2924" t="s">
        <v>1300</v>
      </c>
    </row>
    <row r="2925" spans="1:7">
      <c r="A2925" t="s">
        <v>4528</v>
      </c>
      <c r="B2925" s="2">
        <v>45834</v>
      </c>
      <c r="C2925" t="s">
        <v>110</v>
      </c>
      <c r="D2925" t="s">
        <v>1629</v>
      </c>
      <c r="E2925">
        <v>183.6</v>
      </c>
      <c r="F2925" t="s">
        <v>1578</v>
      </c>
      <c r="G2925" t="s">
        <v>1300</v>
      </c>
    </row>
    <row r="2926" spans="1:7">
      <c r="A2926" t="s">
        <v>4529</v>
      </c>
      <c r="B2926" s="2">
        <v>45834</v>
      </c>
      <c r="C2926" t="s">
        <v>114</v>
      </c>
      <c r="D2926" t="s">
        <v>1629</v>
      </c>
      <c r="E2926">
        <v>181.8</v>
      </c>
      <c r="F2926" t="s">
        <v>1578</v>
      </c>
      <c r="G2926" t="s">
        <v>1300</v>
      </c>
    </row>
    <row r="2927" spans="1:7">
      <c r="A2927" t="s">
        <v>4530</v>
      </c>
      <c r="B2927" s="2">
        <v>45834</v>
      </c>
      <c r="C2927" t="s">
        <v>117</v>
      </c>
      <c r="D2927" t="s">
        <v>1629</v>
      </c>
      <c r="E2927">
        <v>180.9</v>
      </c>
      <c r="F2927" t="s">
        <v>1578</v>
      </c>
      <c r="G2927" t="s">
        <v>1300</v>
      </c>
    </row>
    <row r="2928" spans="1:7">
      <c r="A2928" t="s">
        <v>4531</v>
      </c>
      <c r="B2928" s="2">
        <v>45834</v>
      </c>
      <c r="C2928" t="s">
        <v>119</v>
      </c>
      <c r="D2928" t="s">
        <v>1629</v>
      </c>
      <c r="E2928">
        <v>181.8</v>
      </c>
      <c r="F2928" t="s">
        <v>1578</v>
      </c>
      <c r="G2928" t="s">
        <v>1300</v>
      </c>
    </row>
    <row r="2929" spans="1:7">
      <c r="A2929" t="s">
        <v>4532</v>
      </c>
      <c r="B2929" s="2">
        <v>45835</v>
      </c>
      <c r="C2929" t="s">
        <v>61</v>
      </c>
      <c r="D2929" t="s">
        <v>1629</v>
      </c>
      <c r="E2929">
        <v>209.1</v>
      </c>
      <c r="F2929" t="s">
        <v>1578</v>
      </c>
      <c r="G2929" t="s">
        <v>1301</v>
      </c>
    </row>
    <row r="2930" spans="1:7">
      <c r="A2930" t="s">
        <v>4533</v>
      </c>
      <c r="B2930" s="2">
        <v>45835</v>
      </c>
      <c r="C2930" t="s">
        <v>65</v>
      </c>
      <c r="D2930" t="s">
        <v>1629</v>
      </c>
      <c r="E2930">
        <v>208.08</v>
      </c>
      <c r="F2930" t="s">
        <v>1578</v>
      </c>
      <c r="G2930" t="s">
        <v>1301</v>
      </c>
    </row>
    <row r="2931" spans="1:7">
      <c r="A2931" t="s">
        <v>4534</v>
      </c>
      <c r="B2931" s="2">
        <v>45835</v>
      </c>
      <c r="C2931" t="s">
        <v>68</v>
      </c>
      <c r="D2931" t="s">
        <v>1629</v>
      </c>
      <c r="E2931">
        <v>209.1</v>
      </c>
      <c r="F2931" t="s">
        <v>1578</v>
      </c>
      <c r="G2931" t="s">
        <v>1301</v>
      </c>
    </row>
    <row r="2932" spans="1:7">
      <c r="A2932" t="s">
        <v>4535</v>
      </c>
      <c r="B2932" s="2">
        <v>45835</v>
      </c>
      <c r="C2932" t="s">
        <v>70</v>
      </c>
      <c r="D2932" t="s">
        <v>1629</v>
      </c>
      <c r="E2932">
        <v>207.05</v>
      </c>
      <c r="F2932" t="s">
        <v>1578</v>
      </c>
      <c r="G2932" t="s">
        <v>1301</v>
      </c>
    </row>
    <row r="2933" spans="1:7">
      <c r="A2933" t="s">
        <v>4536</v>
      </c>
      <c r="B2933" s="2">
        <v>45835</v>
      </c>
      <c r="C2933" t="s">
        <v>75</v>
      </c>
      <c r="D2933" t="s">
        <v>1629</v>
      </c>
      <c r="E2933">
        <v>207.05</v>
      </c>
      <c r="F2933" t="s">
        <v>1578</v>
      </c>
      <c r="G2933" t="s">
        <v>1301</v>
      </c>
    </row>
    <row r="2934" spans="1:7">
      <c r="A2934" t="s">
        <v>4537</v>
      </c>
      <c r="B2934" s="2">
        <v>45835</v>
      </c>
      <c r="C2934" t="s">
        <v>77</v>
      </c>
      <c r="D2934" t="s">
        <v>1629</v>
      </c>
      <c r="E2934">
        <v>207.05</v>
      </c>
      <c r="F2934" t="s">
        <v>1578</v>
      </c>
      <c r="G2934" t="s">
        <v>1301</v>
      </c>
    </row>
    <row r="2935" spans="1:7">
      <c r="A2935" t="s">
        <v>4538</v>
      </c>
      <c r="B2935" s="2">
        <v>45835</v>
      </c>
      <c r="C2935" t="s">
        <v>79</v>
      </c>
      <c r="D2935" t="s">
        <v>1629</v>
      </c>
      <c r="E2935">
        <v>209.1</v>
      </c>
      <c r="F2935" t="s">
        <v>1578</v>
      </c>
      <c r="G2935" t="s">
        <v>1301</v>
      </c>
    </row>
    <row r="2936" spans="1:7">
      <c r="A2936" t="s">
        <v>4539</v>
      </c>
      <c r="B2936" s="2">
        <v>45835</v>
      </c>
      <c r="C2936" t="s">
        <v>81</v>
      </c>
      <c r="D2936" t="s">
        <v>1629</v>
      </c>
      <c r="E2936">
        <v>414.1</v>
      </c>
      <c r="F2936" t="s">
        <v>1578</v>
      </c>
      <c r="G2936" t="s">
        <v>1301</v>
      </c>
    </row>
    <row r="2937" spans="1:7">
      <c r="A2937" t="s">
        <v>4540</v>
      </c>
      <c r="B2937" s="2">
        <v>45835</v>
      </c>
      <c r="C2937" t="s">
        <v>108</v>
      </c>
      <c r="D2937" t="s">
        <v>1629</v>
      </c>
      <c r="E2937">
        <v>416.15</v>
      </c>
      <c r="F2937" t="s">
        <v>1578</v>
      </c>
      <c r="G2937" t="s">
        <v>1301</v>
      </c>
    </row>
    <row r="2938" spans="1:7">
      <c r="A2938" t="s">
        <v>4541</v>
      </c>
      <c r="B2938" s="2">
        <v>45835</v>
      </c>
      <c r="C2938" t="s">
        <v>110</v>
      </c>
      <c r="D2938" t="s">
        <v>1629</v>
      </c>
      <c r="E2938">
        <v>209.1</v>
      </c>
      <c r="F2938" t="s">
        <v>1578</v>
      </c>
      <c r="G2938" t="s">
        <v>1301</v>
      </c>
    </row>
    <row r="2939" spans="1:7">
      <c r="A2939" t="s">
        <v>4542</v>
      </c>
      <c r="B2939" s="2">
        <v>45835</v>
      </c>
      <c r="C2939" t="s">
        <v>114</v>
      </c>
      <c r="D2939" t="s">
        <v>1629</v>
      </c>
      <c r="E2939">
        <v>207.05</v>
      </c>
      <c r="F2939" t="s">
        <v>1578</v>
      </c>
      <c r="G2939" t="s">
        <v>1301</v>
      </c>
    </row>
    <row r="2940" spans="1:7">
      <c r="A2940" t="s">
        <v>4543</v>
      </c>
      <c r="B2940" s="2">
        <v>45835</v>
      </c>
      <c r="C2940" t="s">
        <v>117</v>
      </c>
      <c r="D2940" t="s">
        <v>1629</v>
      </c>
      <c r="E2940">
        <v>206.02</v>
      </c>
      <c r="F2940" t="s">
        <v>1578</v>
      </c>
      <c r="G2940" t="s">
        <v>1301</v>
      </c>
    </row>
    <row r="2941" spans="1:7">
      <c r="A2941" t="s">
        <v>4544</v>
      </c>
      <c r="B2941" s="2">
        <v>45835</v>
      </c>
      <c r="C2941" t="s">
        <v>119</v>
      </c>
      <c r="D2941" t="s">
        <v>1629</v>
      </c>
      <c r="E2941">
        <v>207.05</v>
      </c>
      <c r="F2941" t="s">
        <v>1578</v>
      </c>
      <c r="G2941" t="s">
        <v>1301</v>
      </c>
    </row>
    <row r="2942" spans="1:7">
      <c r="A2942" t="s">
        <v>4545</v>
      </c>
      <c r="B2942" s="2">
        <v>45835</v>
      </c>
      <c r="C2942" t="s">
        <v>61</v>
      </c>
      <c r="D2942" t="s">
        <v>1629</v>
      </c>
      <c r="E2942">
        <v>262.14</v>
      </c>
      <c r="F2942" t="s">
        <v>1578</v>
      </c>
      <c r="G2942" t="s">
        <v>1302</v>
      </c>
    </row>
    <row r="2943" spans="1:7">
      <c r="A2943" t="s">
        <v>4546</v>
      </c>
      <c r="B2943" s="2">
        <v>45835</v>
      </c>
      <c r="C2943" t="s">
        <v>65</v>
      </c>
      <c r="D2943" t="s">
        <v>1629</v>
      </c>
      <c r="E2943">
        <v>260.85000000000002</v>
      </c>
      <c r="F2943" t="s">
        <v>1578</v>
      </c>
      <c r="G2943" t="s">
        <v>1302</v>
      </c>
    </row>
    <row r="2944" spans="1:7">
      <c r="A2944" t="s">
        <v>4547</v>
      </c>
      <c r="B2944" s="2">
        <v>45835</v>
      </c>
      <c r="C2944" t="s">
        <v>68</v>
      </c>
      <c r="D2944" t="s">
        <v>1629</v>
      </c>
      <c r="E2944">
        <v>262.14</v>
      </c>
      <c r="F2944" t="s">
        <v>1578</v>
      </c>
      <c r="G2944" t="s">
        <v>1302</v>
      </c>
    </row>
    <row r="2945" spans="1:7">
      <c r="A2945" t="s">
        <v>4548</v>
      </c>
      <c r="B2945" s="2">
        <v>45835</v>
      </c>
      <c r="C2945" t="s">
        <v>70</v>
      </c>
      <c r="D2945" t="s">
        <v>1629</v>
      </c>
      <c r="E2945">
        <v>259.57</v>
      </c>
      <c r="F2945" t="s">
        <v>1578</v>
      </c>
      <c r="G2945" t="s">
        <v>1302</v>
      </c>
    </row>
    <row r="2946" spans="1:7">
      <c r="A2946" t="s">
        <v>4549</v>
      </c>
      <c r="B2946" s="2">
        <v>45835</v>
      </c>
      <c r="C2946" t="s">
        <v>75</v>
      </c>
      <c r="D2946" t="s">
        <v>1629</v>
      </c>
      <c r="E2946">
        <v>259.57</v>
      </c>
      <c r="F2946" t="s">
        <v>1578</v>
      </c>
      <c r="G2946" t="s">
        <v>1302</v>
      </c>
    </row>
    <row r="2947" spans="1:7">
      <c r="A2947" t="s">
        <v>4550</v>
      </c>
      <c r="B2947" s="2">
        <v>45835</v>
      </c>
      <c r="C2947" t="s">
        <v>77</v>
      </c>
      <c r="D2947" t="s">
        <v>1629</v>
      </c>
      <c r="E2947">
        <v>259.57</v>
      </c>
      <c r="F2947" t="s">
        <v>1578</v>
      </c>
      <c r="G2947" t="s">
        <v>1302</v>
      </c>
    </row>
    <row r="2948" spans="1:7">
      <c r="A2948" t="s">
        <v>4551</v>
      </c>
      <c r="B2948" s="2">
        <v>45835</v>
      </c>
      <c r="C2948" t="s">
        <v>79</v>
      </c>
      <c r="D2948" t="s">
        <v>1629</v>
      </c>
      <c r="E2948">
        <v>262.14</v>
      </c>
      <c r="F2948" t="s">
        <v>1578</v>
      </c>
      <c r="G2948" t="s">
        <v>1302</v>
      </c>
    </row>
    <row r="2949" spans="1:7">
      <c r="A2949" t="s">
        <v>4552</v>
      </c>
      <c r="B2949" s="2">
        <v>45835</v>
      </c>
      <c r="C2949" t="s">
        <v>81</v>
      </c>
      <c r="D2949" t="s">
        <v>1629</v>
      </c>
      <c r="E2949">
        <v>519.14</v>
      </c>
      <c r="F2949" t="s">
        <v>1578</v>
      </c>
      <c r="G2949" t="s">
        <v>1302</v>
      </c>
    </row>
    <row r="2950" spans="1:7">
      <c r="A2950" t="s">
        <v>4553</v>
      </c>
      <c r="B2950" s="2">
        <v>45835</v>
      </c>
      <c r="C2950" t="s">
        <v>108</v>
      </c>
      <c r="D2950" t="s">
        <v>1629</v>
      </c>
      <c r="E2950">
        <v>521.71</v>
      </c>
      <c r="F2950" t="s">
        <v>1578</v>
      </c>
      <c r="G2950" t="s">
        <v>1302</v>
      </c>
    </row>
    <row r="2951" spans="1:7">
      <c r="A2951" t="s">
        <v>4554</v>
      </c>
      <c r="B2951" s="2">
        <v>45835</v>
      </c>
      <c r="C2951" t="s">
        <v>110</v>
      </c>
      <c r="D2951" t="s">
        <v>1629</v>
      </c>
      <c r="E2951">
        <v>262.14</v>
      </c>
      <c r="F2951" t="s">
        <v>1578</v>
      </c>
      <c r="G2951" t="s">
        <v>1302</v>
      </c>
    </row>
    <row r="2952" spans="1:7">
      <c r="A2952" t="s">
        <v>4555</v>
      </c>
      <c r="B2952" s="2">
        <v>45835</v>
      </c>
      <c r="C2952" t="s">
        <v>114</v>
      </c>
      <c r="D2952" t="s">
        <v>1629</v>
      </c>
      <c r="E2952">
        <v>259.57</v>
      </c>
      <c r="F2952" t="s">
        <v>1578</v>
      </c>
      <c r="G2952" t="s">
        <v>1302</v>
      </c>
    </row>
    <row r="2953" spans="1:7">
      <c r="A2953" t="s">
        <v>4556</v>
      </c>
      <c r="B2953" s="2">
        <v>45835</v>
      </c>
      <c r="C2953" t="s">
        <v>117</v>
      </c>
      <c r="D2953" t="s">
        <v>1629</v>
      </c>
      <c r="E2953">
        <v>258.27999999999997</v>
      </c>
      <c r="F2953" t="s">
        <v>1578</v>
      </c>
      <c r="G2953" t="s">
        <v>1302</v>
      </c>
    </row>
    <row r="2954" spans="1:7">
      <c r="A2954" t="s">
        <v>4557</v>
      </c>
      <c r="B2954" s="2">
        <v>45835</v>
      </c>
      <c r="C2954" t="s">
        <v>119</v>
      </c>
      <c r="D2954" t="s">
        <v>1629</v>
      </c>
      <c r="E2954">
        <v>259.57</v>
      </c>
      <c r="F2954" t="s">
        <v>1578</v>
      </c>
      <c r="G2954" t="s">
        <v>1302</v>
      </c>
    </row>
    <row r="2955" spans="1:7">
      <c r="A2955" t="s">
        <v>4558</v>
      </c>
      <c r="B2955" s="2">
        <v>45836</v>
      </c>
      <c r="C2955" t="s">
        <v>61</v>
      </c>
      <c r="D2955" t="s">
        <v>1629</v>
      </c>
      <c r="E2955">
        <v>377.4</v>
      </c>
      <c r="F2955" t="s">
        <v>1578</v>
      </c>
      <c r="G2955" t="s">
        <v>1303</v>
      </c>
    </row>
    <row r="2956" spans="1:7">
      <c r="A2956" t="s">
        <v>4559</v>
      </c>
      <c r="B2956" s="2">
        <v>45836</v>
      </c>
      <c r="C2956" t="s">
        <v>65</v>
      </c>
      <c r="D2956" t="s">
        <v>1629</v>
      </c>
      <c r="E2956">
        <v>375.55</v>
      </c>
      <c r="F2956" t="s">
        <v>1578</v>
      </c>
      <c r="G2956" t="s">
        <v>1303</v>
      </c>
    </row>
    <row r="2957" spans="1:7">
      <c r="A2957" t="s">
        <v>4560</v>
      </c>
      <c r="B2957" s="2">
        <v>45836</v>
      </c>
      <c r="C2957" t="s">
        <v>68</v>
      </c>
      <c r="D2957" t="s">
        <v>1629</v>
      </c>
      <c r="E2957">
        <v>377.4</v>
      </c>
      <c r="F2957" t="s">
        <v>1578</v>
      </c>
      <c r="G2957" t="s">
        <v>1303</v>
      </c>
    </row>
    <row r="2958" spans="1:7">
      <c r="A2958" t="s">
        <v>4561</v>
      </c>
      <c r="B2958" s="2">
        <v>45836</v>
      </c>
      <c r="C2958" t="s">
        <v>70</v>
      </c>
      <c r="D2958" t="s">
        <v>1629</v>
      </c>
      <c r="E2958">
        <v>373.7</v>
      </c>
      <c r="F2958" t="s">
        <v>1578</v>
      </c>
      <c r="G2958" t="s">
        <v>1303</v>
      </c>
    </row>
    <row r="2959" spans="1:7">
      <c r="A2959" t="s">
        <v>4562</v>
      </c>
      <c r="B2959" s="2">
        <v>45836</v>
      </c>
      <c r="C2959" t="s">
        <v>75</v>
      </c>
      <c r="D2959" t="s">
        <v>1629</v>
      </c>
      <c r="E2959">
        <v>373.7</v>
      </c>
      <c r="F2959" t="s">
        <v>1578</v>
      </c>
      <c r="G2959" t="s">
        <v>1303</v>
      </c>
    </row>
    <row r="2960" spans="1:7">
      <c r="A2960" t="s">
        <v>4563</v>
      </c>
      <c r="B2960" s="2">
        <v>45836</v>
      </c>
      <c r="C2960" t="s">
        <v>77</v>
      </c>
      <c r="D2960" t="s">
        <v>1629</v>
      </c>
      <c r="E2960">
        <v>373.7</v>
      </c>
      <c r="F2960" t="s">
        <v>1578</v>
      </c>
      <c r="G2960" t="s">
        <v>1303</v>
      </c>
    </row>
    <row r="2961" spans="1:7">
      <c r="A2961" t="s">
        <v>4564</v>
      </c>
      <c r="B2961" s="2">
        <v>45836</v>
      </c>
      <c r="C2961" t="s">
        <v>79</v>
      </c>
      <c r="D2961" t="s">
        <v>1629</v>
      </c>
      <c r="E2961">
        <v>377.4</v>
      </c>
      <c r="F2961" t="s">
        <v>1578</v>
      </c>
      <c r="G2961" t="s">
        <v>1303</v>
      </c>
    </row>
    <row r="2962" spans="1:7">
      <c r="A2962" t="s">
        <v>4565</v>
      </c>
      <c r="B2962" s="2">
        <v>45836</v>
      </c>
      <c r="C2962" t="s">
        <v>81</v>
      </c>
      <c r="D2962" t="s">
        <v>1629</v>
      </c>
      <c r="E2962">
        <v>747.4</v>
      </c>
      <c r="F2962" t="s">
        <v>1578</v>
      </c>
      <c r="G2962" t="s">
        <v>1303</v>
      </c>
    </row>
    <row r="2963" spans="1:7">
      <c r="A2963" t="s">
        <v>4566</v>
      </c>
      <c r="B2963" s="2">
        <v>45836</v>
      </c>
      <c r="C2963" t="s">
        <v>110</v>
      </c>
      <c r="D2963" t="s">
        <v>1629</v>
      </c>
      <c r="E2963">
        <v>377.4</v>
      </c>
      <c r="F2963" t="s">
        <v>1578</v>
      </c>
      <c r="G2963" t="s">
        <v>1303</v>
      </c>
    </row>
    <row r="2964" spans="1:7">
      <c r="A2964" t="s">
        <v>4567</v>
      </c>
      <c r="B2964" s="2">
        <v>45836</v>
      </c>
      <c r="C2964" t="s">
        <v>114</v>
      </c>
      <c r="D2964" t="s">
        <v>1629</v>
      </c>
      <c r="E2964">
        <v>373.7</v>
      </c>
      <c r="F2964" t="s">
        <v>1578</v>
      </c>
      <c r="G2964" t="s">
        <v>1303</v>
      </c>
    </row>
    <row r="2965" spans="1:7">
      <c r="A2965" t="s">
        <v>4568</v>
      </c>
      <c r="B2965" s="2">
        <v>45836</v>
      </c>
      <c r="C2965" t="s">
        <v>117</v>
      </c>
      <c r="D2965" t="s">
        <v>1629</v>
      </c>
      <c r="E2965">
        <v>371.85</v>
      </c>
      <c r="F2965" t="s">
        <v>1578</v>
      </c>
      <c r="G2965" t="s">
        <v>1303</v>
      </c>
    </row>
    <row r="2966" spans="1:7">
      <c r="A2966" t="s">
        <v>4569</v>
      </c>
      <c r="B2966" s="2">
        <v>45836</v>
      </c>
      <c r="C2966" t="s">
        <v>119</v>
      </c>
      <c r="D2966" t="s">
        <v>1629</v>
      </c>
      <c r="E2966">
        <v>373.7</v>
      </c>
      <c r="F2966" t="s">
        <v>1578</v>
      </c>
      <c r="G2966" t="s">
        <v>1303</v>
      </c>
    </row>
    <row r="2967" spans="1:7">
      <c r="A2967" t="s">
        <v>4570</v>
      </c>
      <c r="B2967" s="2">
        <v>45836</v>
      </c>
      <c r="C2967" t="s">
        <v>75</v>
      </c>
      <c r="D2967" t="s">
        <v>1629</v>
      </c>
      <c r="E2967">
        <v>267.64999999999998</v>
      </c>
      <c r="F2967" t="s">
        <v>1578</v>
      </c>
      <c r="G2967" t="s">
        <v>1304</v>
      </c>
    </row>
    <row r="2968" spans="1:7">
      <c r="A2968" t="s">
        <v>4571</v>
      </c>
      <c r="B2968" s="2">
        <v>45836</v>
      </c>
      <c r="C2968" t="s">
        <v>91</v>
      </c>
      <c r="D2968" t="s">
        <v>1629</v>
      </c>
      <c r="E2968">
        <v>271.62</v>
      </c>
      <c r="F2968" t="s">
        <v>1578</v>
      </c>
      <c r="G2968" t="s">
        <v>1304</v>
      </c>
    </row>
    <row r="2969" spans="1:7">
      <c r="A2969" t="s">
        <v>4572</v>
      </c>
      <c r="B2969" s="2">
        <v>45836</v>
      </c>
      <c r="C2969" t="s">
        <v>93</v>
      </c>
      <c r="D2969" t="s">
        <v>1629</v>
      </c>
      <c r="E2969">
        <v>270.3</v>
      </c>
      <c r="F2969" t="s">
        <v>1578</v>
      </c>
      <c r="G2969" t="s">
        <v>1304</v>
      </c>
    </row>
    <row r="2970" spans="1:7">
      <c r="A2970" t="s">
        <v>4573</v>
      </c>
      <c r="B2970" s="2">
        <v>45836</v>
      </c>
      <c r="C2970" t="s">
        <v>95</v>
      </c>
      <c r="D2970" t="s">
        <v>1629</v>
      </c>
      <c r="E2970">
        <v>268.97000000000003</v>
      </c>
      <c r="F2970" t="s">
        <v>1578</v>
      </c>
      <c r="G2970" t="s">
        <v>1304</v>
      </c>
    </row>
    <row r="2971" spans="1:7">
      <c r="A2971" t="s">
        <v>4574</v>
      </c>
      <c r="B2971" s="2">
        <v>45836</v>
      </c>
      <c r="C2971" t="s">
        <v>97</v>
      </c>
      <c r="D2971" t="s">
        <v>1629</v>
      </c>
      <c r="E2971">
        <v>267.64999999999998</v>
      </c>
      <c r="F2971" t="s">
        <v>1578</v>
      </c>
      <c r="G2971" t="s">
        <v>1304</v>
      </c>
    </row>
    <row r="2972" spans="1:7">
      <c r="A2972" t="s">
        <v>4575</v>
      </c>
      <c r="B2972" s="2">
        <v>45836</v>
      </c>
      <c r="C2972" t="s">
        <v>99</v>
      </c>
      <c r="D2972" t="s">
        <v>1629</v>
      </c>
      <c r="E2972">
        <v>136.47999999999999</v>
      </c>
      <c r="F2972" t="s">
        <v>1578</v>
      </c>
      <c r="G2972" t="s">
        <v>1304</v>
      </c>
    </row>
    <row r="2973" spans="1:7">
      <c r="A2973" t="s">
        <v>4576</v>
      </c>
      <c r="B2973" s="2">
        <v>45836</v>
      </c>
      <c r="C2973" t="s">
        <v>102</v>
      </c>
      <c r="D2973" t="s">
        <v>1629</v>
      </c>
      <c r="E2973">
        <v>270.3</v>
      </c>
      <c r="F2973" t="s">
        <v>1578</v>
      </c>
      <c r="G2973" t="s">
        <v>1304</v>
      </c>
    </row>
    <row r="2974" spans="1:7">
      <c r="A2974" t="s">
        <v>4577</v>
      </c>
      <c r="B2974" s="2">
        <v>45836</v>
      </c>
      <c r="C2974" t="s">
        <v>108</v>
      </c>
      <c r="D2974" t="s">
        <v>1629</v>
      </c>
      <c r="E2974">
        <v>537.95000000000005</v>
      </c>
      <c r="F2974" t="s">
        <v>1578</v>
      </c>
      <c r="G2974" t="s">
        <v>1304</v>
      </c>
    </row>
    <row r="2975" spans="1:7">
      <c r="A2975" t="s">
        <v>4578</v>
      </c>
      <c r="B2975" s="2">
        <v>45836</v>
      </c>
      <c r="C2975" t="s">
        <v>110</v>
      </c>
      <c r="D2975" t="s">
        <v>1629</v>
      </c>
      <c r="E2975">
        <v>270.3</v>
      </c>
      <c r="F2975" t="s">
        <v>1578</v>
      </c>
      <c r="G2975" t="s">
        <v>1304</v>
      </c>
    </row>
    <row r="2976" spans="1:7">
      <c r="A2976" t="s">
        <v>4579</v>
      </c>
      <c r="B2976" s="2">
        <v>45836</v>
      </c>
      <c r="C2976" t="s">
        <v>114</v>
      </c>
      <c r="D2976" t="s">
        <v>1629</v>
      </c>
      <c r="E2976">
        <v>267.64999999999998</v>
      </c>
      <c r="F2976" t="s">
        <v>1578</v>
      </c>
      <c r="G2976" t="s">
        <v>1304</v>
      </c>
    </row>
    <row r="2977" spans="1:7">
      <c r="A2977" t="s">
        <v>4580</v>
      </c>
      <c r="B2977" s="2">
        <v>45836</v>
      </c>
      <c r="C2977" t="s">
        <v>117</v>
      </c>
      <c r="D2977" t="s">
        <v>1629</v>
      </c>
      <c r="E2977">
        <v>266.32</v>
      </c>
      <c r="F2977" t="s">
        <v>1578</v>
      </c>
      <c r="G2977" t="s">
        <v>1304</v>
      </c>
    </row>
    <row r="2978" spans="1:7">
      <c r="A2978" t="s">
        <v>4581</v>
      </c>
      <c r="B2978" s="2">
        <v>45836</v>
      </c>
      <c r="C2978" t="s">
        <v>119</v>
      </c>
      <c r="D2978" t="s">
        <v>1629</v>
      </c>
      <c r="E2978">
        <v>267.64999999999998</v>
      </c>
      <c r="F2978" t="s">
        <v>1578</v>
      </c>
      <c r="G2978" t="s">
        <v>1304</v>
      </c>
    </row>
    <row r="2979" spans="1:7">
      <c r="A2979" t="s">
        <v>4582</v>
      </c>
      <c r="B2979" s="2">
        <v>45836</v>
      </c>
      <c r="C2979" t="s">
        <v>75</v>
      </c>
      <c r="D2979" t="s">
        <v>1683</v>
      </c>
      <c r="E2979">
        <v>66</v>
      </c>
      <c r="F2979" t="s">
        <v>1578</v>
      </c>
      <c r="G2979" t="s">
        <v>686</v>
      </c>
    </row>
    <row r="2980" spans="1:7">
      <c r="A2980" t="s">
        <v>4583</v>
      </c>
      <c r="B2980" s="2">
        <v>45836</v>
      </c>
      <c r="C2980" t="s">
        <v>102</v>
      </c>
      <c r="D2980" t="s">
        <v>1683</v>
      </c>
      <c r="E2980">
        <v>142</v>
      </c>
      <c r="F2980" t="s">
        <v>1578</v>
      </c>
      <c r="G2980" t="s">
        <v>688</v>
      </c>
    </row>
    <row r="2981" spans="1:7">
      <c r="A2981" t="s">
        <v>4584</v>
      </c>
      <c r="B2981" s="2">
        <v>45837</v>
      </c>
      <c r="C2981" t="s">
        <v>61</v>
      </c>
      <c r="D2981" t="s">
        <v>1629</v>
      </c>
      <c r="E2981">
        <v>369.24</v>
      </c>
      <c r="F2981" t="s">
        <v>1578</v>
      </c>
      <c r="G2981" t="s">
        <v>1305</v>
      </c>
    </row>
    <row r="2982" spans="1:7">
      <c r="A2982" t="s">
        <v>4585</v>
      </c>
      <c r="B2982" s="2">
        <v>45837</v>
      </c>
      <c r="C2982" t="s">
        <v>65</v>
      </c>
      <c r="D2982" t="s">
        <v>1629</v>
      </c>
      <c r="E2982">
        <v>367.43</v>
      </c>
      <c r="F2982" t="s">
        <v>1578</v>
      </c>
      <c r="G2982" t="s">
        <v>1305</v>
      </c>
    </row>
    <row r="2983" spans="1:7">
      <c r="A2983" t="s">
        <v>4586</v>
      </c>
      <c r="B2983" s="2">
        <v>45837</v>
      </c>
      <c r="C2983" t="s">
        <v>68</v>
      </c>
      <c r="D2983" t="s">
        <v>1629</v>
      </c>
      <c r="E2983">
        <v>369.24</v>
      </c>
      <c r="F2983" t="s">
        <v>1578</v>
      </c>
      <c r="G2983" t="s">
        <v>1305</v>
      </c>
    </row>
    <row r="2984" spans="1:7">
      <c r="A2984" t="s">
        <v>4587</v>
      </c>
      <c r="B2984" s="2">
        <v>45837</v>
      </c>
      <c r="C2984" t="s">
        <v>70</v>
      </c>
      <c r="D2984" t="s">
        <v>1629</v>
      </c>
      <c r="E2984">
        <v>365.62</v>
      </c>
      <c r="F2984" t="s">
        <v>1578</v>
      </c>
      <c r="G2984" t="s">
        <v>1305</v>
      </c>
    </row>
    <row r="2985" spans="1:7">
      <c r="A2985" t="s">
        <v>4588</v>
      </c>
      <c r="B2985" s="2">
        <v>45837</v>
      </c>
      <c r="C2985" t="s">
        <v>75</v>
      </c>
      <c r="D2985" t="s">
        <v>1629</v>
      </c>
      <c r="E2985">
        <v>365.62</v>
      </c>
      <c r="F2985" t="s">
        <v>1578</v>
      </c>
      <c r="G2985" t="s">
        <v>1305</v>
      </c>
    </row>
    <row r="2986" spans="1:7">
      <c r="A2986" t="s">
        <v>4589</v>
      </c>
      <c r="B2986" s="2">
        <v>45837</v>
      </c>
      <c r="C2986" t="s">
        <v>77</v>
      </c>
      <c r="D2986" t="s">
        <v>1629</v>
      </c>
      <c r="E2986">
        <v>365.62</v>
      </c>
      <c r="F2986" t="s">
        <v>1578</v>
      </c>
      <c r="G2986" t="s">
        <v>1305</v>
      </c>
    </row>
    <row r="2987" spans="1:7">
      <c r="A2987" t="s">
        <v>4590</v>
      </c>
      <c r="B2987" s="2">
        <v>45837</v>
      </c>
      <c r="C2987" t="s">
        <v>79</v>
      </c>
      <c r="D2987" t="s">
        <v>1629</v>
      </c>
      <c r="E2987">
        <v>369.24</v>
      </c>
      <c r="F2987" t="s">
        <v>1578</v>
      </c>
      <c r="G2987" t="s">
        <v>1305</v>
      </c>
    </row>
    <row r="2988" spans="1:7">
      <c r="A2988" t="s">
        <v>4591</v>
      </c>
      <c r="B2988" s="2">
        <v>45837</v>
      </c>
      <c r="C2988" t="s">
        <v>81</v>
      </c>
      <c r="D2988" t="s">
        <v>1629</v>
      </c>
      <c r="E2988">
        <v>731.24</v>
      </c>
      <c r="F2988" t="s">
        <v>1578</v>
      </c>
      <c r="G2988" t="s">
        <v>1305</v>
      </c>
    </row>
    <row r="2989" spans="1:7">
      <c r="A2989" t="s">
        <v>4592</v>
      </c>
      <c r="B2989" s="2">
        <v>45837</v>
      </c>
      <c r="C2989" t="s">
        <v>110</v>
      </c>
      <c r="D2989" t="s">
        <v>1629</v>
      </c>
      <c r="E2989">
        <v>369.24</v>
      </c>
      <c r="F2989" t="s">
        <v>1578</v>
      </c>
      <c r="G2989" t="s">
        <v>1305</v>
      </c>
    </row>
    <row r="2990" spans="1:7">
      <c r="A2990" t="s">
        <v>4593</v>
      </c>
      <c r="B2990" s="2">
        <v>45837</v>
      </c>
      <c r="C2990" t="s">
        <v>114</v>
      </c>
      <c r="D2990" t="s">
        <v>1629</v>
      </c>
      <c r="E2990">
        <v>365.62</v>
      </c>
      <c r="F2990" t="s">
        <v>1578</v>
      </c>
      <c r="G2990" t="s">
        <v>1305</v>
      </c>
    </row>
    <row r="2991" spans="1:7">
      <c r="A2991" t="s">
        <v>4594</v>
      </c>
      <c r="B2991" s="2">
        <v>45837</v>
      </c>
      <c r="C2991" t="s">
        <v>117</v>
      </c>
      <c r="D2991" t="s">
        <v>1629</v>
      </c>
      <c r="E2991">
        <v>363.81</v>
      </c>
      <c r="F2991" t="s">
        <v>1578</v>
      </c>
      <c r="G2991" t="s">
        <v>1305</v>
      </c>
    </row>
    <row r="2992" spans="1:7">
      <c r="A2992" t="s">
        <v>4595</v>
      </c>
      <c r="B2992" s="2">
        <v>45837</v>
      </c>
      <c r="C2992" t="s">
        <v>119</v>
      </c>
      <c r="D2992" t="s">
        <v>1629</v>
      </c>
      <c r="E2992">
        <v>365.62</v>
      </c>
      <c r="F2992" t="s">
        <v>1578</v>
      </c>
      <c r="G2992" t="s">
        <v>1305</v>
      </c>
    </row>
    <row r="2993" spans="1:7">
      <c r="A2993" t="s">
        <v>4596</v>
      </c>
      <c r="B2993" s="2">
        <v>45837</v>
      </c>
      <c r="C2993" t="s">
        <v>75</v>
      </c>
      <c r="D2993" t="s">
        <v>1629</v>
      </c>
      <c r="E2993">
        <v>110.09</v>
      </c>
      <c r="F2993" t="s">
        <v>1578</v>
      </c>
      <c r="G2993" t="s">
        <v>1306</v>
      </c>
    </row>
    <row r="2994" spans="1:7">
      <c r="A2994" t="s">
        <v>4597</v>
      </c>
      <c r="B2994" s="2">
        <v>45837</v>
      </c>
      <c r="C2994" t="s">
        <v>104</v>
      </c>
      <c r="D2994" t="s">
        <v>1629</v>
      </c>
      <c r="E2994">
        <v>224.54</v>
      </c>
      <c r="F2994" t="s">
        <v>1578</v>
      </c>
      <c r="G2994" t="s">
        <v>1306</v>
      </c>
    </row>
    <row r="2995" spans="1:7">
      <c r="A2995" t="s">
        <v>4598</v>
      </c>
      <c r="B2995" s="2">
        <v>45837</v>
      </c>
      <c r="C2995" t="s">
        <v>108</v>
      </c>
      <c r="D2995" t="s">
        <v>1629</v>
      </c>
      <c r="E2995">
        <v>221.27</v>
      </c>
      <c r="F2995" t="s">
        <v>1578</v>
      </c>
      <c r="G2995" t="s">
        <v>1306</v>
      </c>
    </row>
    <row r="2996" spans="1:7">
      <c r="A2996" t="s">
        <v>4599</v>
      </c>
      <c r="B2996" s="2">
        <v>45837</v>
      </c>
      <c r="C2996" t="s">
        <v>110</v>
      </c>
      <c r="D2996" t="s">
        <v>1629</v>
      </c>
      <c r="E2996">
        <v>111.18</v>
      </c>
      <c r="F2996" t="s">
        <v>1578</v>
      </c>
      <c r="G2996" t="s">
        <v>1306</v>
      </c>
    </row>
    <row r="2997" spans="1:7">
      <c r="A2997" t="s">
        <v>4600</v>
      </c>
      <c r="B2997" s="2">
        <v>45837</v>
      </c>
      <c r="C2997" t="s">
        <v>114</v>
      </c>
      <c r="D2997" t="s">
        <v>1629</v>
      </c>
      <c r="E2997">
        <v>110.09</v>
      </c>
      <c r="F2997" t="s">
        <v>1578</v>
      </c>
      <c r="G2997" t="s">
        <v>1306</v>
      </c>
    </row>
    <row r="2998" spans="1:7">
      <c r="A2998" t="s">
        <v>4601</v>
      </c>
      <c r="B2998" s="2">
        <v>45837</v>
      </c>
      <c r="C2998" t="s">
        <v>117</v>
      </c>
      <c r="D2998" t="s">
        <v>1629</v>
      </c>
      <c r="E2998">
        <v>109.54</v>
      </c>
      <c r="F2998" t="s">
        <v>1578</v>
      </c>
      <c r="G2998" t="s">
        <v>1306</v>
      </c>
    </row>
    <row r="2999" spans="1:7">
      <c r="A2999" t="s">
        <v>4602</v>
      </c>
      <c r="B2999" s="2">
        <v>45837</v>
      </c>
      <c r="C2999" t="s">
        <v>119</v>
      </c>
      <c r="D2999" t="s">
        <v>1629</v>
      </c>
      <c r="E2999">
        <v>110.09</v>
      </c>
      <c r="F2999" t="s">
        <v>1578</v>
      </c>
      <c r="G2999" t="s">
        <v>1306</v>
      </c>
    </row>
    <row r="3000" spans="1:7">
      <c r="A3000" t="s">
        <v>4603</v>
      </c>
      <c r="B3000" s="2">
        <v>45837</v>
      </c>
      <c r="C3000" t="s">
        <v>84</v>
      </c>
      <c r="D3000" t="s">
        <v>1683</v>
      </c>
      <c r="E3000">
        <v>349</v>
      </c>
      <c r="F3000" t="s">
        <v>1578</v>
      </c>
      <c r="G3000" t="s">
        <v>689</v>
      </c>
    </row>
    <row r="3001" spans="1:7">
      <c r="A3001" t="s">
        <v>4604</v>
      </c>
      <c r="B3001" s="2">
        <v>45837</v>
      </c>
      <c r="C3001" t="s">
        <v>70</v>
      </c>
      <c r="D3001" t="s">
        <v>1683</v>
      </c>
      <c r="E3001">
        <v>220</v>
      </c>
      <c r="F3001" t="s">
        <v>1578</v>
      </c>
      <c r="G3001" t="s">
        <v>690</v>
      </c>
    </row>
    <row r="3002" spans="1:7">
      <c r="A3002" t="s">
        <v>4605</v>
      </c>
      <c r="B3002" s="2">
        <v>45837</v>
      </c>
      <c r="C3002" t="s">
        <v>84</v>
      </c>
      <c r="D3002" t="s">
        <v>1683</v>
      </c>
      <c r="E3002">
        <v>259</v>
      </c>
      <c r="F3002" t="s">
        <v>1578</v>
      </c>
      <c r="G3002" t="s">
        <v>691</v>
      </c>
    </row>
    <row r="3003" spans="1:7">
      <c r="A3003" t="s">
        <v>4606</v>
      </c>
      <c r="B3003" s="2">
        <v>45837</v>
      </c>
      <c r="C3003" t="s">
        <v>68</v>
      </c>
      <c r="D3003" t="s">
        <v>1683</v>
      </c>
      <c r="E3003">
        <v>307</v>
      </c>
      <c r="F3003" t="s">
        <v>1578</v>
      </c>
      <c r="G3003" t="s">
        <v>692</v>
      </c>
    </row>
    <row r="3004" spans="1:7">
      <c r="A3004" t="s">
        <v>4607</v>
      </c>
      <c r="B3004" s="2">
        <v>45838</v>
      </c>
      <c r="C3004" t="s">
        <v>75</v>
      </c>
      <c r="D3004" t="s">
        <v>1629</v>
      </c>
      <c r="E3004">
        <v>462.58</v>
      </c>
      <c r="F3004" t="s">
        <v>1578</v>
      </c>
      <c r="G3004" t="s">
        <v>1307</v>
      </c>
    </row>
    <row r="3005" spans="1:7">
      <c r="A3005" t="s">
        <v>4608</v>
      </c>
      <c r="B3005" s="2">
        <v>45838</v>
      </c>
      <c r="C3005" t="s">
        <v>106</v>
      </c>
      <c r="D3005" t="s">
        <v>1629</v>
      </c>
      <c r="E3005">
        <v>471.74</v>
      </c>
      <c r="F3005" t="s">
        <v>1578</v>
      </c>
      <c r="G3005" t="s">
        <v>1307</v>
      </c>
    </row>
    <row r="3006" spans="1:7">
      <c r="A3006" t="s">
        <v>4609</v>
      </c>
      <c r="B3006" s="2">
        <v>45838</v>
      </c>
      <c r="C3006" t="s">
        <v>108</v>
      </c>
      <c r="D3006" t="s">
        <v>1629</v>
      </c>
      <c r="E3006">
        <v>929.74</v>
      </c>
      <c r="F3006" t="s">
        <v>1578</v>
      </c>
      <c r="G3006" t="s">
        <v>1307</v>
      </c>
    </row>
    <row r="3007" spans="1:7">
      <c r="A3007" t="s">
        <v>4610</v>
      </c>
      <c r="B3007" s="2">
        <v>45838</v>
      </c>
      <c r="C3007" t="s">
        <v>110</v>
      </c>
      <c r="D3007" t="s">
        <v>1629</v>
      </c>
      <c r="E3007">
        <v>467.16</v>
      </c>
      <c r="F3007" t="s">
        <v>1578</v>
      </c>
      <c r="G3007" t="s">
        <v>1307</v>
      </c>
    </row>
    <row r="3008" spans="1:7">
      <c r="A3008" t="s">
        <v>4611</v>
      </c>
      <c r="B3008" s="2">
        <v>45838</v>
      </c>
      <c r="C3008" t="s">
        <v>114</v>
      </c>
      <c r="D3008" t="s">
        <v>1629</v>
      </c>
      <c r="E3008">
        <v>462.58</v>
      </c>
      <c r="F3008" t="s">
        <v>1578</v>
      </c>
      <c r="G3008" t="s">
        <v>1307</v>
      </c>
    </row>
    <row r="3009" spans="1:7">
      <c r="A3009" t="s">
        <v>4612</v>
      </c>
      <c r="B3009" s="2">
        <v>45838</v>
      </c>
      <c r="C3009" t="s">
        <v>117</v>
      </c>
      <c r="D3009" t="s">
        <v>1629</v>
      </c>
      <c r="E3009">
        <v>460.29</v>
      </c>
      <c r="F3009" t="s">
        <v>1578</v>
      </c>
      <c r="G3009" t="s">
        <v>1307</v>
      </c>
    </row>
    <row r="3010" spans="1:7">
      <c r="A3010" t="s">
        <v>4613</v>
      </c>
      <c r="B3010" s="2">
        <v>45838</v>
      </c>
      <c r="C3010" t="s">
        <v>119</v>
      </c>
      <c r="D3010" t="s">
        <v>1629</v>
      </c>
      <c r="E3010">
        <v>462.58</v>
      </c>
      <c r="F3010" t="s">
        <v>1578</v>
      </c>
      <c r="G3010" t="s">
        <v>1307</v>
      </c>
    </row>
    <row r="3011" spans="1:7">
      <c r="A3011" t="s">
        <v>4614</v>
      </c>
      <c r="B3011" s="2">
        <v>45838</v>
      </c>
      <c r="C3011" t="s">
        <v>119</v>
      </c>
      <c r="D3011" t="s">
        <v>1683</v>
      </c>
      <c r="E3011">
        <v>662</v>
      </c>
      <c r="F3011" t="s">
        <v>1578</v>
      </c>
      <c r="G3011" t="s">
        <v>693</v>
      </c>
    </row>
    <row r="3012" spans="1:7">
      <c r="A3012" t="s">
        <v>4615</v>
      </c>
      <c r="B3012" s="2">
        <v>45838</v>
      </c>
      <c r="C3012" t="s">
        <v>87</v>
      </c>
      <c r="D3012" t="s">
        <v>1683</v>
      </c>
      <c r="E3012">
        <v>1178</v>
      </c>
      <c r="F3012" t="s">
        <v>1578</v>
      </c>
      <c r="G3012" t="s">
        <v>694</v>
      </c>
    </row>
    <row r="3013" spans="1:7">
      <c r="A3013" t="s">
        <v>4616</v>
      </c>
      <c r="B3013" s="2">
        <v>45839</v>
      </c>
      <c r="C3013" t="s">
        <v>61</v>
      </c>
      <c r="D3013" t="s">
        <v>1629</v>
      </c>
      <c r="E3013">
        <v>419.22</v>
      </c>
      <c r="F3013" t="s">
        <v>1578</v>
      </c>
      <c r="G3013" t="s">
        <v>1308</v>
      </c>
    </row>
    <row r="3014" spans="1:7">
      <c r="A3014" t="s">
        <v>4617</v>
      </c>
      <c r="B3014" s="2">
        <v>45839</v>
      </c>
      <c r="C3014" t="s">
        <v>65</v>
      </c>
      <c r="D3014" t="s">
        <v>1629</v>
      </c>
      <c r="E3014">
        <v>417.16</v>
      </c>
      <c r="F3014" t="s">
        <v>1578</v>
      </c>
      <c r="G3014" t="s">
        <v>1308</v>
      </c>
    </row>
    <row r="3015" spans="1:7">
      <c r="A3015" t="s">
        <v>4618</v>
      </c>
      <c r="B3015" s="2">
        <v>45839</v>
      </c>
      <c r="C3015" t="s">
        <v>75</v>
      </c>
      <c r="D3015" t="s">
        <v>1629</v>
      </c>
      <c r="E3015">
        <v>415.11</v>
      </c>
      <c r="F3015" t="s">
        <v>1578</v>
      </c>
      <c r="G3015" t="s">
        <v>1308</v>
      </c>
    </row>
    <row r="3016" spans="1:7">
      <c r="A3016" t="s">
        <v>4619</v>
      </c>
      <c r="B3016" s="2">
        <v>45839</v>
      </c>
      <c r="C3016" t="s">
        <v>79</v>
      </c>
      <c r="D3016" t="s">
        <v>1629</v>
      </c>
      <c r="E3016">
        <v>419.22</v>
      </c>
      <c r="F3016" t="s">
        <v>1578</v>
      </c>
      <c r="G3016" t="s">
        <v>1308</v>
      </c>
    </row>
    <row r="3017" spans="1:7">
      <c r="A3017" t="s">
        <v>4620</v>
      </c>
      <c r="B3017" s="2">
        <v>45839</v>
      </c>
      <c r="C3017" t="s">
        <v>81</v>
      </c>
      <c r="D3017" t="s">
        <v>1629</v>
      </c>
      <c r="E3017">
        <v>830.22</v>
      </c>
      <c r="F3017" t="s">
        <v>1578</v>
      </c>
      <c r="G3017" t="s">
        <v>1308</v>
      </c>
    </row>
    <row r="3018" spans="1:7">
      <c r="A3018" t="s">
        <v>4621</v>
      </c>
      <c r="B3018" s="2">
        <v>45839</v>
      </c>
      <c r="C3018" t="s">
        <v>84</v>
      </c>
      <c r="D3018" t="s">
        <v>1629</v>
      </c>
      <c r="E3018">
        <v>148.16999999999999</v>
      </c>
      <c r="F3018" t="s">
        <v>1578</v>
      </c>
      <c r="G3018" t="s">
        <v>1308</v>
      </c>
    </row>
    <row r="3019" spans="1:7">
      <c r="A3019" t="s">
        <v>4622</v>
      </c>
      <c r="B3019" s="2">
        <v>45839</v>
      </c>
      <c r="C3019" t="s">
        <v>89</v>
      </c>
      <c r="D3019" t="s">
        <v>1629</v>
      </c>
      <c r="E3019">
        <v>631.91</v>
      </c>
      <c r="F3019" t="s">
        <v>1578</v>
      </c>
      <c r="G3019" t="s">
        <v>1308</v>
      </c>
    </row>
    <row r="3020" spans="1:7">
      <c r="A3020" t="s">
        <v>4623</v>
      </c>
      <c r="B3020" s="2">
        <v>45839</v>
      </c>
      <c r="C3020" t="s">
        <v>110</v>
      </c>
      <c r="D3020" t="s">
        <v>1629</v>
      </c>
      <c r="E3020">
        <v>419.22</v>
      </c>
      <c r="F3020" t="s">
        <v>1578</v>
      </c>
      <c r="G3020" t="s">
        <v>1308</v>
      </c>
    </row>
    <row r="3021" spans="1:7">
      <c r="A3021" t="s">
        <v>4624</v>
      </c>
      <c r="B3021" s="2">
        <v>45839</v>
      </c>
      <c r="C3021" t="s">
        <v>114</v>
      </c>
      <c r="D3021" t="s">
        <v>1629</v>
      </c>
      <c r="E3021">
        <v>415.11</v>
      </c>
      <c r="F3021" t="s">
        <v>1578</v>
      </c>
      <c r="G3021" t="s">
        <v>1308</v>
      </c>
    </row>
    <row r="3022" spans="1:7">
      <c r="A3022" t="s">
        <v>4625</v>
      </c>
      <c r="B3022" s="2">
        <v>45839</v>
      </c>
      <c r="C3022" t="s">
        <v>117</v>
      </c>
      <c r="D3022" t="s">
        <v>1629</v>
      </c>
      <c r="E3022">
        <v>413.05</v>
      </c>
      <c r="F3022" t="s">
        <v>1578</v>
      </c>
      <c r="G3022" t="s">
        <v>1308</v>
      </c>
    </row>
    <row r="3023" spans="1:7">
      <c r="A3023" t="s">
        <v>4626</v>
      </c>
      <c r="B3023" s="2">
        <v>45839</v>
      </c>
      <c r="C3023" t="s">
        <v>119</v>
      </c>
      <c r="D3023" t="s">
        <v>1629</v>
      </c>
      <c r="E3023">
        <v>415.11</v>
      </c>
      <c r="F3023" t="s">
        <v>1578</v>
      </c>
      <c r="G3023" t="s">
        <v>1308</v>
      </c>
    </row>
    <row r="3024" spans="1:7">
      <c r="A3024" t="s">
        <v>4627</v>
      </c>
      <c r="B3024" s="2">
        <v>45839</v>
      </c>
      <c r="C3024" t="s">
        <v>108</v>
      </c>
      <c r="D3024" t="s">
        <v>1683</v>
      </c>
      <c r="E3024">
        <v>193</v>
      </c>
      <c r="F3024" t="s">
        <v>1578</v>
      </c>
      <c r="G3024" t="s">
        <v>695</v>
      </c>
    </row>
    <row r="3025" spans="1:7">
      <c r="A3025" t="s">
        <v>4628</v>
      </c>
      <c r="B3025" s="2">
        <v>45839</v>
      </c>
      <c r="C3025" t="s">
        <v>119</v>
      </c>
      <c r="D3025" t="s">
        <v>1683</v>
      </c>
      <c r="E3025">
        <v>282</v>
      </c>
      <c r="F3025" t="s">
        <v>1578</v>
      </c>
      <c r="G3025" t="s">
        <v>696</v>
      </c>
    </row>
    <row r="3026" spans="1:7">
      <c r="A3026" t="s">
        <v>4629</v>
      </c>
      <c r="B3026" s="2">
        <v>45839</v>
      </c>
      <c r="C3026" t="s">
        <v>87</v>
      </c>
      <c r="D3026" t="s">
        <v>1683</v>
      </c>
      <c r="E3026">
        <v>235</v>
      </c>
      <c r="F3026" t="s">
        <v>1578</v>
      </c>
      <c r="G3026" t="s">
        <v>697</v>
      </c>
    </row>
    <row r="3027" spans="1:7">
      <c r="A3027" t="s">
        <v>4630</v>
      </c>
      <c r="B3027" s="2">
        <v>45840</v>
      </c>
      <c r="C3027" t="s">
        <v>75</v>
      </c>
      <c r="D3027" t="s">
        <v>1629</v>
      </c>
      <c r="E3027">
        <v>188.87</v>
      </c>
      <c r="F3027" t="s">
        <v>1578</v>
      </c>
      <c r="G3027" t="s">
        <v>1309</v>
      </c>
    </row>
    <row r="3028" spans="1:7">
      <c r="A3028" t="s">
        <v>4631</v>
      </c>
      <c r="B3028" s="2">
        <v>45840</v>
      </c>
      <c r="C3028" t="s">
        <v>106</v>
      </c>
      <c r="D3028" t="s">
        <v>1629</v>
      </c>
      <c r="E3028">
        <v>192.61</v>
      </c>
      <c r="F3028" t="s">
        <v>1578</v>
      </c>
      <c r="G3028" t="s">
        <v>1309</v>
      </c>
    </row>
    <row r="3029" spans="1:7">
      <c r="A3029" t="s">
        <v>4632</v>
      </c>
      <c r="B3029" s="2">
        <v>45840</v>
      </c>
      <c r="C3029" t="s">
        <v>108</v>
      </c>
      <c r="D3029" t="s">
        <v>1629</v>
      </c>
      <c r="E3029">
        <v>379.61</v>
      </c>
      <c r="F3029" t="s">
        <v>1578</v>
      </c>
      <c r="G3029" t="s">
        <v>1309</v>
      </c>
    </row>
    <row r="3030" spans="1:7">
      <c r="A3030" t="s">
        <v>4633</v>
      </c>
      <c r="B3030" s="2">
        <v>45840</v>
      </c>
      <c r="C3030" t="s">
        <v>110</v>
      </c>
      <c r="D3030" t="s">
        <v>1629</v>
      </c>
      <c r="E3030">
        <v>190.74</v>
      </c>
      <c r="F3030" t="s">
        <v>1578</v>
      </c>
      <c r="G3030" t="s">
        <v>1309</v>
      </c>
    </row>
    <row r="3031" spans="1:7">
      <c r="A3031" t="s">
        <v>4634</v>
      </c>
      <c r="B3031" s="2">
        <v>45840</v>
      </c>
      <c r="C3031" t="s">
        <v>114</v>
      </c>
      <c r="D3031" t="s">
        <v>1629</v>
      </c>
      <c r="E3031">
        <v>188.87</v>
      </c>
      <c r="F3031" t="s">
        <v>1578</v>
      </c>
      <c r="G3031" t="s">
        <v>1309</v>
      </c>
    </row>
    <row r="3032" spans="1:7">
      <c r="A3032" t="s">
        <v>4635</v>
      </c>
      <c r="B3032" s="2">
        <v>45840</v>
      </c>
      <c r="C3032" t="s">
        <v>117</v>
      </c>
      <c r="D3032" t="s">
        <v>1629</v>
      </c>
      <c r="E3032">
        <v>187.93</v>
      </c>
      <c r="F3032" t="s">
        <v>1578</v>
      </c>
      <c r="G3032" t="s">
        <v>1309</v>
      </c>
    </row>
    <row r="3033" spans="1:7">
      <c r="A3033" t="s">
        <v>4636</v>
      </c>
      <c r="B3033" s="2">
        <v>45840</v>
      </c>
      <c r="C3033" t="s">
        <v>119</v>
      </c>
      <c r="D3033" t="s">
        <v>1629</v>
      </c>
      <c r="E3033">
        <v>188.87</v>
      </c>
      <c r="F3033" t="s">
        <v>1578</v>
      </c>
      <c r="G3033" t="s">
        <v>1309</v>
      </c>
    </row>
    <row r="3034" spans="1:7">
      <c r="A3034" t="s">
        <v>4637</v>
      </c>
      <c r="B3034" s="2">
        <v>45840</v>
      </c>
      <c r="C3034" t="s">
        <v>108</v>
      </c>
      <c r="D3034" t="s">
        <v>1683</v>
      </c>
      <c r="E3034">
        <v>126</v>
      </c>
      <c r="F3034" t="s">
        <v>1578</v>
      </c>
      <c r="G3034" t="s">
        <v>698</v>
      </c>
    </row>
    <row r="3035" spans="1:7">
      <c r="A3035" t="s">
        <v>4638</v>
      </c>
      <c r="B3035" s="2">
        <v>45840</v>
      </c>
      <c r="C3035" t="s">
        <v>102</v>
      </c>
      <c r="D3035" t="s">
        <v>1683</v>
      </c>
      <c r="E3035">
        <v>313</v>
      </c>
      <c r="F3035" t="s">
        <v>1578</v>
      </c>
      <c r="G3035" t="s">
        <v>699</v>
      </c>
    </row>
    <row r="3036" spans="1:7">
      <c r="A3036" t="s">
        <v>4639</v>
      </c>
      <c r="B3036" s="2">
        <v>45840</v>
      </c>
      <c r="C3036" t="s">
        <v>91</v>
      </c>
      <c r="D3036" t="s">
        <v>1683</v>
      </c>
      <c r="E3036">
        <v>160</v>
      </c>
      <c r="F3036" t="s">
        <v>1578</v>
      </c>
      <c r="G3036" t="s">
        <v>700</v>
      </c>
    </row>
    <row r="3037" spans="1:7">
      <c r="A3037" t="s">
        <v>4640</v>
      </c>
      <c r="B3037" s="2">
        <v>45840</v>
      </c>
      <c r="C3037" t="s">
        <v>65</v>
      </c>
      <c r="D3037" t="s">
        <v>1683</v>
      </c>
      <c r="E3037">
        <v>164</v>
      </c>
      <c r="F3037" t="s">
        <v>1578</v>
      </c>
      <c r="G3037" t="s">
        <v>701</v>
      </c>
    </row>
    <row r="3038" spans="1:7">
      <c r="A3038" t="s">
        <v>4641</v>
      </c>
      <c r="B3038" s="2">
        <v>45841</v>
      </c>
      <c r="C3038" t="s">
        <v>61</v>
      </c>
      <c r="D3038" t="s">
        <v>1629</v>
      </c>
      <c r="E3038">
        <v>87.72</v>
      </c>
      <c r="F3038" t="s">
        <v>1578</v>
      </c>
      <c r="G3038" t="s">
        <v>1310</v>
      </c>
    </row>
    <row r="3039" spans="1:7">
      <c r="A3039" t="s">
        <v>4642</v>
      </c>
      <c r="B3039" s="2">
        <v>45841</v>
      </c>
      <c r="C3039" t="s">
        <v>65</v>
      </c>
      <c r="D3039" t="s">
        <v>1629</v>
      </c>
      <c r="E3039">
        <v>87.29</v>
      </c>
      <c r="F3039" t="s">
        <v>1578</v>
      </c>
      <c r="G3039" t="s">
        <v>1310</v>
      </c>
    </row>
    <row r="3040" spans="1:7">
      <c r="A3040" t="s">
        <v>4643</v>
      </c>
      <c r="B3040" s="2">
        <v>45841</v>
      </c>
      <c r="C3040" t="s">
        <v>68</v>
      </c>
      <c r="D3040" t="s">
        <v>1629</v>
      </c>
      <c r="E3040">
        <v>87.72</v>
      </c>
      <c r="F3040" t="s">
        <v>1578</v>
      </c>
      <c r="G3040" t="s">
        <v>1310</v>
      </c>
    </row>
    <row r="3041" spans="1:7">
      <c r="A3041" t="s">
        <v>4644</v>
      </c>
      <c r="B3041" s="2">
        <v>45841</v>
      </c>
      <c r="C3041" t="s">
        <v>70</v>
      </c>
      <c r="D3041" t="s">
        <v>1629</v>
      </c>
      <c r="E3041">
        <v>86.86</v>
      </c>
      <c r="F3041" t="s">
        <v>1578</v>
      </c>
      <c r="G3041" t="s">
        <v>1310</v>
      </c>
    </row>
    <row r="3042" spans="1:7">
      <c r="A3042" t="s">
        <v>4645</v>
      </c>
      <c r="B3042" s="2">
        <v>45841</v>
      </c>
      <c r="C3042" t="s">
        <v>75</v>
      </c>
      <c r="D3042" t="s">
        <v>1629</v>
      </c>
      <c r="E3042">
        <v>86.86</v>
      </c>
      <c r="F3042" t="s">
        <v>1578</v>
      </c>
      <c r="G3042" t="s">
        <v>1310</v>
      </c>
    </row>
    <row r="3043" spans="1:7">
      <c r="A3043" t="s">
        <v>4646</v>
      </c>
      <c r="B3043" s="2">
        <v>45841</v>
      </c>
      <c r="C3043" t="s">
        <v>77</v>
      </c>
      <c r="D3043" t="s">
        <v>1629</v>
      </c>
      <c r="E3043">
        <v>86.86</v>
      </c>
      <c r="F3043" t="s">
        <v>1578</v>
      </c>
      <c r="G3043" t="s">
        <v>1310</v>
      </c>
    </row>
    <row r="3044" spans="1:7">
      <c r="A3044" t="s">
        <v>4647</v>
      </c>
      <c r="B3044" s="2">
        <v>45841</v>
      </c>
      <c r="C3044" t="s">
        <v>79</v>
      </c>
      <c r="D3044" t="s">
        <v>1629</v>
      </c>
      <c r="E3044">
        <v>87.72</v>
      </c>
      <c r="F3044" t="s">
        <v>1578</v>
      </c>
      <c r="G3044" t="s">
        <v>1310</v>
      </c>
    </row>
    <row r="3045" spans="1:7">
      <c r="A3045" t="s">
        <v>4648</v>
      </c>
      <c r="B3045" s="2">
        <v>45841</v>
      </c>
      <c r="C3045" t="s">
        <v>81</v>
      </c>
      <c r="D3045" t="s">
        <v>1629</v>
      </c>
      <c r="E3045">
        <v>173.72</v>
      </c>
      <c r="F3045" t="s">
        <v>1578</v>
      </c>
      <c r="G3045" t="s">
        <v>1310</v>
      </c>
    </row>
    <row r="3046" spans="1:7">
      <c r="A3046" t="s">
        <v>4649</v>
      </c>
      <c r="B3046" s="2">
        <v>45841</v>
      </c>
      <c r="C3046" t="s">
        <v>108</v>
      </c>
      <c r="D3046" t="s">
        <v>1629</v>
      </c>
      <c r="E3046">
        <v>174.58</v>
      </c>
      <c r="F3046" t="s">
        <v>1578</v>
      </c>
      <c r="G3046" t="s">
        <v>1310</v>
      </c>
    </row>
    <row r="3047" spans="1:7">
      <c r="A3047" t="s">
        <v>4650</v>
      </c>
      <c r="B3047" s="2">
        <v>45841</v>
      </c>
      <c r="C3047" t="s">
        <v>110</v>
      </c>
      <c r="D3047" t="s">
        <v>1629</v>
      </c>
      <c r="E3047">
        <v>87.72</v>
      </c>
      <c r="F3047" t="s">
        <v>1578</v>
      </c>
      <c r="G3047" t="s">
        <v>1310</v>
      </c>
    </row>
    <row r="3048" spans="1:7">
      <c r="A3048" t="s">
        <v>4651</v>
      </c>
      <c r="B3048" s="2">
        <v>45841</v>
      </c>
      <c r="C3048" t="s">
        <v>114</v>
      </c>
      <c r="D3048" t="s">
        <v>1629</v>
      </c>
      <c r="E3048">
        <v>86.86</v>
      </c>
      <c r="F3048" t="s">
        <v>1578</v>
      </c>
      <c r="G3048" t="s">
        <v>1310</v>
      </c>
    </row>
    <row r="3049" spans="1:7">
      <c r="A3049" t="s">
        <v>4652</v>
      </c>
      <c r="B3049" s="2">
        <v>45841</v>
      </c>
      <c r="C3049" t="s">
        <v>117</v>
      </c>
      <c r="D3049" t="s">
        <v>1629</v>
      </c>
      <c r="E3049">
        <v>86.43</v>
      </c>
      <c r="F3049" t="s">
        <v>1578</v>
      </c>
      <c r="G3049" t="s">
        <v>1310</v>
      </c>
    </row>
    <row r="3050" spans="1:7">
      <c r="A3050" t="s">
        <v>4653</v>
      </c>
      <c r="B3050" s="2">
        <v>45841</v>
      </c>
      <c r="C3050" t="s">
        <v>119</v>
      </c>
      <c r="D3050" t="s">
        <v>1629</v>
      </c>
      <c r="E3050">
        <v>86.86</v>
      </c>
      <c r="F3050" t="s">
        <v>1578</v>
      </c>
      <c r="G3050" t="s">
        <v>1310</v>
      </c>
    </row>
    <row r="3051" spans="1:7">
      <c r="A3051" t="s">
        <v>4654</v>
      </c>
      <c r="B3051" s="2">
        <v>45841</v>
      </c>
      <c r="C3051" t="s">
        <v>61</v>
      </c>
      <c r="D3051" t="s">
        <v>1629</v>
      </c>
      <c r="E3051">
        <v>146.88</v>
      </c>
      <c r="F3051" t="s">
        <v>1578</v>
      </c>
      <c r="G3051" t="s">
        <v>1311</v>
      </c>
    </row>
    <row r="3052" spans="1:7">
      <c r="A3052" t="s">
        <v>4655</v>
      </c>
      <c r="B3052" s="2">
        <v>45841</v>
      </c>
      <c r="C3052" t="s">
        <v>65</v>
      </c>
      <c r="D3052" t="s">
        <v>1629</v>
      </c>
      <c r="E3052">
        <v>146.16</v>
      </c>
      <c r="F3052" t="s">
        <v>1578</v>
      </c>
      <c r="G3052" t="s">
        <v>1311</v>
      </c>
    </row>
    <row r="3053" spans="1:7">
      <c r="A3053" t="s">
        <v>4656</v>
      </c>
      <c r="B3053" s="2">
        <v>45841</v>
      </c>
      <c r="C3053" t="s">
        <v>68</v>
      </c>
      <c r="D3053" t="s">
        <v>1629</v>
      </c>
      <c r="E3053">
        <v>146.88</v>
      </c>
      <c r="F3053" t="s">
        <v>1578</v>
      </c>
      <c r="G3053" t="s">
        <v>1311</v>
      </c>
    </row>
    <row r="3054" spans="1:7">
      <c r="A3054" t="s">
        <v>4657</v>
      </c>
      <c r="B3054" s="2">
        <v>45841</v>
      </c>
      <c r="C3054" t="s">
        <v>75</v>
      </c>
      <c r="D3054" t="s">
        <v>1629</v>
      </c>
      <c r="E3054">
        <v>145.44</v>
      </c>
      <c r="F3054" t="s">
        <v>1578</v>
      </c>
      <c r="G3054" t="s">
        <v>1311</v>
      </c>
    </row>
    <row r="3055" spans="1:7">
      <c r="A3055" t="s">
        <v>4658</v>
      </c>
      <c r="B3055" s="2">
        <v>45841</v>
      </c>
      <c r="C3055" t="s">
        <v>79</v>
      </c>
      <c r="D3055" t="s">
        <v>1629</v>
      </c>
      <c r="E3055">
        <v>146.88</v>
      </c>
      <c r="F3055" t="s">
        <v>1578</v>
      </c>
      <c r="G3055" t="s">
        <v>1311</v>
      </c>
    </row>
    <row r="3056" spans="1:7">
      <c r="A3056" t="s">
        <v>4659</v>
      </c>
      <c r="B3056" s="2">
        <v>45841</v>
      </c>
      <c r="C3056" t="s">
        <v>81</v>
      </c>
      <c r="D3056" t="s">
        <v>1629</v>
      </c>
      <c r="E3056">
        <v>290.88</v>
      </c>
      <c r="F3056" t="s">
        <v>1578</v>
      </c>
      <c r="G3056" t="s">
        <v>1311</v>
      </c>
    </row>
    <row r="3057" spans="1:7">
      <c r="A3057" t="s">
        <v>4660</v>
      </c>
      <c r="B3057" s="2">
        <v>45841</v>
      </c>
      <c r="C3057" t="s">
        <v>110</v>
      </c>
      <c r="D3057" t="s">
        <v>1629</v>
      </c>
      <c r="E3057">
        <v>146.88</v>
      </c>
      <c r="F3057" t="s">
        <v>1578</v>
      </c>
      <c r="G3057" t="s">
        <v>1311</v>
      </c>
    </row>
    <row r="3058" spans="1:7">
      <c r="A3058" t="s">
        <v>4661</v>
      </c>
      <c r="B3058" s="2">
        <v>45841</v>
      </c>
      <c r="C3058" t="s">
        <v>114</v>
      </c>
      <c r="D3058" t="s">
        <v>1629</v>
      </c>
      <c r="E3058">
        <v>145.44</v>
      </c>
      <c r="F3058" t="s">
        <v>1578</v>
      </c>
      <c r="G3058" t="s">
        <v>1311</v>
      </c>
    </row>
    <row r="3059" spans="1:7">
      <c r="A3059" t="s">
        <v>4662</v>
      </c>
      <c r="B3059" s="2">
        <v>45841</v>
      </c>
      <c r="C3059" t="s">
        <v>117</v>
      </c>
      <c r="D3059" t="s">
        <v>1629</v>
      </c>
      <c r="E3059">
        <v>144.72</v>
      </c>
      <c r="F3059" t="s">
        <v>1578</v>
      </c>
      <c r="G3059" t="s">
        <v>1311</v>
      </c>
    </row>
    <row r="3060" spans="1:7">
      <c r="A3060" t="s">
        <v>4663</v>
      </c>
      <c r="B3060" s="2">
        <v>45841</v>
      </c>
      <c r="C3060" t="s">
        <v>119</v>
      </c>
      <c r="D3060" t="s">
        <v>1629</v>
      </c>
      <c r="E3060">
        <v>145.44</v>
      </c>
      <c r="F3060" t="s">
        <v>1578</v>
      </c>
      <c r="G3060" t="s">
        <v>1311</v>
      </c>
    </row>
    <row r="3061" spans="1:7">
      <c r="A3061" t="s">
        <v>4664</v>
      </c>
      <c r="B3061" s="2">
        <v>45841</v>
      </c>
      <c r="C3061" t="s">
        <v>119</v>
      </c>
      <c r="D3061" t="s">
        <v>1683</v>
      </c>
      <c r="E3061">
        <v>150</v>
      </c>
      <c r="F3061" t="s">
        <v>1578</v>
      </c>
      <c r="G3061" t="s">
        <v>702</v>
      </c>
    </row>
    <row r="3062" spans="1:7">
      <c r="A3062" t="s">
        <v>4665</v>
      </c>
      <c r="B3062" s="2">
        <v>45841</v>
      </c>
      <c r="C3062" t="s">
        <v>99</v>
      </c>
      <c r="D3062" t="s">
        <v>1683</v>
      </c>
      <c r="E3062">
        <v>254</v>
      </c>
      <c r="F3062" t="s">
        <v>1578</v>
      </c>
      <c r="G3062" t="s">
        <v>703</v>
      </c>
    </row>
    <row r="3063" spans="1:7">
      <c r="A3063" t="s">
        <v>4666</v>
      </c>
      <c r="B3063" s="2">
        <v>45842</v>
      </c>
      <c r="C3063" t="s">
        <v>75</v>
      </c>
      <c r="D3063" t="s">
        <v>1629</v>
      </c>
      <c r="E3063">
        <v>165.64</v>
      </c>
      <c r="F3063" t="s">
        <v>1578</v>
      </c>
      <c r="G3063" t="s">
        <v>1312</v>
      </c>
    </row>
    <row r="3064" spans="1:7">
      <c r="A3064" t="s">
        <v>4667</v>
      </c>
      <c r="B3064" s="2">
        <v>45842</v>
      </c>
      <c r="C3064" t="s">
        <v>104</v>
      </c>
      <c r="D3064" t="s">
        <v>1629</v>
      </c>
      <c r="E3064">
        <v>337.84</v>
      </c>
      <c r="F3064" t="s">
        <v>1578</v>
      </c>
      <c r="G3064" t="s">
        <v>1312</v>
      </c>
    </row>
    <row r="3065" spans="1:7">
      <c r="A3065" t="s">
        <v>4668</v>
      </c>
      <c r="B3065" s="2">
        <v>45842</v>
      </c>
      <c r="C3065" t="s">
        <v>108</v>
      </c>
      <c r="D3065" t="s">
        <v>1629</v>
      </c>
      <c r="E3065">
        <v>332.92</v>
      </c>
      <c r="F3065" t="s">
        <v>1578</v>
      </c>
      <c r="G3065" t="s">
        <v>1312</v>
      </c>
    </row>
    <row r="3066" spans="1:7">
      <c r="A3066" t="s">
        <v>4669</v>
      </c>
      <c r="B3066" s="2">
        <v>45842</v>
      </c>
      <c r="C3066" t="s">
        <v>110</v>
      </c>
      <c r="D3066" t="s">
        <v>1629</v>
      </c>
      <c r="E3066">
        <v>167.28</v>
      </c>
      <c r="F3066" t="s">
        <v>1578</v>
      </c>
      <c r="G3066" t="s">
        <v>1312</v>
      </c>
    </row>
    <row r="3067" spans="1:7">
      <c r="A3067" t="s">
        <v>4670</v>
      </c>
      <c r="B3067" s="2">
        <v>45842</v>
      </c>
      <c r="C3067" t="s">
        <v>114</v>
      </c>
      <c r="D3067" t="s">
        <v>1629</v>
      </c>
      <c r="E3067">
        <v>165.64</v>
      </c>
      <c r="F3067" t="s">
        <v>1578</v>
      </c>
      <c r="G3067" t="s">
        <v>1312</v>
      </c>
    </row>
    <row r="3068" spans="1:7">
      <c r="A3068" t="s">
        <v>4671</v>
      </c>
      <c r="B3068" s="2">
        <v>45842</v>
      </c>
      <c r="C3068" t="s">
        <v>117</v>
      </c>
      <c r="D3068" t="s">
        <v>1629</v>
      </c>
      <c r="E3068">
        <v>164.82</v>
      </c>
      <c r="F3068" t="s">
        <v>1578</v>
      </c>
      <c r="G3068" t="s">
        <v>1312</v>
      </c>
    </row>
    <row r="3069" spans="1:7">
      <c r="A3069" t="s">
        <v>4672</v>
      </c>
      <c r="B3069" s="2">
        <v>45842</v>
      </c>
      <c r="C3069" t="s">
        <v>119</v>
      </c>
      <c r="D3069" t="s">
        <v>1629</v>
      </c>
      <c r="E3069">
        <v>165.64</v>
      </c>
      <c r="F3069" t="s">
        <v>1578</v>
      </c>
      <c r="G3069" t="s">
        <v>1312</v>
      </c>
    </row>
    <row r="3070" spans="1:7">
      <c r="A3070" t="s">
        <v>4673</v>
      </c>
      <c r="B3070" s="2">
        <v>45842</v>
      </c>
      <c r="C3070" t="s">
        <v>61</v>
      </c>
      <c r="D3070" t="s">
        <v>1629</v>
      </c>
      <c r="E3070">
        <v>440.64</v>
      </c>
      <c r="F3070" t="s">
        <v>1578</v>
      </c>
      <c r="G3070" t="s">
        <v>1313</v>
      </c>
    </row>
    <row r="3071" spans="1:7">
      <c r="A3071" t="s">
        <v>4674</v>
      </c>
      <c r="B3071" s="2">
        <v>45842</v>
      </c>
      <c r="C3071" t="s">
        <v>65</v>
      </c>
      <c r="D3071" t="s">
        <v>1629</v>
      </c>
      <c r="E3071">
        <v>438.48</v>
      </c>
      <c r="F3071" t="s">
        <v>1578</v>
      </c>
      <c r="G3071" t="s">
        <v>1313</v>
      </c>
    </row>
    <row r="3072" spans="1:7">
      <c r="A3072" t="s">
        <v>4675</v>
      </c>
      <c r="B3072" s="2">
        <v>45842</v>
      </c>
      <c r="C3072" t="s">
        <v>68</v>
      </c>
      <c r="D3072" t="s">
        <v>1629</v>
      </c>
      <c r="E3072">
        <v>440.64</v>
      </c>
      <c r="F3072" t="s">
        <v>1578</v>
      </c>
      <c r="G3072" t="s">
        <v>1313</v>
      </c>
    </row>
    <row r="3073" spans="1:7">
      <c r="A3073" t="s">
        <v>4676</v>
      </c>
      <c r="B3073" s="2">
        <v>45842</v>
      </c>
      <c r="C3073" t="s">
        <v>70</v>
      </c>
      <c r="D3073" t="s">
        <v>1629</v>
      </c>
      <c r="E3073">
        <v>436.32</v>
      </c>
      <c r="F3073" t="s">
        <v>1578</v>
      </c>
      <c r="G3073" t="s">
        <v>1313</v>
      </c>
    </row>
    <row r="3074" spans="1:7">
      <c r="A3074" t="s">
        <v>4677</v>
      </c>
      <c r="B3074" s="2">
        <v>45842</v>
      </c>
      <c r="C3074" t="s">
        <v>75</v>
      </c>
      <c r="D3074" t="s">
        <v>1629</v>
      </c>
      <c r="E3074">
        <v>436.32</v>
      </c>
      <c r="F3074" t="s">
        <v>1578</v>
      </c>
      <c r="G3074" t="s">
        <v>1313</v>
      </c>
    </row>
    <row r="3075" spans="1:7">
      <c r="A3075" t="s">
        <v>4678</v>
      </c>
      <c r="B3075" s="2">
        <v>45842</v>
      </c>
      <c r="C3075" t="s">
        <v>77</v>
      </c>
      <c r="D3075" t="s">
        <v>1629</v>
      </c>
      <c r="E3075">
        <v>436.32</v>
      </c>
      <c r="F3075" t="s">
        <v>1578</v>
      </c>
      <c r="G3075" t="s">
        <v>1313</v>
      </c>
    </row>
    <row r="3076" spans="1:7">
      <c r="A3076" t="s">
        <v>4679</v>
      </c>
      <c r="B3076" s="2">
        <v>45842</v>
      </c>
      <c r="C3076" t="s">
        <v>79</v>
      </c>
      <c r="D3076" t="s">
        <v>1629</v>
      </c>
      <c r="E3076">
        <v>440.64</v>
      </c>
      <c r="F3076" t="s">
        <v>1578</v>
      </c>
      <c r="G3076" t="s">
        <v>1313</v>
      </c>
    </row>
    <row r="3077" spans="1:7">
      <c r="A3077" t="s">
        <v>4680</v>
      </c>
      <c r="B3077" s="2">
        <v>45842</v>
      </c>
      <c r="C3077" t="s">
        <v>81</v>
      </c>
      <c r="D3077" t="s">
        <v>1629</v>
      </c>
      <c r="E3077">
        <v>872.64</v>
      </c>
      <c r="F3077" t="s">
        <v>1578</v>
      </c>
      <c r="G3077" t="s">
        <v>1313</v>
      </c>
    </row>
    <row r="3078" spans="1:7">
      <c r="A3078" t="s">
        <v>4681</v>
      </c>
      <c r="B3078" s="2">
        <v>45842</v>
      </c>
      <c r="C3078" t="s">
        <v>108</v>
      </c>
      <c r="D3078" t="s">
        <v>1629</v>
      </c>
      <c r="E3078">
        <v>876.96</v>
      </c>
      <c r="F3078" t="s">
        <v>1578</v>
      </c>
      <c r="G3078" t="s">
        <v>1313</v>
      </c>
    </row>
    <row r="3079" spans="1:7">
      <c r="A3079" t="s">
        <v>4682</v>
      </c>
      <c r="B3079" s="2">
        <v>45842</v>
      </c>
      <c r="C3079" t="s">
        <v>110</v>
      </c>
      <c r="D3079" t="s">
        <v>1629</v>
      </c>
      <c r="E3079">
        <v>440.64</v>
      </c>
      <c r="F3079" t="s">
        <v>1578</v>
      </c>
      <c r="G3079" t="s">
        <v>1313</v>
      </c>
    </row>
    <row r="3080" spans="1:7">
      <c r="A3080" t="s">
        <v>4683</v>
      </c>
      <c r="B3080" s="2">
        <v>45842</v>
      </c>
      <c r="C3080" t="s">
        <v>114</v>
      </c>
      <c r="D3080" t="s">
        <v>1629</v>
      </c>
      <c r="E3080">
        <v>436.32</v>
      </c>
      <c r="F3080" t="s">
        <v>1578</v>
      </c>
      <c r="G3080" t="s">
        <v>1313</v>
      </c>
    </row>
    <row r="3081" spans="1:7">
      <c r="A3081" t="s">
        <v>4684</v>
      </c>
      <c r="B3081" s="2">
        <v>45842</v>
      </c>
      <c r="C3081" t="s">
        <v>117</v>
      </c>
      <c r="D3081" t="s">
        <v>1629</v>
      </c>
      <c r="E3081">
        <v>434.16</v>
      </c>
      <c r="F3081" t="s">
        <v>1578</v>
      </c>
      <c r="G3081" t="s">
        <v>1313</v>
      </c>
    </row>
    <row r="3082" spans="1:7">
      <c r="A3082" t="s">
        <v>4685</v>
      </c>
      <c r="B3082" s="2">
        <v>45842</v>
      </c>
      <c r="C3082" t="s">
        <v>119</v>
      </c>
      <c r="D3082" t="s">
        <v>1629</v>
      </c>
      <c r="E3082">
        <v>436.32</v>
      </c>
      <c r="F3082" t="s">
        <v>1578</v>
      </c>
      <c r="G3082" t="s">
        <v>1313</v>
      </c>
    </row>
    <row r="3083" spans="1:7">
      <c r="A3083" t="s">
        <v>4686</v>
      </c>
      <c r="B3083" s="2">
        <v>45842</v>
      </c>
      <c r="C3083" t="s">
        <v>91</v>
      </c>
      <c r="D3083" t="s">
        <v>1683</v>
      </c>
      <c r="E3083">
        <v>432</v>
      </c>
      <c r="F3083" t="s">
        <v>1578</v>
      </c>
      <c r="G3083" t="s">
        <v>704</v>
      </c>
    </row>
    <row r="3084" spans="1:7">
      <c r="A3084" t="s">
        <v>4687</v>
      </c>
      <c r="B3084" s="2">
        <v>45842</v>
      </c>
      <c r="C3084" t="s">
        <v>104</v>
      </c>
      <c r="D3084" t="s">
        <v>1683</v>
      </c>
      <c r="E3084">
        <v>450</v>
      </c>
      <c r="F3084" t="s">
        <v>1578</v>
      </c>
      <c r="G3084" t="s">
        <v>705</v>
      </c>
    </row>
    <row r="3085" spans="1:7">
      <c r="A3085" t="s">
        <v>4688</v>
      </c>
      <c r="B3085" s="2">
        <v>45842</v>
      </c>
      <c r="C3085" t="s">
        <v>95</v>
      </c>
      <c r="D3085" t="s">
        <v>1683</v>
      </c>
      <c r="E3085">
        <v>256</v>
      </c>
      <c r="F3085" t="s">
        <v>1578</v>
      </c>
      <c r="G3085" t="s">
        <v>706</v>
      </c>
    </row>
    <row r="3086" spans="1:7">
      <c r="A3086" t="s">
        <v>4689</v>
      </c>
      <c r="B3086" s="2">
        <v>45843</v>
      </c>
      <c r="C3086" t="s">
        <v>61</v>
      </c>
      <c r="D3086" t="s">
        <v>1629</v>
      </c>
      <c r="E3086">
        <v>200.94</v>
      </c>
      <c r="F3086" t="s">
        <v>1578</v>
      </c>
      <c r="G3086" t="s">
        <v>1314</v>
      </c>
    </row>
    <row r="3087" spans="1:7">
      <c r="A3087" t="s">
        <v>4690</v>
      </c>
      <c r="B3087" s="2">
        <v>45843</v>
      </c>
      <c r="C3087" t="s">
        <v>65</v>
      </c>
      <c r="D3087" t="s">
        <v>1629</v>
      </c>
      <c r="E3087">
        <v>199.96</v>
      </c>
      <c r="F3087" t="s">
        <v>1578</v>
      </c>
      <c r="G3087" t="s">
        <v>1314</v>
      </c>
    </row>
    <row r="3088" spans="1:7">
      <c r="A3088" t="s">
        <v>4691</v>
      </c>
      <c r="B3088" s="2">
        <v>45843</v>
      </c>
      <c r="C3088" t="s">
        <v>68</v>
      </c>
      <c r="D3088" t="s">
        <v>1629</v>
      </c>
      <c r="E3088">
        <v>200.94</v>
      </c>
      <c r="F3088" t="s">
        <v>1578</v>
      </c>
      <c r="G3088" t="s">
        <v>1314</v>
      </c>
    </row>
    <row r="3089" spans="1:7">
      <c r="A3089" t="s">
        <v>4692</v>
      </c>
      <c r="B3089" s="2">
        <v>45843</v>
      </c>
      <c r="C3089" t="s">
        <v>70</v>
      </c>
      <c r="D3089" t="s">
        <v>1629</v>
      </c>
      <c r="E3089">
        <v>198.97</v>
      </c>
      <c r="F3089" t="s">
        <v>1578</v>
      </c>
      <c r="G3089" t="s">
        <v>1314</v>
      </c>
    </row>
    <row r="3090" spans="1:7">
      <c r="A3090" t="s">
        <v>4693</v>
      </c>
      <c r="B3090" s="2">
        <v>45843</v>
      </c>
      <c r="C3090" t="s">
        <v>75</v>
      </c>
      <c r="D3090" t="s">
        <v>1629</v>
      </c>
      <c r="E3090">
        <v>198.97</v>
      </c>
      <c r="F3090" t="s">
        <v>1578</v>
      </c>
      <c r="G3090" t="s">
        <v>1314</v>
      </c>
    </row>
    <row r="3091" spans="1:7">
      <c r="A3091" t="s">
        <v>4694</v>
      </c>
      <c r="B3091" s="2">
        <v>45843</v>
      </c>
      <c r="C3091" t="s">
        <v>77</v>
      </c>
      <c r="D3091" t="s">
        <v>1629</v>
      </c>
      <c r="E3091">
        <v>198.97</v>
      </c>
      <c r="F3091" t="s">
        <v>1578</v>
      </c>
      <c r="G3091" t="s">
        <v>1314</v>
      </c>
    </row>
    <row r="3092" spans="1:7">
      <c r="A3092" t="s">
        <v>4695</v>
      </c>
      <c r="B3092" s="2">
        <v>45843</v>
      </c>
      <c r="C3092" t="s">
        <v>79</v>
      </c>
      <c r="D3092" t="s">
        <v>1629</v>
      </c>
      <c r="E3092">
        <v>200.94</v>
      </c>
      <c r="F3092" t="s">
        <v>1578</v>
      </c>
      <c r="G3092" t="s">
        <v>1314</v>
      </c>
    </row>
    <row r="3093" spans="1:7">
      <c r="A3093" t="s">
        <v>4696</v>
      </c>
      <c r="B3093" s="2">
        <v>45843</v>
      </c>
      <c r="C3093" t="s">
        <v>81</v>
      </c>
      <c r="D3093" t="s">
        <v>1629</v>
      </c>
      <c r="E3093">
        <v>397.94</v>
      </c>
      <c r="F3093" t="s">
        <v>1578</v>
      </c>
      <c r="G3093" t="s">
        <v>1314</v>
      </c>
    </row>
    <row r="3094" spans="1:7">
      <c r="A3094" t="s">
        <v>4697</v>
      </c>
      <c r="B3094" s="2">
        <v>45843</v>
      </c>
      <c r="C3094" t="s">
        <v>110</v>
      </c>
      <c r="D3094" t="s">
        <v>1629</v>
      </c>
      <c r="E3094">
        <v>200.94</v>
      </c>
      <c r="F3094" t="s">
        <v>1578</v>
      </c>
      <c r="G3094" t="s">
        <v>1314</v>
      </c>
    </row>
    <row r="3095" spans="1:7">
      <c r="A3095" t="s">
        <v>4698</v>
      </c>
      <c r="B3095" s="2">
        <v>45843</v>
      </c>
      <c r="C3095" t="s">
        <v>114</v>
      </c>
      <c r="D3095" t="s">
        <v>1629</v>
      </c>
      <c r="E3095">
        <v>198.97</v>
      </c>
      <c r="F3095" t="s">
        <v>1578</v>
      </c>
      <c r="G3095" t="s">
        <v>1314</v>
      </c>
    </row>
    <row r="3096" spans="1:7">
      <c r="A3096" t="s">
        <v>4699</v>
      </c>
      <c r="B3096" s="2">
        <v>45843</v>
      </c>
      <c r="C3096" t="s">
        <v>117</v>
      </c>
      <c r="D3096" t="s">
        <v>1629</v>
      </c>
      <c r="E3096">
        <v>197.98</v>
      </c>
      <c r="F3096" t="s">
        <v>1578</v>
      </c>
      <c r="G3096" t="s">
        <v>1314</v>
      </c>
    </row>
    <row r="3097" spans="1:7">
      <c r="A3097" t="s">
        <v>4700</v>
      </c>
      <c r="B3097" s="2">
        <v>45843</v>
      </c>
      <c r="C3097" t="s">
        <v>119</v>
      </c>
      <c r="D3097" t="s">
        <v>1629</v>
      </c>
      <c r="E3097">
        <v>198.97</v>
      </c>
      <c r="F3097" t="s">
        <v>1578</v>
      </c>
      <c r="G3097" t="s">
        <v>1314</v>
      </c>
    </row>
    <row r="3098" spans="1:7">
      <c r="A3098" t="s">
        <v>4701</v>
      </c>
      <c r="B3098" s="2">
        <v>45843</v>
      </c>
      <c r="C3098" t="s">
        <v>87</v>
      </c>
      <c r="D3098" t="s">
        <v>1683</v>
      </c>
      <c r="E3098">
        <v>187</v>
      </c>
      <c r="F3098" t="s">
        <v>1578</v>
      </c>
      <c r="G3098" t="s">
        <v>707</v>
      </c>
    </row>
    <row r="3099" spans="1:7">
      <c r="A3099" t="s">
        <v>4702</v>
      </c>
      <c r="B3099" s="2">
        <v>45843</v>
      </c>
      <c r="C3099" t="s">
        <v>89</v>
      </c>
      <c r="D3099" t="s">
        <v>1683</v>
      </c>
      <c r="E3099">
        <v>716</v>
      </c>
      <c r="F3099" t="s">
        <v>1578</v>
      </c>
      <c r="G3099" t="s">
        <v>708</v>
      </c>
    </row>
    <row r="3100" spans="1:7">
      <c r="A3100" t="s">
        <v>4703</v>
      </c>
      <c r="B3100" s="2">
        <v>45843</v>
      </c>
      <c r="C3100" t="s">
        <v>61</v>
      </c>
      <c r="D3100" t="s">
        <v>1683</v>
      </c>
      <c r="E3100">
        <v>104</v>
      </c>
      <c r="F3100" t="s">
        <v>1578</v>
      </c>
      <c r="G3100" t="s">
        <v>709</v>
      </c>
    </row>
    <row r="3101" spans="1:7">
      <c r="A3101" t="s">
        <v>4704</v>
      </c>
      <c r="B3101" s="2">
        <v>45844</v>
      </c>
      <c r="C3101" t="s">
        <v>61</v>
      </c>
      <c r="D3101" t="s">
        <v>1629</v>
      </c>
      <c r="E3101">
        <v>127.5</v>
      </c>
      <c r="F3101" t="s">
        <v>1578</v>
      </c>
      <c r="G3101" t="s">
        <v>1315</v>
      </c>
    </row>
    <row r="3102" spans="1:7">
      <c r="A3102" t="s">
        <v>4705</v>
      </c>
      <c r="B3102" s="2">
        <v>45844</v>
      </c>
      <c r="C3102" t="s">
        <v>65</v>
      </c>
      <c r="D3102" t="s">
        <v>1629</v>
      </c>
      <c r="E3102">
        <v>126.87</v>
      </c>
      <c r="F3102" t="s">
        <v>1578</v>
      </c>
      <c r="G3102" t="s">
        <v>1315</v>
      </c>
    </row>
    <row r="3103" spans="1:7">
      <c r="A3103" t="s">
        <v>4706</v>
      </c>
      <c r="B3103" s="2">
        <v>45844</v>
      </c>
      <c r="C3103" t="s">
        <v>68</v>
      </c>
      <c r="D3103" t="s">
        <v>1629</v>
      </c>
      <c r="E3103">
        <v>127.5</v>
      </c>
      <c r="F3103" t="s">
        <v>1578</v>
      </c>
      <c r="G3103" t="s">
        <v>1315</v>
      </c>
    </row>
    <row r="3104" spans="1:7">
      <c r="A3104" t="s">
        <v>4707</v>
      </c>
      <c r="B3104" s="2">
        <v>45844</v>
      </c>
      <c r="C3104" t="s">
        <v>75</v>
      </c>
      <c r="D3104" t="s">
        <v>1629</v>
      </c>
      <c r="E3104">
        <v>126.25</v>
      </c>
      <c r="F3104" t="s">
        <v>1578</v>
      </c>
      <c r="G3104" t="s">
        <v>1315</v>
      </c>
    </row>
    <row r="3105" spans="1:7">
      <c r="A3105" t="s">
        <v>4708</v>
      </c>
      <c r="B3105" s="2">
        <v>45844</v>
      </c>
      <c r="C3105" t="s">
        <v>79</v>
      </c>
      <c r="D3105" t="s">
        <v>1629</v>
      </c>
      <c r="E3105">
        <v>127.5</v>
      </c>
      <c r="F3105" t="s">
        <v>1578</v>
      </c>
      <c r="G3105" t="s">
        <v>1315</v>
      </c>
    </row>
    <row r="3106" spans="1:7">
      <c r="A3106" t="s">
        <v>4709</v>
      </c>
      <c r="B3106" s="2">
        <v>45844</v>
      </c>
      <c r="C3106" t="s">
        <v>81</v>
      </c>
      <c r="D3106" t="s">
        <v>1629</v>
      </c>
      <c r="E3106">
        <v>252.5</v>
      </c>
      <c r="F3106" t="s">
        <v>1578</v>
      </c>
      <c r="G3106" t="s">
        <v>1315</v>
      </c>
    </row>
    <row r="3107" spans="1:7">
      <c r="A3107" t="s">
        <v>4710</v>
      </c>
      <c r="B3107" s="2">
        <v>45844</v>
      </c>
      <c r="C3107" t="s">
        <v>110</v>
      </c>
      <c r="D3107" t="s">
        <v>1629</v>
      </c>
      <c r="E3107">
        <v>127.5</v>
      </c>
      <c r="F3107" t="s">
        <v>1578</v>
      </c>
      <c r="G3107" t="s">
        <v>1315</v>
      </c>
    </row>
    <row r="3108" spans="1:7">
      <c r="A3108" t="s">
        <v>4711</v>
      </c>
      <c r="B3108" s="2">
        <v>45844</v>
      </c>
      <c r="C3108" t="s">
        <v>114</v>
      </c>
      <c r="D3108" t="s">
        <v>1629</v>
      </c>
      <c r="E3108">
        <v>126.25</v>
      </c>
      <c r="F3108" t="s">
        <v>1578</v>
      </c>
      <c r="G3108" t="s">
        <v>1315</v>
      </c>
    </row>
    <row r="3109" spans="1:7">
      <c r="A3109" t="s">
        <v>4712</v>
      </c>
      <c r="B3109" s="2">
        <v>45844</v>
      </c>
      <c r="C3109" t="s">
        <v>117</v>
      </c>
      <c r="D3109" t="s">
        <v>1629</v>
      </c>
      <c r="E3109">
        <v>125.62</v>
      </c>
      <c r="F3109" t="s">
        <v>1578</v>
      </c>
      <c r="G3109" t="s">
        <v>1315</v>
      </c>
    </row>
    <row r="3110" spans="1:7">
      <c r="A3110" t="s">
        <v>4713</v>
      </c>
      <c r="B3110" s="2">
        <v>45844</v>
      </c>
      <c r="C3110" t="s">
        <v>119</v>
      </c>
      <c r="D3110" t="s">
        <v>1629</v>
      </c>
      <c r="E3110">
        <v>126.25</v>
      </c>
      <c r="F3110" t="s">
        <v>1578</v>
      </c>
      <c r="G3110" t="s">
        <v>1315</v>
      </c>
    </row>
    <row r="3111" spans="1:7">
      <c r="A3111" t="s">
        <v>4714</v>
      </c>
      <c r="B3111" s="2">
        <v>45844</v>
      </c>
      <c r="C3111" t="s">
        <v>95</v>
      </c>
      <c r="D3111" t="s">
        <v>1683</v>
      </c>
      <c r="E3111">
        <v>178</v>
      </c>
      <c r="F3111" t="s">
        <v>1578</v>
      </c>
      <c r="G3111" t="s">
        <v>710</v>
      </c>
    </row>
    <row r="3112" spans="1:7">
      <c r="A3112" t="s">
        <v>4715</v>
      </c>
      <c r="B3112" s="2">
        <v>45844</v>
      </c>
      <c r="C3112" t="s">
        <v>87</v>
      </c>
      <c r="D3112" t="s">
        <v>1683</v>
      </c>
      <c r="E3112">
        <v>320</v>
      </c>
      <c r="F3112" t="s">
        <v>1578</v>
      </c>
      <c r="G3112" t="s">
        <v>711</v>
      </c>
    </row>
    <row r="3113" spans="1:7">
      <c r="A3113" t="s">
        <v>4716</v>
      </c>
      <c r="B3113" s="2">
        <v>45845</v>
      </c>
      <c r="C3113" t="s">
        <v>75</v>
      </c>
      <c r="D3113" t="s">
        <v>1629</v>
      </c>
      <c r="E3113">
        <v>161.6</v>
      </c>
      <c r="F3113" t="s">
        <v>1578</v>
      </c>
      <c r="G3113" t="s">
        <v>1316</v>
      </c>
    </row>
    <row r="3114" spans="1:7">
      <c r="A3114" t="s">
        <v>4717</v>
      </c>
      <c r="B3114" s="2">
        <v>45845</v>
      </c>
      <c r="C3114" t="s">
        <v>104</v>
      </c>
      <c r="D3114" t="s">
        <v>1629</v>
      </c>
      <c r="E3114">
        <v>329.6</v>
      </c>
      <c r="F3114" t="s">
        <v>1578</v>
      </c>
      <c r="G3114" t="s">
        <v>1316</v>
      </c>
    </row>
    <row r="3115" spans="1:7">
      <c r="A3115" t="s">
        <v>4718</v>
      </c>
      <c r="B3115" s="2">
        <v>45845</v>
      </c>
      <c r="C3115" t="s">
        <v>108</v>
      </c>
      <c r="D3115" t="s">
        <v>1629</v>
      </c>
      <c r="E3115">
        <v>324.8</v>
      </c>
      <c r="F3115" t="s">
        <v>1578</v>
      </c>
      <c r="G3115" t="s">
        <v>1316</v>
      </c>
    </row>
    <row r="3116" spans="1:7">
      <c r="A3116" t="s">
        <v>4719</v>
      </c>
      <c r="B3116" s="2">
        <v>45845</v>
      </c>
      <c r="C3116" t="s">
        <v>110</v>
      </c>
      <c r="D3116" t="s">
        <v>1629</v>
      </c>
      <c r="E3116">
        <v>163.19999999999999</v>
      </c>
      <c r="F3116" t="s">
        <v>1578</v>
      </c>
      <c r="G3116" t="s">
        <v>1316</v>
      </c>
    </row>
    <row r="3117" spans="1:7">
      <c r="A3117" t="s">
        <v>4720</v>
      </c>
      <c r="B3117" s="2">
        <v>45845</v>
      </c>
      <c r="C3117" t="s">
        <v>114</v>
      </c>
      <c r="D3117" t="s">
        <v>1629</v>
      </c>
      <c r="E3117">
        <v>161.6</v>
      </c>
      <c r="F3117" t="s">
        <v>1578</v>
      </c>
      <c r="G3117" t="s">
        <v>1316</v>
      </c>
    </row>
    <row r="3118" spans="1:7">
      <c r="A3118" t="s">
        <v>4721</v>
      </c>
      <c r="B3118" s="2">
        <v>45845</v>
      </c>
      <c r="C3118" t="s">
        <v>117</v>
      </c>
      <c r="D3118" t="s">
        <v>1629</v>
      </c>
      <c r="E3118">
        <v>160.80000000000001</v>
      </c>
      <c r="F3118" t="s">
        <v>1578</v>
      </c>
      <c r="G3118" t="s">
        <v>1316</v>
      </c>
    </row>
    <row r="3119" spans="1:7">
      <c r="A3119" t="s">
        <v>4722</v>
      </c>
      <c r="B3119" s="2">
        <v>45845</v>
      </c>
      <c r="C3119" t="s">
        <v>119</v>
      </c>
      <c r="D3119" t="s">
        <v>1629</v>
      </c>
      <c r="E3119">
        <v>161.6</v>
      </c>
      <c r="F3119" t="s">
        <v>1578</v>
      </c>
      <c r="G3119" t="s">
        <v>1316</v>
      </c>
    </row>
    <row r="3120" spans="1:7">
      <c r="A3120" t="s">
        <v>4723</v>
      </c>
      <c r="B3120" s="2">
        <v>45845</v>
      </c>
      <c r="C3120" t="s">
        <v>75</v>
      </c>
      <c r="D3120" t="s">
        <v>1629</v>
      </c>
      <c r="E3120">
        <v>232.3</v>
      </c>
      <c r="F3120" t="s">
        <v>1578</v>
      </c>
      <c r="G3120" t="s">
        <v>1317</v>
      </c>
    </row>
    <row r="3121" spans="1:7">
      <c r="A3121" t="s">
        <v>4724</v>
      </c>
      <c r="B3121" s="2">
        <v>45845</v>
      </c>
      <c r="C3121" t="s">
        <v>91</v>
      </c>
      <c r="D3121" t="s">
        <v>1629</v>
      </c>
      <c r="E3121">
        <v>235.75</v>
      </c>
      <c r="F3121" t="s">
        <v>1578</v>
      </c>
      <c r="G3121" t="s">
        <v>1317</v>
      </c>
    </row>
    <row r="3122" spans="1:7">
      <c r="A3122" t="s">
        <v>4725</v>
      </c>
      <c r="B3122" s="2">
        <v>45845</v>
      </c>
      <c r="C3122" t="s">
        <v>93</v>
      </c>
      <c r="D3122" t="s">
        <v>1629</v>
      </c>
      <c r="E3122">
        <v>234.6</v>
      </c>
      <c r="F3122" t="s">
        <v>1578</v>
      </c>
      <c r="G3122" t="s">
        <v>1317</v>
      </c>
    </row>
    <row r="3123" spans="1:7">
      <c r="A3123" t="s">
        <v>4726</v>
      </c>
      <c r="B3123" s="2">
        <v>45845</v>
      </c>
      <c r="C3123" t="s">
        <v>95</v>
      </c>
      <c r="D3123" t="s">
        <v>1629</v>
      </c>
      <c r="E3123">
        <v>233.45</v>
      </c>
      <c r="F3123" t="s">
        <v>1578</v>
      </c>
      <c r="G3123" t="s">
        <v>1317</v>
      </c>
    </row>
    <row r="3124" spans="1:7">
      <c r="A3124" t="s">
        <v>4727</v>
      </c>
      <c r="B3124" s="2">
        <v>45845</v>
      </c>
      <c r="C3124" t="s">
        <v>97</v>
      </c>
      <c r="D3124" t="s">
        <v>1629</v>
      </c>
      <c r="E3124">
        <v>232.3</v>
      </c>
      <c r="F3124" t="s">
        <v>1578</v>
      </c>
      <c r="G3124" t="s">
        <v>1317</v>
      </c>
    </row>
    <row r="3125" spans="1:7">
      <c r="A3125" t="s">
        <v>4728</v>
      </c>
      <c r="B3125" s="2">
        <v>45845</v>
      </c>
      <c r="C3125" t="s">
        <v>99</v>
      </c>
      <c r="D3125" t="s">
        <v>1629</v>
      </c>
      <c r="E3125">
        <v>118.45</v>
      </c>
      <c r="F3125" t="s">
        <v>1578</v>
      </c>
      <c r="G3125" t="s">
        <v>1317</v>
      </c>
    </row>
    <row r="3126" spans="1:7">
      <c r="A3126" t="s">
        <v>4729</v>
      </c>
      <c r="B3126" s="2">
        <v>45845</v>
      </c>
      <c r="C3126" t="s">
        <v>102</v>
      </c>
      <c r="D3126" t="s">
        <v>1629</v>
      </c>
      <c r="E3126">
        <v>234.6</v>
      </c>
      <c r="F3126" t="s">
        <v>1578</v>
      </c>
      <c r="G3126" t="s">
        <v>1317</v>
      </c>
    </row>
    <row r="3127" spans="1:7">
      <c r="A3127" t="s">
        <v>4730</v>
      </c>
      <c r="B3127" s="2">
        <v>45845</v>
      </c>
      <c r="C3127" t="s">
        <v>108</v>
      </c>
      <c r="D3127" t="s">
        <v>1629</v>
      </c>
      <c r="E3127">
        <v>466.9</v>
      </c>
      <c r="F3127" t="s">
        <v>1578</v>
      </c>
      <c r="G3127" t="s">
        <v>1317</v>
      </c>
    </row>
    <row r="3128" spans="1:7">
      <c r="A3128" t="s">
        <v>4731</v>
      </c>
      <c r="B3128" s="2">
        <v>45845</v>
      </c>
      <c r="C3128" t="s">
        <v>110</v>
      </c>
      <c r="D3128" t="s">
        <v>1629</v>
      </c>
      <c r="E3128">
        <v>234.6</v>
      </c>
      <c r="F3128" t="s">
        <v>1578</v>
      </c>
      <c r="G3128" t="s">
        <v>1317</v>
      </c>
    </row>
    <row r="3129" spans="1:7">
      <c r="A3129" t="s">
        <v>4732</v>
      </c>
      <c r="B3129" s="2">
        <v>45845</v>
      </c>
      <c r="C3129" t="s">
        <v>114</v>
      </c>
      <c r="D3129" t="s">
        <v>1629</v>
      </c>
      <c r="E3129">
        <v>232.3</v>
      </c>
      <c r="F3129" t="s">
        <v>1578</v>
      </c>
      <c r="G3129" t="s">
        <v>1317</v>
      </c>
    </row>
    <row r="3130" spans="1:7">
      <c r="A3130" t="s">
        <v>4733</v>
      </c>
      <c r="B3130" s="2">
        <v>45845</v>
      </c>
      <c r="C3130" t="s">
        <v>117</v>
      </c>
      <c r="D3130" t="s">
        <v>1629</v>
      </c>
      <c r="E3130">
        <v>231.15</v>
      </c>
      <c r="F3130" t="s">
        <v>1578</v>
      </c>
      <c r="G3130" t="s">
        <v>1317</v>
      </c>
    </row>
    <row r="3131" spans="1:7">
      <c r="A3131" t="s">
        <v>4734</v>
      </c>
      <c r="B3131" s="2">
        <v>45845</v>
      </c>
      <c r="C3131" t="s">
        <v>119</v>
      </c>
      <c r="D3131" t="s">
        <v>1629</v>
      </c>
      <c r="E3131">
        <v>232.3</v>
      </c>
      <c r="F3131" t="s">
        <v>1578</v>
      </c>
      <c r="G3131" t="s">
        <v>1317</v>
      </c>
    </row>
    <row r="3132" spans="1:7">
      <c r="A3132" t="s">
        <v>4735</v>
      </c>
      <c r="B3132" s="2">
        <v>45845</v>
      </c>
      <c r="C3132" t="s">
        <v>61</v>
      </c>
      <c r="D3132" t="s">
        <v>1629</v>
      </c>
      <c r="E3132">
        <v>370.26</v>
      </c>
      <c r="F3132" t="s">
        <v>1578</v>
      </c>
      <c r="G3132" t="s">
        <v>1318</v>
      </c>
    </row>
    <row r="3133" spans="1:7">
      <c r="A3133" t="s">
        <v>4736</v>
      </c>
      <c r="B3133" s="2">
        <v>45845</v>
      </c>
      <c r="C3133" t="s">
        <v>65</v>
      </c>
      <c r="D3133" t="s">
        <v>1629</v>
      </c>
      <c r="E3133">
        <v>368.44</v>
      </c>
      <c r="F3133" t="s">
        <v>1578</v>
      </c>
      <c r="G3133" t="s">
        <v>1318</v>
      </c>
    </row>
    <row r="3134" spans="1:7">
      <c r="A3134" t="s">
        <v>4737</v>
      </c>
      <c r="B3134" s="2">
        <v>45845</v>
      </c>
      <c r="C3134" t="s">
        <v>75</v>
      </c>
      <c r="D3134" t="s">
        <v>1629</v>
      </c>
      <c r="E3134">
        <v>366.63</v>
      </c>
      <c r="F3134" t="s">
        <v>1578</v>
      </c>
      <c r="G3134" t="s">
        <v>1318</v>
      </c>
    </row>
    <row r="3135" spans="1:7">
      <c r="A3135" t="s">
        <v>4738</v>
      </c>
      <c r="B3135" s="2">
        <v>45845</v>
      </c>
      <c r="C3135" t="s">
        <v>79</v>
      </c>
      <c r="D3135" t="s">
        <v>1629</v>
      </c>
      <c r="E3135">
        <v>370.26</v>
      </c>
      <c r="F3135" t="s">
        <v>1578</v>
      </c>
      <c r="G3135" t="s">
        <v>1318</v>
      </c>
    </row>
    <row r="3136" spans="1:7">
      <c r="A3136" t="s">
        <v>4739</v>
      </c>
      <c r="B3136" s="2">
        <v>45845</v>
      </c>
      <c r="C3136" t="s">
        <v>81</v>
      </c>
      <c r="D3136" t="s">
        <v>1629</v>
      </c>
      <c r="E3136">
        <v>733.26</v>
      </c>
      <c r="F3136" t="s">
        <v>1578</v>
      </c>
      <c r="G3136" t="s">
        <v>1318</v>
      </c>
    </row>
    <row r="3137" spans="1:7">
      <c r="A3137" t="s">
        <v>4740</v>
      </c>
      <c r="B3137" s="2">
        <v>45845</v>
      </c>
      <c r="C3137" t="s">
        <v>84</v>
      </c>
      <c r="D3137" t="s">
        <v>1629</v>
      </c>
      <c r="E3137">
        <v>130.86000000000001</v>
      </c>
      <c r="F3137" t="s">
        <v>1578</v>
      </c>
      <c r="G3137" t="s">
        <v>1318</v>
      </c>
    </row>
    <row r="3138" spans="1:7">
      <c r="A3138" t="s">
        <v>4741</v>
      </c>
      <c r="B3138" s="2">
        <v>45845</v>
      </c>
      <c r="C3138" t="s">
        <v>89</v>
      </c>
      <c r="D3138" t="s">
        <v>1629</v>
      </c>
      <c r="E3138">
        <v>558.11</v>
      </c>
      <c r="F3138" t="s">
        <v>1578</v>
      </c>
      <c r="G3138" t="s">
        <v>1318</v>
      </c>
    </row>
    <row r="3139" spans="1:7">
      <c r="A3139" t="s">
        <v>4742</v>
      </c>
      <c r="B3139" s="2">
        <v>45845</v>
      </c>
      <c r="C3139" t="s">
        <v>110</v>
      </c>
      <c r="D3139" t="s">
        <v>1629</v>
      </c>
      <c r="E3139">
        <v>370.26</v>
      </c>
      <c r="F3139" t="s">
        <v>1578</v>
      </c>
      <c r="G3139" t="s">
        <v>1318</v>
      </c>
    </row>
    <row r="3140" spans="1:7">
      <c r="A3140" t="s">
        <v>4743</v>
      </c>
      <c r="B3140" s="2">
        <v>45845</v>
      </c>
      <c r="C3140" t="s">
        <v>114</v>
      </c>
      <c r="D3140" t="s">
        <v>1629</v>
      </c>
      <c r="E3140">
        <v>366.63</v>
      </c>
      <c r="F3140" t="s">
        <v>1578</v>
      </c>
      <c r="G3140" t="s">
        <v>1318</v>
      </c>
    </row>
    <row r="3141" spans="1:7">
      <c r="A3141" t="s">
        <v>4744</v>
      </c>
      <c r="B3141" s="2">
        <v>45845</v>
      </c>
      <c r="C3141" t="s">
        <v>117</v>
      </c>
      <c r="D3141" t="s">
        <v>1629</v>
      </c>
      <c r="E3141">
        <v>364.81</v>
      </c>
      <c r="F3141" t="s">
        <v>1578</v>
      </c>
      <c r="G3141" t="s">
        <v>1318</v>
      </c>
    </row>
    <row r="3142" spans="1:7">
      <c r="A3142" t="s">
        <v>4745</v>
      </c>
      <c r="B3142" s="2">
        <v>45845</v>
      </c>
      <c r="C3142" t="s">
        <v>119</v>
      </c>
      <c r="D3142" t="s">
        <v>1629</v>
      </c>
      <c r="E3142">
        <v>366.63</v>
      </c>
      <c r="F3142" t="s">
        <v>1578</v>
      </c>
      <c r="G3142" t="s">
        <v>1318</v>
      </c>
    </row>
    <row r="3143" spans="1:7">
      <c r="A3143" t="s">
        <v>4746</v>
      </c>
      <c r="B3143" s="2">
        <v>45846</v>
      </c>
      <c r="C3143" t="s">
        <v>75</v>
      </c>
      <c r="D3143" t="s">
        <v>1629</v>
      </c>
      <c r="E3143">
        <v>337.34</v>
      </c>
      <c r="F3143" t="s">
        <v>1578</v>
      </c>
      <c r="G3143" t="s">
        <v>1319</v>
      </c>
    </row>
    <row r="3144" spans="1:7">
      <c r="A3144" t="s">
        <v>4747</v>
      </c>
      <c r="B3144" s="2">
        <v>45846</v>
      </c>
      <c r="C3144" t="s">
        <v>104</v>
      </c>
      <c r="D3144" t="s">
        <v>1629</v>
      </c>
      <c r="E3144">
        <v>688.04</v>
      </c>
      <c r="F3144" t="s">
        <v>1578</v>
      </c>
      <c r="G3144" t="s">
        <v>1319</v>
      </c>
    </row>
    <row r="3145" spans="1:7">
      <c r="A3145" t="s">
        <v>4748</v>
      </c>
      <c r="B3145" s="2">
        <v>45846</v>
      </c>
      <c r="C3145" t="s">
        <v>108</v>
      </c>
      <c r="D3145" t="s">
        <v>1629</v>
      </c>
      <c r="E3145">
        <v>678.02</v>
      </c>
      <c r="F3145" t="s">
        <v>1578</v>
      </c>
      <c r="G3145" t="s">
        <v>1319</v>
      </c>
    </row>
    <row r="3146" spans="1:7">
      <c r="A3146" t="s">
        <v>4749</v>
      </c>
      <c r="B3146" s="2">
        <v>45846</v>
      </c>
      <c r="C3146" t="s">
        <v>110</v>
      </c>
      <c r="D3146" t="s">
        <v>1629</v>
      </c>
      <c r="E3146">
        <v>340.68</v>
      </c>
      <c r="F3146" t="s">
        <v>1578</v>
      </c>
      <c r="G3146" t="s">
        <v>1319</v>
      </c>
    </row>
    <row r="3147" spans="1:7">
      <c r="A3147" t="s">
        <v>4750</v>
      </c>
      <c r="B3147" s="2">
        <v>45846</v>
      </c>
      <c r="C3147" t="s">
        <v>114</v>
      </c>
      <c r="D3147" t="s">
        <v>1629</v>
      </c>
      <c r="E3147">
        <v>337.34</v>
      </c>
      <c r="F3147" t="s">
        <v>1578</v>
      </c>
      <c r="G3147" t="s">
        <v>1319</v>
      </c>
    </row>
    <row r="3148" spans="1:7">
      <c r="A3148" t="s">
        <v>4751</v>
      </c>
      <c r="B3148" s="2">
        <v>45846</v>
      </c>
      <c r="C3148" t="s">
        <v>117</v>
      </c>
      <c r="D3148" t="s">
        <v>1629</v>
      </c>
      <c r="E3148">
        <v>335.67</v>
      </c>
      <c r="F3148" t="s">
        <v>1578</v>
      </c>
      <c r="G3148" t="s">
        <v>1319</v>
      </c>
    </row>
    <row r="3149" spans="1:7">
      <c r="A3149" t="s">
        <v>4752</v>
      </c>
      <c r="B3149" s="2">
        <v>45846</v>
      </c>
      <c r="C3149" t="s">
        <v>119</v>
      </c>
      <c r="D3149" t="s">
        <v>1629</v>
      </c>
      <c r="E3149">
        <v>337.34</v>
      </c>
      <c r="F3149" t="s">
        <v>1578</v>
      </c>
      <c r="G3149" t="s">
        <v>1319</v>
      </c>
    </row>
    <row r="3150" spans="1:7">
      <c r="A3150" t="s">
        <v>4753</v>
      </c>
      <c r="B3150" s="2">
        <v>45846</v>
      </c>
      <c r="C3150" t="s">
        <v>61</v>
      </c>
      <c r="D3150" t="s">
        <v>1629</v>
      </c>
      <c r="E3150">
        <v>342.72</v>
      </c>
      <c r="F3150" t="s">
        <v>1578</v>
      </c>
      <c r="G3150" t="s">
        <v>1320</v>
      </c>
    </row>
    <row r="3151" spans="1:7">
      <c r="A3151" t="s">
        <v>4754</v>
      </c>
      <c r="B3151" s="2">
        <v>45846</v>
      </c>
      <c r="C3151" t="s">
        <v>65</v>
      </c>
      <c r="D3151" t="s">
        <v>1629</v>
      </c>
      <c r="E3151">
        <v>341.04</v>
      </c>
      <c r="F3151" t="s">
        <v>1578</v>
      </c>
      <c r="G3151" t="s">
        <v>1320</v>
      </c>
    </row>
    <row r="3152" spans="1:7">
      <c r="A3152" t="s">
        <v>4755</v>
      </c>
      <c r="B3152" s="2">
        <v>45846</v>
      </c>
      <c r="C3152" t="s">
        <v>68</v>
      </c>
      <c r="D3152" t="s">
        <v>1629</v>
      </c>
      <c r="E3152">
        <v>342.72</v>
      </c>
      <c r="F3152" t="s">
        <v>1578</v>
      </c>
      <c r="G3152" t="s">
        <v>1320</v>
      </c>
    </row>
    <row r="3153" spans="1:7">
      <c r="A3153" t="s">
        <v>4756</v>
      </c>
      <c r="B3153" s="2">
        <v>45846</v>
      </c>
      <c r="C3153" t="s">
        <v>70</v>
      </c>
      <c r="D3153" t="s">
        <v>1629</v>
      </c>
      <c r="E3153">
        <v>339.36</v>
      </c>
      <c r="F3153" t="s">
        <v>1578</v>
      </c>
      <c r="G3153" t="s">
        <v>1320</v>
      </c>
    </row>
    <row r="3154" spans="1:7">
      <c r="A3154" t="s">
        <v>4757</v>
      </c>
      <c r="B3154" s="2">
        <v>45846</v>
      </c>
      <c r="C3154" t="s">
        <v>75</v>
      </c>
      <c r="D3154" t="s">
        <v>1629</v>
      </c>
      <c r="E3154">
        <v>339.36</v>
      </c>
      <c r="F3154" t="s">
        <v>1578</v>
      </c>
      <c r="G3154" t="s">
        <v>1320</v>
      </c>
    </row>
    <row r="3155" spans="1:7">
      <c r="A3155" t="s">
        <v>4758</v>
      </c>
      <c r="B3155" s="2">
        <v>45846</v>
      </c>
      <c r="C3155" t="s">
        <v>77</v>
      </c>
      <c r="D3155" t="s">
        <v>1629</v>
      </c>
      <c r="E3155">
        <v>339.36</v>
      </c>
      <c r="F3155" t="s">
        <v>1578</v>
      </c>
      <c r="G3155" t="s">
        <v>1320</v>
      </c>
    </row>
    <row r="3156" spans="1:7">
      <c r="A3156" t="s">
        <v>4759</v>
      </c>
      <c r="B3156" s="2">
        <v>45846</v>
      </c>
      <c r="C3156" t="s">
        <v>79</v>
      </c>
      <c r="D3156" t="s">
        <v>1629</v>
      </c>
      <c r="E3156">
        <v>342.72</v>
      </c>
      <c r="F3156" t="s">
        <v>1578</v>
      </c>
      <c r="G3156" t="s">
        <v>1320</v>
      </c>
    </row>
    <row r="3157" spans="1:7">
      <c r="A3157" t="s">
        <v>4760</v>
      </c>
      <c r="B3157" s="2">
        <v>45846</v>
      </c>
      <c r="C3157" t="s">
        <v>81</v>
      </c>
      <c r="D3157" t="s">
        <v>1629</v>
      </c>
      <c r="E3157">
        <v>678.72</v>
      </c>
      <c r="F3157" t="s">
        <v>1578</v>
      </c>
      <c r="G3157" t="s">
        <v>1320</v>
      </c>
    </row>
    <row r="3158" spans="1:7">
      <c r="A3158" t="s">
        <v>4761</v>
      </c>
      <c r="B3158" s="2">
        <v>45846</v>
      </c>
      <c r="C3158" t="s">
        <v>110</v>
      </c>
      <c r="D3158" t="s">
        <v>1629</v>
      </c>
      <c r="E3158">
        <v>342.72</v>
      </c>
      <c r="F3158" t="s">
        <v>1578</v>
      </c>
      <c r="G3158" t="s">
        <v>1320</v>
      </c>
    </row>
    <row r="3159" spans="1:7">
      <c r="A3159" t="s">
        <v>4762</v>
      </c>
      <c r="B3159" s="2">
        <v>45846</v>
      </c>
      <c r="C3159" t="s">
        <v>114</v>
      </c>
      <c r="D3159" t="s">
        <v>1629</v>
      </c>
      <c r="E3159">
        <v>339.36</v>
      </c>
      <c r="F3159" t="s">
        <v>1578</v>
      </c>
      <c r="G3159" t="s">
        <v>1320</v>
      </c>
    </row>
    <row r="3160" spans="1:7">
      <c r="A3160" t="s">
        <v>4763</v>
      </c>
      <c r="B3160" s="2">
        <v>45846</v>
      </c>
      <c r="C3160" t="s">
        <v>117</v>
      </c>
      <c r="D3160" t="s">
        <v>1629</v>
      </c>
      <c r="E3160">
        <v>337.68</v>
      </c>
      <c r="F3160" t="s">
        <v>1578</v>
      </c>
      <c r="G3160" t="s">
        <v>1320</v>
      </c>
    </row>
    <row r="3161" spans="1:7">
      <c r="A3161" t="s">
        <v>4764</v>
      </c>
      <c r="B3161" s="2">
        <v>45846</v>
      </c>
      <c r="C3161" t="s">
        <v>119</v>
      </c>
      <c r="D3161" t="s">
        <v>1629</v>
      </c>
      <c r="E3161">
        <v>339.36</v>
      </c>
      <c r="F3161" t="s">
        <v>1578</v>
      </c>
      <c r="G3161" t="s">
        <v>1320</v>
      </c>
    </row>
    <row r="3162" spans="1:7">
      <c r="A3162" t="s">
        <v>4765</v>
      </c>
      <c r="B3162" s="2">
        <v>45846</v>
      </c>
      <c r="C3162" t="s">
        <v>73</v>
      </c>
      <c r="D3162" t="s">
        <v>1683</v>
      </c>
      <c r="E3162">
        <v>580</v>
      </c>
      <c r="F3162" t="s">
        <v>1578</v>
      </c>
      <c r="G3162" t="s">
        <v>713</v>
      </c>
    </row>
    <row r="3163" spans="1:7">
      <c r="A3163" t="s">
        <v>4766</v>
      </c>
      <c r="B3163" s="2">
        <v>45847</v>
      </c>
      <c r="C3163" t="s">
        <v>61</v>
      </c>
      <c r="D3163" t="s">
        <v>1629</v>
      </c>
      <c r="E3163">
        <v>296.82</v>
      </c>
      <c r="F3163" t="s">
        <v>1578</v>
      </c>
      <c r="G3163" t="s">
        <v>1321</v>
      </c>
    </row>
    <row r="3164" spans="1:7">
      <c r="A3164" t="s">
        <v>4767</v>
      </c>
      <c r="B3164" s="2">
        <v>45847</v>
      </c>
      <c r="C3164" t="s">
        <v>65</v>
      </c>
      <c r="D3164" t="s">
        <v>1629</v>
      </c>
      <c r="E3164">
        <v>295.36</v>
      </c>
      <c r="F3164" t="s">
        <v>1578</v>
      </c>
      <c r="G3164" t="s">
        <v>1321</v>
      </c>
    </row>
    <row r="3165" spans="1:7">
      <c r="A3165" t="s">
        <v>4768</v>
      </c>
      <c r="B3165" s="2">
        <v>45847</v>
      </c>
      <c r="C3165" t="s">
        <v>68</v>
      </c>
      <c r="D3165" t="s">
        <v>1629</v>
      </c>
      <c r="E3165">
        <v>296.82</v>
      </c>
      <c r="F3165" t="s">
        <v>1578</v>
      </c>
      <c r="G3165" t="s">
        <v>1321</v>
      </c>
    </row>
    <row r="3166" spans="1:7">
      <c r="A3166" t="s">
        <v>4769</v>
      </c>
      <c r="B3166" s="2">
        <v>45847</v>
      </c>
      <c r="C3166" t="s">
        <v>70</v>
      </c>
      <c r="D3166" t="s">
        <v>1629</v>
      </c>
      <c r="E3166">
        <v>293.91000000000003</v>
      </c>
      <c r="F3166" t="s">
        <v>1578</v>
      </c>
      <c r="G3166" t="s">
        <v>1321</v>
      </c>
    </row>
    <row r="3167" spans="1:7">
      <c r="A3167" t="s">
        <v>4770</v>
      </c>
      <c r="B3167" s="2">
        <v>45847</v>
      </c>
      <c r="C3167" t="s">
        <v>73</v>
      </c>
      <c r="D3167" t="s">
        <v>1629</v>
      </c>
      <c r="E3167">
        <v>296.82</v>
      </c>
      <c r="F3167" t="s">
        <v>1578</v>
      </c>
      <c r="G3167" t="s">
        <v>1321</v>
      </c>
    </row>
    <row r="3168" spans="1:7">
      <c r="A3168" t="s">
        <v>4771</v>
      </c>
      <c r="B3168" s="2">
        <v>45847</v>
      </c>
      <c r="C3168" t="s">
        <v>75</v>
      </c>
      <c r="D3168" t="s">
        <v>1629</v>
      </c>
      <c r="E3168">
        <v>293.91000000000003</v>
      </c>
      <c r="F3168" t="s">
        <v>1578</v>
      </c>
      <c r="G3168" t="s">
        <v>1321</v>
      </c>
    </row>
    <row r="3169" spans="1:7">
      <c r="A3169" t="s">
        <v>4772</v>
      </c>
      <c r="B3169" s="2">
        <v>45847</v>
      </c>
      <c r="C3169" t="s">
        <v>77</v>
      </c>
      <c r="D3169" t="s">
        <v>1629</v>
      </c>
      <c r="E3169">
        <v>293.91000000000003</v>
      </c>
      <c r="F3169" t="s">
        <v>1578</v>
      </c>
      <c r="G3169" t="s">
        <v>1321</v>
      </c>
    </row>
    <row r="3170" spans="1:7">
      <c r="A3170" t="s">
        <v>4773</v>
      </c>
      <c r="B3170" s="2">
        <v>45847</v>
      </c>
      <c r="C3170" t="s">
        <v>79</v>
      </c>
      <c r="D3170" t="s">
        <v>1629</v>
      </c>
      <c r="E3170">
        <v>296.82</v>
      </c>
      <c r="F3170" t="s">
        <v>1578</v>
      </c>
      <c r="G3170" t="s">
        <v>1321</v>
      </c>
    </row>
    <row r="3171" spans="1:7">
      <c r="A3171" t="s">
        <v>4774</v>
      </c>
      <c r="B3171" s="2">
        <v>45847</v>
      </c>
      <c r="C3171" t="s">
        <v>81</v>
      </c>
      <c r="D3171" t="s">
        <v>1629</v>
      </c>
      <c r="E3171">
        <v>587.82000000000005</v>
      </c>
      <c r="F3171" t="s">
        <v>1578</v>
      </c>
      <c r="G3171" t="s">
        <v>1321</v>
      </c>
    </row>
    <row r="3172" spans="1:7">
      <c r="A3172" t="s">
        <v>4775</v>
      </c>
      <c r="B3172" s="2">
        <v>45847</v>
      </c>
      <c r="C3172" t="s">
        <v>108</v>
      </c>
      <c r="D3172" t="s">
        <v>1629</v>
      </c>
      <c r="E3172">
        <v>590.73</v>
      </c>
      <c r="F3172" t="s">
        <v>1578</v>
      </c>
      <c r="G3172" t="s">
        <v>1321</v>
      </c>
    </row>
    <row r="3173" spans="1:7">
      <c r="A3173" t="s">
        <v>4776</v>
      </c>
      <c r="B3173" s="2">
        <v>45847</v>
      </c>
      <c r="C3173" t="s">
        <v>110</v>
      </c>
      <c r="D3173" t="s">
        <v>1629</v>
      </c>
      <c r="E3173">
        <v>296.82</v>
      </c>
      <c r="F3173" t="s">
        <v>1578</v>
      </c>
      <c r="G3173" t="s">
        <v>1321</v>
      </c>
    </row>
    <row r="3174" spans="1:7">
      <c r="A3174" t="s">
        <v>4777</v>
      </c>
      <c r="B3174" s="2">
        <v>45847</v>
      </c>
      <c r="C3174" t="s">
        <v>114</v>
      </c>
      <c r="D3174" t="s">
        <v>1629</v>
      </c>
      <c r="E3174">
        <v>293.91000000000003</v>
      </c>
      <c r="F3174" t="s">
        <v>1578</v>
      </c>
      <c r="G3174" t="s">
        <v>1321</v>
      </c>
    </row>
    <row r="3175" spans="1:7">
      <c r="A3175" t="s">
        <v>4778</v>
      </c>
      <c r="B3175" s="2">
        <v>45847</v>
      </c>
      <c r="C3175" t="s">
        <v>117</v>
      </c>
      <c r="D3175" t="s">
        <v>1629</v>
      </c>
      <c r="E3175">
        <v>292.45999999999998</v>
      </c>
      <c r="F3175" t="s">
        <v>1578</v>
      </c>
      <c r="G3175" t="s">
        <v>1321</v>
      </c>
    </row>
    <row r="3176" spans="1:7">
      <c r="A3176" t="s">
        <v>4779</v>
      </c>
      <c r="B3176" s="2">
        <v>45847</v>
      </c>
      <c r="C3176" t="s">
        <v>119</v>
      </c>
      <c r="D3176" t="s">
        <v>1629</v>
      </c>
      <c r="E3176">
        <v>293.91000000000003</v>
      </c>
      <c r="F3176" t="s">
        <v>1578</v>
      </c>
      <c r="G3176" t="s">
        <v>1321</v>
      </c>
    </row>
    <row r="3177" spans="1:7">
      <c r="A3177" t="s">
        <v>4780</v>
      </c>
      <c r="B3177" s="2">
        <v>45847</v>
      </c>
      <c r="C3177" t="s">
        <v>91</v>
      </c>
      <c r="D3177" t="s">
        <v>1683</v>
      </c>
      <c r="E3177">
        <v>173</v>
      </c>
      <c r="F3177" t="s">
        <v>1578</v>
      </c>
      <c r="G3177" t="s">
        <v>714</v>
      </c>
    </row>
    <row r="3178" spans="1:7">
      <c r="A3178" t="s">
        <v>4781</v>
      </c>
      <c r="B3178" s="2">
        <v>45847</v>
      </c>
      <c r="C3178" t="s">
        <v>106</v>
      </c>
      <c r="D3178" t="s">
        <v>1683</v>
      </c>
      <c r="E3178">
        <v>471</v>
      </c>
      <c r="F3178" t="s">
        <v>1578</v>
      </c>
      <c r="G3178" t="s">
        <v>715</v>
      </c>
    </row>
    <row r="3179" spans="1:7">
      <c r="A3179" t="s">
        <v>4782</v>
      </c>
      <c r="B3179" s="2">
        <v>45848</v>
      </c>
      <c r="C3179" t="s">
        <v>61</v>
      </c>
      <c r="D3179" t="s">
        <v>1629</v>
      </c>
      <c r="E3179">
        <v>257.04000000000002</v>
      </c>
      <c r="F3179" t="s">
        <v>1578</v>
      </c>
      <c r="G3179" t="s">
        <v>1322</v>
      </c>
    </row>
    <row r="3180" spans="1:7">
      <c r="A3180" t="s">
        <v>4783</v>
      </c>
      <c r="B3180" s="2">
        <v>45848</v>
      </c>
      <c r="C3180" t="s">
        <v>65</v>
      </c>
      <c r="D3180" t="s">
        <v>1629</v>
      </c>
      <c r="E3180">
        <v>255.78</v>
      </c>
      <c r="F3180" t="s">
        <v>1578</v>
      </c>
      <c r="G3180" t="s">
        <v>1322</v>
      </c>
    </row>
    <row r="3181" spans="1:7">
      <c r="A3181" t="s">
        <v>4784</v>
      </c>
      <c r="B3181" s="2">
        <v>45848</v>
      </c>
      <c r="C3181" t="s">
        <v>68</v>
      </c>
      <c r="D3181" t="s">
        <v>1629</v>
      </c>
      <c r="E3181">
        <v>257.04000000000002</v>
      </c>
      <c r="F3181" t="s">
        <v>1578</v>
      </c>
      <c r="G3181" t="s">
        <v>1322</v>
      </c>
    </row>
    <row r="3182" spans="1:7">
      <c r="A3182" t="s">
        <v>4785</v>
      </c>
      <c r="B3182" s="2">
        <v>45848</v>
      </c>
      <c r="C3182" t="s">
        <v>70</v>
      </c>
      <c r="D3182" t="s">
        <v>1629</v>
      </c>
      <c r="E3182">
        <v>254.52</v>
      </c>
      <c r="F3182" t="s">
        <v>1578</v>
      </c>
      <c r="G3182" t="s">
        <v>1322</v>
      </c>
    </row>
    <row r="3183" spans="1:7">
      <c r="A3183" t="s">
        <v>4786</v>
      </c>
      <c r="B3183" s="2">
        <v>45848</v>
      </c>
      <c r="C3183" t="s">
        <v>75</v>
      </c>
      <c r="D3183" t="s">
        <v>1629</v>
      </c>
      <c r="E3183">
        <v>254.52</v>
      </c>
      <c r="F3183" t="s">
        <v>1578</v>
      </c>
      <c r="G3183" t="s">
        <v>1322</v>
      </c>
    </row>
    <row r="3184" spans="1:7">
      <c r="A3184" t="s">
        <v>4787</v>
      </c>
      <c r="B3184" s="2">
        <v>45848</v>
      </c>
      <c r="C3184" t="s">
        <v>77</v>
      </c>
      <c r="D3184" t="s">
        <v>1629</v>
      </c>
      <c r="E3184">
        <v>254.52</v>
      </c>
      <c r="F3184" t="s">
        <v>1578</v>
      </c>
      <c r="G3184" t="s">
        <v>1322</v>
      </c>
    </row>
    <row r="3185" spans="1:7">
      <c r="A3185" t="s">
        <v>4788</v>
      </c>
      <c r="B3185" s="2">
        <v>45848</v>
      </c>
      <c r="C3185" t="s">
        <v>79</v>
      </c>
      <c r="D3185" t="s">
        <v>1629</v>
      </c>
      <c r="E3185">
        <v>257.04000000000002</v>
      </c>
      <c r="F3185" t="s">
        <v>1578</v>
      </c>
      <c r="G3185" t="s">
        <v>1322</v>
      </c>
    </row>
    <row r="3186" spans="1:7">
      <c r="A3186" t="s">
        <v>4789</v>
      </c>
      <c r="B3186" s="2">
        <v>45848</v>
      </c>
      <c r="C3186" t="s">
        <v>81</v>
      </c>
      <c r="D3186" t="s">
        <v>1629</v>
      </c>
      <c r="E3186">
        <v>509.04</v>
      </c>
      <c r="F3186" t="s">
        <v>1578</v>
      </c>
      <c r="G3186" t="s">
        <v>1322</v>
      </c>
    </row>
    <row r="3187" spans="1:7">
      <c r="A3187" t="s">
        <v>4790</v>
      </c>
      <c r="B3187" s="2">
        <v>45848</v>
      </c>
      <c r="C3187" t="s">
        <v>110</v>
      </c>
      <c r="D3187" t="s">
        <v>1629</v>
      </c>
      <c r="E3187">
        <v>257.04000000000002</v>
      </c>
      <c r="F3187" t="s">
        <v>1578</v>
      </c>
      <c r="G3187" t="s">
        <v>1322</v>
      </c>
    </row>
    <row r="3188" spans="1:7">
      <c r="A3188" t="s">
        <v>4791</v>
      </c>
      <c r="B3188" s="2">
        <v>45848</v>
      </c>
      <c r="C3188" t="s">
        <v>114</v>
      </c>
      <c r="D3188" t="s">
        <v>1629</v>
      </c>
      <c r="E3188">
        <v>254.52</v>
      </c>
      <c r="F3188" t="s">
        <v>1578</v>
      </c>
      <c r="G3188" t="s">
        <v>1322</v>
      </c>
    </row>
    <row r="3189" spans="1:7">
      <c r="A3189" t="s">
        <v>4792</v>
      </c>
      <c r="B3189" s="2">
        <v>45848</v>
      </c>
      <c r="C3189" t="s">
        <v>117</v>
      </c>
      <c r="D3189" t="s">
        <v>1629</v>
      </c>
      <c r="E3189">
        <v>253.26</v>
      </c>
      <c r="F3189" t="s">
        <v>1578</v>
      </c>
      <c r="G3189" t="s">
        <v>1322</v>
      </c>
    </row>
    <row r="3190" spans="1:7">
      <c r="A3190" t="s">
        <v>4793</v>
      </c>
      <c r="B3190" s="2">
        <v>45848</v>
      </c>
      <c r="C3190" t="s">
        <v>119</v>
      </c>
      <c r="D3190" t="s">
        <v>1629</v>
      </c>
      <c r="E3190">
        <v>254.52</v>
      </c>
      <c r="F3190" t="s">
        <v>1578</v>
      </c>
      <c r="G3190" t="s">
        <v>1322</v>
      </c>
    </row>
    <row r="3191" spans="1:7">
      <c r="A3191" t="s">
        <v>4794</v>
      </c>
      <c r="B3191" s="2">
        <v>45848</v>
      </c>
      <c r="C3191" t="s">
        <v>75</v>
      </c>
      <c r="D3191" t="s">
        <v>1629</v>
      </c>
      <c r="E3191">
        <v>463.59</v>
      </c>
      <c r="F3191" t="s">
        <v>1578</v>
      </c>
      <c r="G3191" t="s">
        <v>1323</v>
      </c>
    </row>
    <row r="3192" spans="1:7">
      <c r="A3192" t="s">
        <v>4795</v>
      </c>
      <c r="B3192" s="2">
        <v>45848</v>
      </c>
      <c r="C3192" t="s">
        <v>106</v>
      </c>
      <c r="D3192" t="s">
        <v>1629</v>
      </c>
      <c r="E3192">
        <v>472.77</v>
      </c>
      <c r="F3192" t="s">
        <v>1578</v>
      </c>
      <c r="G3192" t="s">
        <v>1323</v>
      </c>
    </row>
    <row r="3193" spans="1:7">
      <c r="A3193" t="s">
        <v>4796</v>
      </c>
      <c r="B3193" s="2">
        <v>45848</v>
      </c>
      <c r="C3193" t="s">
        <v>108</v>
      </c>
      <c r="D3193" t="s">
        <v>1629</v>
      </c>
      <c r="E3193">
        <v>931.77</v>
      </c>
      <c r="F3193" t="s">
        <v>1578</v>
      </c>
      <c r="G3193" t="s">
        <v>1323</v>
      </c>
    </row>
    <row r="3194" spans="1:7">
      <c r="A3194" t="s">
        <v>4797</v>
      </c>
      <c r="B3194" s="2">
        <v>45848</v>
      </c>
      <c r="C3194" t="s">
        <v>110</v>
      </c>
      <c r="D3194" t="s">
        <v>1629</v>
      </c>
      <c r="E3194">
        <v>468.18</v>
      </c>
      <c r="F3194" t="s">
        <v>1578</v>
      </c>
      <c r="G3194" t="s">
        <v>1323</v>
      </c>
    </row>
    <row r="3195" spans="1:7">
      <c r="A3195" t="s">
        <v>4798</v>
      </c>
      <c r="B3195" s="2">
        <v>45848</v>
      </c>
      <c r="C3195" t="s">
        <v>114</v>
      </c>
      <c r="D3195" t="s">
        <v>1629</v>
      </c>
      <c r="E3195">
        <v>463.59</v>
      </c>
      <c r="F3195" t="s">
        <v>1578</v>
      </c>
      <c r="G3195" t="s">
        <v>1323</v>
      </c>
    </row>
    <row r="3196" spans="1:7">
      <c r="A3196" t="s">
        <v>4799</v>
      </c>
      <c r="B3196" s="2">
        <v>45848</v>
      </c>
      <c r="C3196" t="s">
        <v>117</v>
      </c>
      <c r="D3196" t="s">
        <v>1629</v>
      </c>
      <c r="E3196">
        <v>461.29</v>
      </c>
      <c r="F3196" t="s">
        <v>1578</v>
      </c>
      <c r="G3196" t="s">
        <v>1323</v>
      </c>
    </row>
    <row r="3197" spans="1:7">
      <c r="A3197" t="s">
        <v>4800</v>
      </c>
      <c r="B3197" s="2">
        <v>45848</v>
      </c>
      <c r="C3197" t="s">
        <v>119</v>
      </c>
      <c r="D3197" t="s">
        <v>1629</v>
      </c>
      <c r="E3197">
        <v>463.59</v>
      </c>
      <c r="F3197" t="s">
        <v>1578</v>
      </c>
      <c r="G3197" t="s">
        <v>1323</v>
      </c>
    </row>
    <row r="3198" spans="1:7">
      <c r="A3198" t="s">
        <v>4801</v>
      </c>
      <c r="B3198" s="2">
        <v>45848</v>
      </c>
      <c r="C3198" t="s">
        <v>104</v>
      </c>
      <c r="D3198" t="s">
        <v>1683</v>
      </c>
      <c r="E3198">
        <v>266</v>
      </c>
      <c r="F3198" t="s">
        <v>1578</v>
      </c>
      <c r="G3198" t="s">
        <v>716</v>
      </c>
    </row>
    <row r="3199" spans="1:7">
      <c r="A3199" t="s">
        <v>4802</v>
      </c>
      <c r="B3199" s="2">
        <v>45848</v>
      </c>
      <c r="C3199" t="s">
        <v>75</v>
      </c>
      <c r="D3199" t="s">
        <v>1683</v>
      </c>
      <c r="E3199">
        <v>150</v>
      </c>
      <c r="F3199" t="s">
        <v>1578</v>
      </c>
      <c r="G3199" t="s">
        <v>717</v>
      </c>
    </row>
    <row r="3200" spans="1:7">
      <c r="A3200" t="s">
        <v>4803</v>
      </c>
      <c r="B3200" s="2">
        <v>45848</v>
      </c>
      <c r="C3200" t="s">
        <v>108</v>
      </c>
      <c r="D3200" t="s">
        <v>1683</v>
      </c>
      <c r="E3200">
        <v>293</v>
      </c>
      <c r="F3200" t="s">
        <v>1578</v>
      </c>
      <c r="G3200" t="s">
        <v>718</v>
      </c>
    </row>
    <row r="3201" spans="1:7">
      <c r="A3201" t="s">
        <v>4804</v>
      </c>
      <c r="B3201" s="2">
        <v>45848</v>
      </c>
      <c r="C3201" t="s">
        <v>102</v>
      </c>
      <c r="D3201" t="s">
        <v>1683</v>
      </c>
      <c r="E3201">
        <v>214</v>
      </c>
      <c r="F3201" t="s">
        <v>1578</v>
      </c>
      <c r="G3201" t="s">
        <v>719</v>
      </c>
    </row>
    <row r="3202" spans="1:7">
      <c r="A3202" t="s">
        <v>4805</v>
      </c>
      <c r="B3202" s="2">
        <v>45849</v>
      </c>
      <c r="C3202" t="s">
        <v>75</v>
      </c>
      <c r="D3202" t="s">
        <v>1629</v>
      </c>
      <c r="E3202">
        <v>332.29</v>
      </c>
      <c r="F3202" t="s">
        <v>1578</v>
      </c>
      <c r="G3202" t="s">
        <v>1324</v>
      </c>
    </row>
    <row r="3203" spans="1:7">
      <c r="A3203" t="s">
        <v>4806</v>
      </c>
      <c r="B3203" s="2">
        <v>45849</v>
      </c>
      <c r="C3203" t="s">
        <v>104</v>
      </c>
      <c r="D3203" t="s">
        <v>1629</v>
      </c>
      <c r="E3203">
        <v>677.74</v>
      </c>
      <c r="F3203" t="s">
        <v>1578</v>
      </c>
      <c r="G3203" t="s">
        <v>1324</v>
      </c>
    </row>
    <row r="3204" spans="1:7">
      <c r="A3204" t="s">
        <v>4807</v>
      </c>
      <c r="B3204" s="2">
        <v>45849</v>
      </c>
      <c r="C3204" t="s">
        <v>108</v>
      </c>
      <c r="D3204" t="s">
        <v>1629</v>
      </c>
      <c r="E3204">
        <v>667.87</v>
      </c>
      <c r="F3204" t="s">
        <v>1578</v>
      </c>
      <c r="G3204" t="s">
        <v>1324</v>
      </c>
    </row>
    <row r="3205" spans="1:7">
      <c r="A3205" t="s">
        <v>4808</v>
      </c>
      <c r="B3205" s="2">
        <v>45849</v>
      </c>
      <c r="C3205" t="s">
        <v>110</v>
      </c>
      <c r="D3205" t="s">
        <v>1629</v>
      </c>
      <c r="E3205">
        <v>335.58</v>
      </c>
      <c r="F3205" t="s">
        <v>1578</v>
      </c>
      <c r="G3205" t="s">
        <v>1324</v>
      </c>
    </row>
    <row r="3206" spans="1:7">
      <c r="A3206" t="s">
        <v>4809</v>
      </c>
      <c r="B3206" s="2">
        <v>45849</v>
      </c>
      <c r="C3206" t="s">
        <v>114</v>
      </c>
      <c r="D3206" t="s">
        <v>1629</v>
      </c>
      <c r="E3206">
        <v>332.29</v>
      </c>
      <c r="F3206" t="s">
        <v>1578</v>
      </c>
      <c r="G3206" t="s">
        <v>1324</v>
      </c>
    </row>
    <row r="3207" spans="1:7">
      <c r="A3207" t="s">
        <v>4810</v>
      </c>
      <c r="B3207" s="2">
        <v>45849</v>
      </c>
      <c r="C3207" t="s">
        <v>117</v>
      </c>
      <c r="D3207" t="s">
        <v>1629</v>
      </c>
      <c r="E3207">
        <v>330.64</v>
      </c>
      <c r="F3207" t="s">
        <v>1578</v>
      </c>
      <c r="G3207" t="s">
        <v>1324</v>
      </c>
    </row>
    <row r="3208" spans="1:7">
      <c r="A3208" t="s">
        <v>4811</v>
      </c>
      <c r="B3208" s="2">
        <v>45849</v>
      </c>
      <c r="C3208" t="s">
        <v>119</v>
      </c>
      <c r="D3208" t="s">
        <v>1629</v>
      </c>
      <c r="E3208">
        <v>332.29</v>
      </c>
      <c r="F3208" t="s">
        <v>1578</v>
      </c>
      <c r="G3208" t="s">
        <v>1324</v>
      </c>
    </row>
    <row r="3209" spans="1:7">
      <c r="A3209" t="s">
        <v>4812</v>
      </c>
      <c r="B3209" s="2">
        <v>45849</v>
      </c>
      <c r="C3209" t="s">
        <v>97</v>
      </c>
      <c r="D3209" t="s">
        <v>1683</v>
      </c>
      <c r="E3209">
        <v>172</v>
      </c>
      <c r="F3209" t="s">
        <v>1578</v>
      </c>
      <c r="G3209" t="s">
        <v>721</v>
      </c>
    </row>
    <row r="3210" spans="1:7">
      <c r="A3210" t="s">
        <v>4813</v>
      </c>
      <c r="B3210" s="2">
        <v>45850</v>
      </c>
      <c r="C3210" t="s">
        <v>61</v>
      </c>
      <c r="D3210" t="s">
        <v>1629</v>
      </c>
      <c r="E3210">
        <v>255</v>
      </c>
      <c r="F3210" t="s">
        <v>1578</v>
      </c>
      <c r="G3210" t="s">
        <v>1325</v>
      </c>
    </row>
    <row r="3211" spans="1:7">
      <c r="A3211" t="s">
        <v>4814</v>
      </c>
      <c r="B3211" s="2">
        <v>45850</v>
      </c>
      <c r="C3211" t="s">
        <v>65</v>
      </c>
      <c r="D3211" t="s">
        <v>1629</v>
      </c>
      <c r="E3211">
        <v>253.75</v>
      </c>
      <c r="F3211" t="s">
        <v>1578</v>
      </c>
      <c r="G3211" t="s">
        <v>1325</v>
      </c>
    </row>
    <row r="3212" spans="1:7">
      <c r="A3212" t="s">
        <v>4815</v>
      </c>
      <c r="B3212" s="2">
        <v>45850</v>
      </c>
      <c r="C3212" t="s">
        <v>75</v>
      </c>
      <c r="D3212" t="s">
        <v>1629</v>
      </c>
      <c r="E3212">
        <v>252.5</v>
      </c>
      <c r="F3212" t="s">
        <v>1578</v>
      </c>
      <c r="G3212" t="s">
        <v>1325</v>
      </c>
    </row>
    <row r="3213" spans="1:7">
      <c r="A3213" t="s">
        <v>4816</v>
      </c>
      <c r="B3213" s="2">
        <v>45850</v>
      </c>
      <c r="C3213" t="s">
        <v>79</v>
      </c>
      <c r="D3213" t="s">
        <v>1629</v>
      </c>
      <c r="E3213">
        <v>255</v>
      </c>
      <c r="F3213" t="s">
        <v>1578</v>
      </c>
      <c r="G3213" t="s">
        <v>1325</v>
      </c>
    </row>
    <row r="3214" spans="1:7">
      <c r="A3214" t="s">
        <v>4817</v>
      </c>
      <c r="B3214" s="2">
        <v>45850</v>
      </c>
      <c r="C3214" t="s">
        <v>81</v>
      </c>
      <c r="D3214" t="s">
        <v>1629</v>
      </c>
      <c r="E3214">
        <v>505</v>
      </c>
      <c r="F3214" t="s">
        <v>1578</v>
      </c>
      <c r="G3214" t="s">
        <v>1325</v>
      </c>
    </row>
    <row r="3215" spans="1:7">
      <c r="A3215" t="s">
        <v>4818</v>
      </c>
      <c r="B3215" s="2">
        <v>45850</v>
      </c>
      <c r="C3215" t="s">
        <v>84</v>
      </c>
      <c r="D3215" t="s">
        <v>1629</v>
      </c>
      <c r="E3215">
        <v>90.12</v>
      </c>
      <c r="F3215" t="s">
        <v>1578</v>
      </c>
      <c r="G3215" t="s">
        <v>1325</v>
      </c>
    </row>
    <row r="3216" spans="1:7">
      <c r="A3216" t="s">
        <v>4819</v>
      </c>
      <c r="B3216" s="2">
        <v>45850</v>
      </c>
      <c r="C3216" t="s">
        <v>89</v>
      </c>
      <c r="D3216" t="s">
        <v>1629</v>
      </c>
      <c r="E3216">
        <v>384.37</v>
      </c>
      <c r="F3216" t="s">
        <v>1578</v>
      </c>
      <c r="G3216" t="s">
        <v>1325</v>
      </c>
    </row>
    <row r="3217" spans="1:7">
      <c r="A3217" t="s">
        <v>4820</v>
      </c>
      <c r="B3217" s="2">
        <v>45850</v>
      </c>
      <c r="C3217" t="s">
        <v>110</v>
      </c>
      <c r="D3217" t="s">
        <v>1629</v>
      </c>
      <c r="E3217">
        <v>255</v>
      </c>
      <c r="F3217" t="s">
        <v>1578</v>
      </c>
      <c r="G3217" t="s">
        <v>1325</v>
      </c>
    </row>
    <row r="3218" spans="1:7">
      <c r="A3218" t="s">
        <v>4821</v>
      </c>
      <c r="B3218" s="2">
        <v>45850</v>
      </c>
      <c r="C3218" t="s">
        <v>114</v>
      </c>
      <c r="D3218" t="s">
        <v>1629</v>
      </c>
      <c r="E3218">
        <v>252.5</v>
      </c>
      <c r="F3218" t="s">
        <v>1578</v>
      </c>
      <c r="G3218" t="s">
        <v>1325</v>
      </c>
    </row>
    <row r="3219" spans="1:7">
      <c r="A3219" t="s">
        <v>4822</v>
      </c>
      <c r="B3219" s="2">
        <v>45850</v>
      </c>
      <c r="C3219" t="s">
        <v>117</v>
      </c>
      <c r="D3219" t="s">
        <v>1629</v>
      </c>
      <c r="E3219">
        <v>251.25</v>
      </c>
      <c r="F3219" t="s">
        <v>1578</v>
      </c>
      <c r="G3219" t="s">
        <v>1325</v>
      </c>
    </row>
    <row r="3220" spans="1:7">
      <c r="A3220" t="s">
        <v>4823</v>
      </c>
      <c r="B3220" s="2">
        <v>45850</v>
      </c>
      <c r="C3220" t="s">
        <v>119</v>
      </c>
      <c r="D3220" t="s">
        <v>1629</v>
      </c>
      <c r="E3220">
        <v>252.5</v>
      </c>
      <c r="F3220" t="s">
        <v>1578</v>
      </c>
      <c r="G3220" t="s">
        <v>1325</v>
      </c>
    </row>
    <row r="3221" spans="1:7">
      <c r="A3221" t="s">
        <v>4824</v>
      </c>
      <c r="B3221" s="2">
        <v>45850</v>
      </c>
      <c r="C3221" t="s">
        <v>102</v>
      </c>
      <c r="D3221" t="s">
        <v>1683</v>
      </c>
      <c r="E3221">
        <v>134</v>
      </c>
      <c r="F3221" t="s">
        <v>1578</v>
      </c>
      <c r="G3221" t="s">
        <v>723</v>
      </c>
    </row>
    <row r="3222" spans="1:7">
      <c r="A3222" t="s">
        <v>4825</v>
      </c>
      <c r="B3222" s="2">
        <v>45850</v>
      </c>
      <c r="C3222" t="s">
        <v>108</v>
      </c>
      <c r="D3222" t="s">
        <v>1683</v>
      </c>
      <c r="E3222">
        <v>370</v>
      </c>
      <c r="F3222" t="s">
        <v>1578</v>
      </c>
      <c r="G3222" t="s">
        <v>724</v>
      </c>
    </row>
    <row r="3223" spans="1:7">
      <c r="A3223" t="s">
        <v>4826</v>
      </c>
      <c r="B3223" s="2">
        <v>45850</v>
      </c>
      <c r="C3223" t="s">
        <v>104</v>
      </c>
      <c r="D3223" t="s">
        <v>1683</v>
      </c>
      <c r="E3223">
        <v>552</v>
      </c>
      <c r="F3223" t="s">
        <v>1578</v>
      </c>
      <c r="G3223" t="s">
        <v>725</v>
      </c>
    </row>
    <row r="3224" spans="1:7">
      <c r="A3224" t="s">
        <v>4827</v>
      </c>
      <c r="B3224" s="2">
        <v>45851</v>
      </c>
      <c r="C3224" t="s">
        <v>61</v>
      </c>
      <c r="D3224" t="s">
        <v>1629</v>
      </c>
      <c r="E3224">
        <v>173.4</v>
      </c>
      <c r="F3224" t="s">
        <v>1578</v>
      </c>
      <c r="G3224" t="s">
        <v>1326</v>
      </c>
    </row>
    <row r="3225" spans="1:7">
      <c r="A3225" t="s">
        <v>4828</v>
      </c>
      <c r="B3225" s="2">
        <v>45851</v>
      </c>
      <c r="C3225" t="s">
        <v>65</v>
      </c>
      <c r="D3225" t="s">
        <v>1629</v>
      </c>
      <c r="E3225">
        <v>172.55</v>
      </c>
      <c r="F3225" t="s">
        <v>1578</v>
      </c>
      <c r="G3225" t="s">
        <v>1326</v>
      </c>
    </row>
    <row r="3226" spans="1:7">
      <c r="A3226" t="s">
        <v>4829</v>
      </c>
      <c r="B3226" s="2">
        <v>45851</v>
      </c>
      <c r="C3226" t="s">
        <v>75</v>
      </c>
      <c r="D3226" t="s">
        <v>1629</v>
      </c>
      <c r="E3226">
        <v>171.7</v>
      </c>
      <c r="F3226" t="s">
        <v>1578</v>
      </c>
      <c r="G3226" t="s">
        <v>1326</v>
      </c>
    </row>
    <row r="3227" spans="1:7">
      <c r="A3227" t="s">
        <v>4830</v>
      </c>
      <c r="B3227" s="2">
        <v>45851</v>
      </c>
      <c r="C3227" t="s">
        <v>79</v>
      </c>
      <c r="D3227" t="s">
        <v>1629</v>
      </c>
      <c r="E3227">
        <v>173.4</v>
      </c>
      <c r="F3227" t="s">
        <v>1578</v>
      </c>
      <c r="G3227" t="s">
        <v>1326</v>
      </c>
    </row>
    <row r="3228" spans="1:7">
      <c r="A3228" t="s">
        <v>4831</v>
      </c>
      <c r="B3228" s="2">
        <v>45851</v>
      </c>
      <c r="C3228" t="s">
        <v>81</v>
      </c>
      <c r="D3228" t="s">
        <v>1629</v>
      </c>
      <c r="E3228">
        <v>343.4</v>
      </c>
      <c r="F3228" t="s">
        <v>1578</v>
      </c>
      <c r="G3228" t="s">
        <v>1326</v>
      </c>
    </row>
    <row r="3229" spans="1:7">
      <c r="A3229" t="s">
        <v>4832</v>
      </c>
      <c r="B3229" s="2">
        <v>45851</v>
      </c>
      <c r="C3229" t="s">
        <v>84</v>
      </c>
      <c r="D3229" t="s">
        <v>1629</v>
      </c>
      <c r="E3229">
        <v>61.28</v>
      </c>
      <c r="F3229" t="s">
        <v>1578</v>
      </c>
      <c r="G3229" t="s">
        <v>1326</v>
      </c>
    </row>
    <row r="3230" spans="1:7">
      <c r="A3230" t="s">
        <v>4833</v>
      </c>
      <c r="B3230" s="2">
        <v>45851</v>
      </c>
      <c r="C3230" t="s">
        <v>89</v>
      </c>
      <c r="D3230" t="s">
        <v>1629</v>
      </c>
      <c r="E3230">
        <v>261.38</v>
      </c>
      <c r="F3230" t="s">
        <v>1578</v>
      </c>
      <c r="G3230" t="s">
        <v>1326</v>
      </c>
    </row>
    <row r="3231" spans="1:7">
      <c r="A3231" t="s">
        <v>4834</v>
      </c>
      <c r="B3231" s="2">
        <v>45851</v>
      </c>
      <c r="C3231" t="s">
        <v>110</v>
      </c>
      <c r="D3231" t="s">
        <v>1629</v>
      </c>
      <c r="E3231">
        <v>173.4</v>
      </c>
      <c r="F3231" t="s">
        <v>1578</v>
      </c>
      <c r="G3231" t="s">
        <v>1326</v>
      </c>
    </row>
    <row r="3232" spans="1:7">
      <c r="A3232" t="s">
        <v>4835</v>
      </c>
      <c r="B3232" s="2">
        <v>45851</v>
      </c>
      <c r="C3232" t="s">
        <v>114</v>
      </c>
      <c r="D3232" t="s">
        <v>1629</v>
      </c>
      <c r="E3232">
        <v>171.7</v>
      </c>
      <c r="F3232" t="s">
        <v>1578</v>
      </c>
      <c r="G3232" t="s">
        <v>1326</v>
      </c>
    </row>
    <row r="3233" spans="1:7">
      <c r="A3233" t="s">
        <v>4836</v>
      </c>
      <c r="B3233" s="2">
        <v>45851</v>
      </c>
      <c r="C3233" t="s">
        <v>117</v>
      </c>
      <c r="D3233" t="s">
        <v>1629</v>
      </c>
      <c r="E3233">
        <v>170.85</v>
      </c>
      <c r="F3233" t="s">
        <v>1578</v>
      </c>
      <c r="G3233" t="s">
        <v>1326</v>
      </c>
    </row>
    <row r="3234" spans="1:7">
      <c r="A3234" t="s">
        <v>4837</v>
      </c>
      <c r="B3234" s="2">
        <v>45851</v>
      </c>
      <c r="C3234" t="s">
        <v>119</v>
      </c>
      <c r="D3234" t="s">
        <v>1629</v>
      </c>
      <c r="E3234">
        <v>171.7</v>
      </c>
      <c r="F3234" t="s">
        <v>1578</v>
      </c>
      <c r="G3234" t="s">
        <v>1326</v>
      </c>
    </row>
    <row r="3235" spans="1:7">
      <c r="A3235" t="s">
        <v>4838</v>
      </c>
      <c r="B3235" s="2">
        <v>45851</v>
      </c>
      <c r="C3235" t="s">
        <v>95</v>
      </c>
      <c r="D3235" t="s">
        <v>1683</v>
      </c>
      <c r="E3235">
        <v>395</v>
      </c>
      <c r="F3235" t="s">
        <v>1578</v>
      </c>
      <c r="G3235" t="s">
        <v>727</v>
      </c>
    </row>
    <row r="3236" spans="1:7">
      <c r="A3236" t="s">
        <v>4839</v>
      </c>
      <c r="B3236" s="2">
        <v>45851</v>
      </c>
      <c r="C3236" t="s">
        <v>114</v>
      </c>
      <c r="D3236" t="s">
        <v>1683</v>
      </c>
      <c r="E3236">
        <v>377</v>
      </c>
      <c r="F3236" t="s">
        <v>1578</v>
      </c>
      <c r="G3236" t="s">
        <v>728</v>
      </c>
    </row>
    <row r="3237" spans="1:7">
      <c r="A3237" t="s">
        <v>4840</v>
      </c>
      <c r="B3237" s="2">
        <v>45851</v>
      </c>
      <c r="C3237" t="s">
        <v>81</v>
      </c>
      <c r="D3237" t="s">
        <v>1683</v>
      </c>
      <c r="E3237">
        <v>182</v>
      </c>
      <c r="F3237" t="s">
        <v>1578</v>
      </c>
      <c r="G3237" t="s">
        <v>729</v>
      </c>
    </row>
    <row r="3238" spans="1:7">
      <c r="A3238" t="s">
        <v>4841</v>
      </c>
      <c r="B3238" s="2">
        <v>45852</v>
      </c>
      <c r="C3238" t="s">
        <v>75</v>
      </c>
      <c r="D3238" t="s">
        <v>1629</v>
      </c>
      <c r="E3238">
        <v>127.26</v>
      </c>
      <c r="F3238" t="s">
        <v>1578</v>
      </c>
      <c r="G3238" t="s">
        <v>1327</v>
      </c>
    </row>
    <row r="3239" spans="1:7">
      <c r="A3239" t="s">
        <v>4842</v>
      </c>
      <c r="B3239" s="2">
        <v>45852</v>
      </c>
      <c r="C3239" t="s">
        <v>91</v>
      </c>
      <c r="D3239" t="s">
        <v>1629</v>
      </c>
      <c r="E3239">
        <v>129.15</v>
      </c>
      <c r="F3239" t="s">
        <v>1578</v>
      </c>
      <c r="G3239" t="s">
        <v>1327</v>
      </c>
    </row>
    <row r="3240" spans="1:7">
      <c r="A3240" t="s">
        <v>4843</v>
      </c>
      <c r="B3240" s="2">
        <v>45852</v>
      </c>
      <c r="C3240" t="s">
        <v>93</v>
      </c>
      <c r="D3240" t="s">
        <v>1629</v>
      </c>
      <c r="E3240">
        <v>128.52000000000001</v>
      </c>
      <c r="F3240" t="s">
        <v>1578</v>
      </c>
      <c r="G3240" t="s">
        <v>1327</v>
      </c>
    </row>
    <row r="3241" spans="1:7">
      <c r="A3241" t="s">
        <v>4844</v>
      </c>
      <c r="B3241" s="2">
        <v>45852</v>
      </c>
      <c r="C3241" t="s">
        <v>95</v>
      </c>
      <c r="D3241" t="s">
        <v>1629</v>
      </c>
      <c r="E3241">
        <v>127.89</v>
      </c>
      <c r="F3241" t="s">
        <v>1578</v>
      </c>
      <c r="G3241" t="s">
        <v>1327</v>
      </c>
    </row>
    <row r="3242" spans="1:7">
      <c r="A3242" t="s">
        <v>4845</v>
      </c>
      <c r="B3242" s="2">
        <v>45852</v>
      </c>
      <c r="C3242" t="s">
        <v>97</v>
      </c>
      <c r="D3242" t="s">
        <v>1629</v>
      </c>
      <c r="E3242">
        <v>127.26</v>
      </c>
      <c r="F3242" t="s">
        <v>1578</v>
      </c>
      <c r="G3242" t="s">
        <v>1327</v>
      </c>
    </row>
    <row r="3243" spans="1:7">
      <c r="A3243" t="s">
        <v>4846</v>
      </c>
      <c r="B3243" s="2">
        <v>45852</v>
      </c>
      <c r="C3243" t="s">
        <v>99</v>
      </c>
      <c r="D3243" t="s">
        <v>1629</v>
      </c>
      <c r="E3243">
        <v>155.74</v>
      </c>
      <c r="F3243" t="s">
        <v>1578</v>
      </c>
      <c r="G3243" t="s">
        <v>1327</v>
      </c>
    </row>
    <row r="3244" spans="1:7">
      <c r="A3244" t="s">
        <v>4847</v>
      </c>
      <c r="B3244" s="2">
        <v>45852</v>
      </c>
      <c r="C3244" t="s">
        <v>102</v>
      </c>
      <c r="D3244" t="s">
        <v>1629</v>
      </c>
      <c r="E3244">
        <v>128.52000000000001</v>
      </c>
      <c r="F3244" t="s">
        <v>1578</v>
      </c>
      <c r="G3244" t="s">
        <v>1327</v>
      </c>
    </row>
    <row r="3245" spans="1:7">
      <c r="A3245" t="s">
        <v>4848</v>
      </c>
      <c r="B3245" s="2">
        <v>45852</v>
      </c>
      <c r="C3245" t="s">
        <v>108</v>
      </c>
      <c r="D3245" t="s">
        <v>1629</v>
      </c>
      <c r="E3245">
        <v>255.78</v>
      </c>
      <c r="F3245" t="s">
        <v>1578</v>
      </c>
      <c r="G3245" t="s">
        <v>1327</v>
      </c>
    </row>
    <row r="3246" spans="1:7">
      <c r="A3246" t="s">
        <v>4849</v>
      </c>
      <c r="B3246" s="2">
        <v>45852</v>
      </c>
      <c r="C3246" t="s">
        <v>110</v>
      </c>
      <c r="D3246" t="s">
        <v>1629</v>
      </c>
      <c r="E3246">
        <v>128.52000000000001</v>
      </c>
      <c r="F3246" t="s">
        <v>1578</v>
      </c>
      <c r="G3246" t="s">
        <v>1327</v>
      </c>
    </row>
    <row r="3247" spans="1:7">
      <c r="A3247" t="s">
        <v>4850</v>
      </c>
      <c r="B3247" s="2">
        <v>45852</v>
      </c>
      <c r="C3247" t="s">
        <v>114</v>
      </c>
      <c r="D3247" t="s">
        <v>1629</v>
      </c>
      <c r="E3247">
        <v>127.26</v>
      </c>
      <c r="F3247" t="s">
        <v>1578</v>
      </c>
      <c r="G3247" t="s">
        <v>1327</v>
      </c>
    </row>
    <row r="3248" spans="1:7">
      <c r="A3248" t="s">
        <v>4851</v>
      </c>
      <c r="B3248" s="2">
        <v>45852</v>
      </c>
      <c r="C3248" t="s">
        <v>117</v>
      </c>
      <c r="D3248" t="s">
        <v>1629</v>
      </c>
      <c r="E3248">
        <v>126.63</v>
      </c>
      <c r="F3248" t="s">
        <v>1578</v>
      </c>
      <c r="G3248" t="s">
        <v>1327</v>
      </c>
    </row>
    <row r="3249" spans="1:7">
      <c r="A3249" t="s">
        <v>4852</v>
      </c>
      <c r="B3249" s="2">
        <v>45852</v>
      </c>
      <c r="C3249" t="s">
        <v>119</v>
      </c>
      <c r="D3249" t="s">
        <v>1629</v>
      </c>
      <c r="E3249">
        <v>127.26</v>
      </c>
      <c r="F3249" t="s">
        <v>1578</v>
      </c>
      <c r="G3249" t="s">
        <v>1327</v>
      </c>
    </row>
    <row r="3250" spans="1:7">
      <c r="A3250" t="s">
        <v>4853</v>
      </c>
      <c r="B3250" s="2">
        <v>45853</v>
      </c>
      <c r="C3250" t="s">
        <v>61</v>
      </c>
      <c r="D3250" t="s">
        <v>1629</v>
      </c>
      <c r="E3250">
        <v>271.32</v>
      </c>
      <c r="F3250" t="s">
        <v>1578</v>
      </c>
      <c r="G3250" t="s">
        <v>1328</v>
      </c>
    </row>
    <row r="3251" spans="1:7">
      <c r="A3251" t="s">
        <v>4854</v>
      </c>
      <c r="B3251" s="2">
        <v>45853</v>
      </c>
      <c r="C3251" t="s">
        <v>65</v>
      </c>
      <c r="D3251" t="s">
        <v>1629</v>
      </c>
      <c r="E3251">
        <v>269.99</v>
      </c>
      <c r="F3251" t="s">
        <v>1578</v>
      </c>
      <c r="G3251" t="s">
        <v>1328</v>
      </c>
    </row>
    <row r="3252" spans="1:7">
      <c r="A3252" t="s">
        <v>4855</v>
      </c>
      <c r="B3252" s="2">
        <v>45853</v>
      </c>
      <c r="C3252" t="s">
        <v>68</v>
      </c>
      <c r="D3252" t="s">
        <v>1629</v>
      </c>
      <c r="E3252">
        <v>271.32</v>
      </c>
      <c r="F3252" t="s">
        <v>1578</v>
      </c>
      <c r="G3252" t="s">
        <v>1328</v>
      </c>
    </row>
    <row r="3253" spans="1:7">
      <c r="A3253" t="s">
        <v>4856</v>
      </c>
      <c r="B3253" s="2">
        <v>45853</v>
      </c>
      <c r="C3253" t="s">
        <v>70</v>
      </c>
      <c r="D3253" t="s">
        <v>1629</v>
      </c>
      <c r="E3253">
        <v>268.66000000000003</v>
      </c>
      <c r="F3253" t="s">
        <v>1578</v>
      </c>
      <c r="G3253" t="s">
        <v>1328</v>
      </c>
    </row>
    <row r="3254" spans="1:7">
      <c r="A3254" t="s">
        <v>4857</v>
      </c>
      <c r="B3254" s="2">
        <v>45853</v>
      </c>
      <c r="C3254" t="s">
        <v>73</v>
      </c>
      <c r="D3254" t="s">
        <v>1629</v>
      </c>
      <c r="E3254">
        <v>271.32</v>
      </c>
      <c r="F3254" t="s">
        <v>1578</v>
      </c>
      <c r="G3254" t="s">
        <v>1328</v>
      </c>
    </row>
    <row r="3255" spans="1:7">
      <c r="A3255" t="s">
        <v>4858</v>
      </c>
      <c r="B3255" s="2">
        <v>45853</v>
      </c>
      <c r="C3255" t="s">
        <v>75</v>
      </c>
      <c r="D3255" t="s">
        <v>1629</v>
      </c>
      <c r="E3255">
        <v>268.66000000000003</v>
      </c>
      <c r="F3255" t="s">
        <v>1578</v>
      </c>
      <c r="G3255" t="s">
        <v>1328</v>
      </c>
    </row>
    <row r="3256" spans="1:7">
      <c r="A3256" t="s">
        <v>4859</v>
      </c>
      <c r="B3256" s="2">
        <v>45853</v>
      </c>
      <c r="C3256" t="s">
        <v>77</v>
      </c>
      <c r="D3256" t="s">
        <v>1629</v>
      </c>
      <c r="E3256">
        <v>268.66000000000003</v>
      </c>
      <c r="F3256" t="s">
        <v>1578</v>
      </c>
      <c r="G3256" t="s">
        <v>1328</v>
      </c>
    </row>
    <row r="3257" spans="1:7">
      <c r="A3257" t="s">
        <v>4860</v>
      </c>
      <c r="B3257" s="2">
        <v>45853</v>
      </c>
      <c r="C3257" t="s">
        <v>79</v>
      </c>
      <c r="D3257" t="s">
        <v>1629</v>
      </c>
      <c r="E3257">
        <v>271.32</v>
      </c>
      <c r="F3257" t="s">
        <v>1578</v>
      </c>
      <c r="G3257" t="s">
        <v>1328</v>
      </c>
    </row>
    <row r="3258" spans="1:7">
      <c r="A3258" t="s">
        <v>4861</v>
      </c>
      <c r="B3258" s="2">
        <v>45853</v>
      </c>
      <c r="C3258" t="s">
        <v>81</v>
      </c>
      <c r="D3258" t="s">
        <v>1629</v>
      </c>
      <c r="E3258">
        <v>537.32000000000005</v>
      </c>
      <c r="F3258" t="s">
        <v>1578</v>
      </c>
      <c r="G3258" t="s">
        <v>1328</v>
      </c>
    </row>
    <row r="3259" spans="1:7">
      <c r="A3259" t="s">
        <v>4862</v>
      </c>
      <c r="B3259" s="2">
        <v>45853</v>
      </c>
      <c r="C3259" t="s">
        <v>108</v>
      </c>
      <c r="D3259" t="s">
        <v>1629</v>
      </c>
      <c r="E3259">
        <v>539.98</v>
      </c>
      <c r="F3259" t="s">
        <v>1578</v>
      </c>
      <c r="G3259" t="s">
        <v>1328</v>
      </c>
    </row>
    <row r="3260" spans="1:7">
      <c r="A3260" t="s">
        <v>4863</v>
      </c>
      <c r="B3260" s="2">
        <v>45853</v>
      </c>
      <c r="C3260" t="s">
        <v>110</v>
      </c>
      <c r="D3260" t="s">
        <v>1629</v>
      </c>
      <c r="E3260">
        <v>271.32</v>
      </c>
      <c r="F3260" t="s">
        <v>1578</v>
      </c>
      <c r="G3260" t="s">
        <v>1328</v>
      </c>
    </row>
    <row r="3261" spans="1:7">
      <c r="A3261" t="s">
        <v>4864</v>
      </c>
      <c r="B3261" s="2">
        <v>45853</v>
      </c>
      <c r="C3261" t="s">
        <v>114</v>
      </c>
      <c r="D3261" t="s">
        <v>1629</v>
      </c>
      <c r="E3261">
        <v>268.66000000000003</v>
      </c>
      <c r="F3261" t="s">
        <v>1578</v>
      </c>
      <c r="G3261" t="s">
        <v>1328</v>
      </c>
    </row>
    <row r="3262" spans="1:7">
      <c r="A3262" t="s">
        <v>4865</v>
      </c>
      <c r="B3262" s="2">
        <v>45853</v>
      </c>
      <c r="C3262" t="s">
        <v>117</v>
      </c>
      <c r="D3262" t="s">
        <v>1629</v>
      </c>
      <c r="E3262">
        <v>267.33</v>
      </c>
      <c r="F3262" t="s">
        <v>1578</v>
      </c>
      <c r="G3262" t="s">
        <v>1328</v>
      </c>
    </row>
    <row r="3263" spans="1:7">
      <c r="A3263" t="s">
        <v>4866</v>
      </c>
      <c r="B3263" s="2">
        <v>45853</v>
      </c>
      <c r="C3263" t="s">
        <v>119</v>
      </c>
      <c r="D3263" t="s">
        <v>1629</v>
      </c>
      <c r="E3263">
        <v>268.66000000000003</v>
      </c>
      <c r="F3263" t="s">
        <v>1578</v>
      </c>
      <c r="G3263" t="s">
        <v>1328</v>
      </c>
    </row>
    <row r="3264" spans="1:7">
      <c r="A3264" t="s">
        <v>4867</v>
      </c>
      <c r="B3264" s="2">
        <v>45854</v>
      </c>
      <c r="C3264" t="s">
        <v>75</v>
      </c>
      <c r="D3264" t="s">
        <v>1629</v>
      </c>
      <c r="E3264">
        <v>382.79</v>
      </c>
      <c r="F3264" t="s">
        <v>1578</v>
      </c>
      <c r="G3264" t="s">
        <v>1329</v>
      </c>
    </row>
    <row r="3265" spans="1:7">
      <c r="A3265" t="s">
        <v>4868</v>
      </c>
      <c r="B3265" s="2">
        <v>45854</v>
      </c>
      <c r="C3265" t="s">
        <v>104</v>
      </c>
      <c r="D3265" t="s">
        <v>1629</v>
      </c>
      <c r="E3265">
        <v>780.74</v>
      </c>
      <c r="F3265" t="s">
        <v>1578</v>
      </c>
      <c r="G3265" t="s">
        <v>1329</v>
      </c>
    </row>
    <row r="3266" spans="1:7">
      <c r="A3266" t="s">
        <v>4869</v>
      </c>
      <c r="B3266" s="2">
        <v>45854</v>
      </c>
      <c r="C3266" t="s">
        <v>108</v>
      </c>
      <c r="D3266" t="s">
        <v>1629</v>
      </c>
      <c r="E3266">
        <v>769.37</v>
      </c>
      <c r="F3266" t="s">
        <v>1578</v>
      </c>
      <c r="G3266" t="s">
        <v>1329</v>
      </c>
    </row>
    <row r="3267" spans="1:7">
      <c r="A3267" t="s">
        <v>4870</v>
      </c>
      <c r="B3267" s="2">
        <v>45854</v>
      </c>
      <c r="C3267" t="s">
        <v>110</v>
      </c>
      <c r="D3267" t="s">
        <v>1629</v>
      </c>
      <c r="E3267">
        <v>386.58</v>
      </c>
      <c r="F3267" t="s">
        <v>1578</v>
      </c>
      <c r="G3267" t="s">
        <v>1329</v>
      </c>
    </row>
    <row r="3268" spans="1:7">
      <c r="A3268" t="s">
        <v>4871</v>
      </c>
      <c r="B3268" s="2">
        <v>45854</v>
      </c>
      <c r="C3268" t="s">
        <v>114</v>
      </c>
      <c r="D3268" t="s">
        <v>1629</v>
      </c>
      <c r="E3268">
        <v>382.79</v>
      </c>
      <c r="F3268" t="s">
        <v>1578</v>
      </c>
      <c r="G3268" t="s">
        <v>1329</v>
      </c>
    </row>
    <row r="3269" spans="1:7">
      <c r="A3269" t="s">
        <v>4872</v>
      </c>
      <c r="B3269" s="2">
        <v>45854</v>
      </c>
      <c r="C3269" t="s">
        <v>117</v>
      </c>
      <c r="D3269" t="s">
        <v>1629</v>
      </c>
      <c r="E3269">
        <v>380.9</v>
      </c>
      <c r="F3269" t="s">
        <v>1578</v>
      </c>
      <c r="G3269" t="s">
        <v>1329</v>
      </c>
    </row>
    <row r="3270" spans="1:7">
      <c r="A3270" t="s">
        <v>4873</v>
      </c>
      <c r="B3270" s="2">
        <v>45854</v>
      </c>
      <c r="C3270" t="s">
        <v>119</v>
      </c>
      <c r="D3270" t="s">
        <v>1629</v>
      </c>
      <c r="E3270">
        <v>382.79</v>
      </c>
      <c r="F3270" t="s">
        <v>1578</v>
      </c>
      <c r="G3270" t="s">
        <v>1329</v>
      </c>
    </row>
    <row r="3271" spans="1:7">
      <c r="A3271" t="s">
        <v>4874</v>
      </c>
      <c r="B3271" s="2">
        <v>45854</v>
      </c>
      <c r="C3271" t="s">
        <v>61</v>
      </c>
      <c r="D3271" t="s">
        <v>1629</v>
      </c>
      <c r="E3271">
        <v>326.39999999999998</v>
      </c>
      <c r="F3271" t="s">
        <v>1578</v>
      </c>
      <c r="G3271" t="s">
        <v>1330</v>
      </c>
    </row>
    <row r="3272" spans="1:7">
      <c r="A3272" t="s">
        <v>4875</v>
      </c>
      <c r="B3272" s="2">
        <v>45854</v>
      </c>
      <c r="C3272" t="s">
        <v>65</v>
      </c>
      <c r="D3272" t="s">
        <v>1629</v>
      </c>
      <c r="E3272">
        <v>324.8</v>
      </c>
      <c r="F3272" t="s">
        <v>1578</v>
      </c>
      <c r="G3272" t="s">
        <v>1330</v>
      </c>
    </row>
    <row r="3273" spans="1:7">
      <c r="A3273" t="s">
        <v>4876</v>
      </c>
      <c r="B3273" s="2">
        <v>45854</v>
      </c>
      <c r="C3273" t="s">
        <v>68</v>
      </c>
      <c r="D3273" t="s">
        <v>1629</v>
      </c>
      <c r="E3273">
        <v>326.39999999999998</v>
      </c>
      <c r="F3273" t="s">
        <v>1578</v>
      </c>
      <c r="G3273" t="s">
        <v>1330</v>
      </c>
    </row>
    <row r="3274" spans="1:7">
      <c r="A3274" t="s">
        <v>4877</v>
      </c>
      <c r="B3274" s="2">
        <v>45854</v>
      </c>
      <c r="C3274" t="s">
        <v>75</v>
      </c>
      <c r="D3274" t="s">
        <v>1629</v>
      </c>
      <c r="E3274">
        <v>323.2</v>
      </c>
      <c r="F3274" t="s">
        <v>1578</v>
      </c>
      <c r="G3274" t="s">
        <v>1330</v>
      </c>
    </row>
    <row r="3275" spans="1:7">
      <c r="A3275" t="s">
        <v>4878</v>
      </c>
      <c r="B3275" s="2">
        <v>45854</v>
      </c>
      <c r="C3275" t="s">
        <v>79</v>
      </c>
      <c r="D3275" t="s">
        <v>1629</v>
      </c>
      <c r="E3275">
        <v>326.39999999999998</v>
      </c>
      <c r="F3275" t="s">
        <v>1578</v>
      </c>
      <c r="G3275" t="s">
        <v>1330</v>
      </c>
    </row>
    <row r="3276" spans="1:7">
      <c r="A3276" t="s">
        <v>4879</v>
      </c>
      <c r="B3276" s="2">
        <v>45854</v>
      </c>
      <c r="C3276" t="s">
        <v>81</v>
      </c>
      <c r="D3276" t="s">
        <v>1629</v>
      </c>
      <c r="E3276">
        <v>646.4</v>
      </c>
      <c r="F3276" t="s">
        <v>1578</v>
      </c>
      <c r="G3276" t="s">
        <v>1330</v>
      </c>
    </row>
    <row r="3277" spans="1:7">
      <c r="A3277" t="s">
        <v>4880</v>
      </c>
      <c r="B3277" s="2">
        <v>45854</v>
      </c>
      <c r="C3277" t="s">
        <v>110</v>
      </c>
      <c r="D3277" t="s">
        <v>1629</v>
      </c>
      <c r="E3277">
        <v>326.39999999999998</v>
      </c>
      <c r="F3277" t="s">
        <v>1578</v>
      </c>
      <c r="G3277" t="s">
        <v>1330</v>
      </c>
    </row>
    <row r="3278" spans="1:7">
      <c r="A3278" t="s">
        <v>4881</v>
      </c>
      <c r="B3278" s="2">
        <v>45854</v>
      </c>
      <c r="C3278" t="s">
        <v>114</v>
      </c>
      <c r="D3278" t="s">
        <v>1629</v>
      </c>
      <c r="E3278">
        <v>323.2</v>
      </c>
      <c r="F3278" t="s">
        <v>1578</v>
      </c>
      <c r="G3278" t="s">
        <v>1330</v>
      </c>
    </row>
    <row r="3279" spans="1:7">
      <c r="A3279" t="s">
        <v>4882</v>
      </c>
      <c r="B3279" s="2">
        <v>45854</v>
      </c>
      <c r="C3279" t="s">
        <v>117</v>
      </c>
      <c r="D3279" t="s">
        <v>1629</v>
      </c>
      <c r="E3279">
        <v>321.60000000000002</v>
      </c>
      <c r="F3279" t="s">
        <v>1578</v>
      </c>
      <c r="G3279" t="s">
        <v>1330</v>
      </c>
    </row>
    <row r="3280" spans="1:7">
      <c r="A3280" t="s">
        <v>4883</v>
      </c>
      <c r="B3280" s="2">
        <v>45854</v>
      </c>
      <c r="C3280" t="s">
        <v>119</v>
      </c>
      <c r="D3280" t="s">
        <v>1629</v>
      </c>
      <c r="E3280">
        <v>323.2</v>
      </c>
      <c r="F3280" t="s">
        <v>1578</v>
      </c>
      <c r="G3280" t="s">
        <v>1330</v>
      </c>
    </row>
    <row r="3281" spans="1:7">
      <c r="A3281" t="s">
        <v>4884</v>
      </c>
      <c r="B3281" s="2">
        <v>45854</v>
      </c>
      <c r="C3281" t="s">
        <v>114</v>
      </c>
      <c r="D3281" t="s">
        <v>1683</v>
      </c>
      <c r="E3281">
        <v>396</v>
      </c>
      <c r="F3281" t="s">
        <v>1578</v>
      </c>
      <c r="G3281" t="s">
        <v>731</v>
      </c>
    </row>
    <row r="3282" spans="1:7">
      <c r="A3282" t="s">
        <v>4885</v>
      </c>
      <c r="B3282" s="2">
        <v>45854</v>
      </c>
      <c r="C3282" t="s">
        <v>93</v>
      </c>
      <c r="D3282" t="s">
        <v>1683</v>
      </c>
      <c r="E3282">
        <v>204</v>
      </c>
      <c r="F3282" t="s">
        <v>1578</v>
      </c>
      <c r="G3282" t="s">
        <v>732</v>
      </c>
    </row>
    <row r="3283" spans="1:7">
      <c r="A3283" t="s">
        <v>4886</v>
      </c>
      <c r="B3283" s="2">
        <v>45854</v>
      </c>
      <c r="C3283" t="s">
        <v>108</v>
      </c>
      <c r="D3283" t="s">
        <v>1683</v>
      </c>
      <c r="E3283">
        <v>342</v>
      </c>
      <c r="F3283" t="s">
        <v>1578</v>
      </c>
      <c r="G3283" t="s">
        <v>733</v>
      </c>
    </row>
    <row r="3284" spans="1:7">
      <c r="A3284" t="s">
        <v>4887</v>
      </c>
      <c r="B3284" s="2">
        <v>45854</v>
      </c>
      <c r="C3284" t="s">
        <v>75</v>
      </c>
      <c r="D3284" t="s">
        <v>1683</v>
      </c>
      <c r="E3284">
        <v>337</v>
      </c>
      <c r="F3284" t="s">
        <v>1578</v>
      </c>
      <c r="G3284" t="s">
        <v>734</v>
      </c>
    </row>
    <row r="3285" spans="1:7">
      <c r="A3285" t="s">
        <v>4888</v>
      </c>
      <c r="B3285" s="2">
        <v>45855</v>
      </c>
      <c r="C3285" t="s">
        <v>75</v>
      </c>
      <c r="D3285" t="s">
        <v>1629</v>
      </c>
      <c r="E3285">
        <v>232.3</v>
      </c>
      <c r="F3285" t="s">
        <v>1578</v>
      </c>
      <c r="G3285" t="s">
        <v>1331</v>
      </c>
    </row>
    <row r="3286" spans="1:7">
      <c r="A3286" t="s">
        <v>4889</v>
      </c>
      <c r="B3286" s="2">
        <v>45855</v>
      </c>
      <c r="C3286" t="s">
        <v>104</v>
      </c>
      <c r="D3286" t="s">
        <v>1629</v>
      </c>
      <c r="E3286">
        <v>473.8</v>
      </c>
      <c r="F3286" t="s">
        <v>1578</v>
      </c>
      <c r="G3286" t="s">
        <v>1331</v>
      </c>
    </row>
    <row r="3287" spans="1:7">
      <c r="A3287" t="s">
        <v>4890</v>
      </c>
      <c r="B3287" s="2">
        <v>45855</v>
      </c>
      <c r="C3287" t="s">
        <v>108</v>
      </c>
      <c r="D3287" t="s">
        <v>1629</v>
      </c>
      <c r="E3287">
        <v>466.9</v>
      </c>
      <c r="F3287" t="s">
        <v>1578</v>
      </c>
      <c r="G3287" t="s">
        <v>1331</v>
      </c>
    </row>
    <row r="3288" spans="1:7">
      <c r="A3288" t="s">
        <v>4891</v>
      </c>
      <c r="B3288" s="2">
        <v>45855</v>
      </c>
      <c r="C3288" t="s">
        <v>110</v>
      </c>
      <c r="D3288" t="s">
        <v>1629</v>
      </c>
      <c r="E3288">
        <v>234.6</v>
      </c>
      <c r="F3288" t="s">
        <v>1578</v>
      </c>
      <c r="G3288" t="s">
        <v>1331</v>
      </c>
    </row>
    <row r="3289" spans="1:7">
      <c r="A3289" t="s">
        <v>4892</v>
      </c>
      <c r="B3289" s="2">
        <v>45855</v>
      </c>
      <c r="C3289" t="s">
        <v>114</v>
      </c>
      <c r="D3289" t="s">
        <v>1629</v>
      </c>
      <c r="E3289">
        <v>232.3</v>
      </c>
      <c r="F3289" t="s">
        <v>1578</v>
      </c>
      <c r="G3289" t="s">
        <v>1331</v>
      </c>
    </row>
    <row r="3290" spans="1:7">
      <c r="A3290" t="s">
        <v>4893</v>
      </c>
      <c r="B3290" s="2">
        <v>45855</v>
      </c>
      <c r="C3290" t="s">
        <v>117</v>
      </c>
      <c r="D3290" t="s">
        <v>1629</v>
      </c>
      <c r="E3290">
        <v>231.15</v>
      </c>
      <c r="F3290" t="s">
        <v>1578</v>
      </c>
      <c r="G3290" t="s">
        <v>1331</v>
      </c>
    </row>
    <row r="3291" spans="1:7">
      <c r="A3291" t="s">
        <v>4894</v>
      </c>
      <c r="B3291" s="2">
        <v>45855</v>
      </c>
      <c r="C3291" t="s">
        <v>119</v>
      </c>
      <c r="D3291" t="s">
        <v>1629</v>
      </c>
      <c r="E3291">
        <v>232.3</v>
      </c>
      <c r="F3291" t="s">
        <v>1578</v>
      </c>
      <c r="G3291" t="s">
        <v>1331</v>
      </c>
    </row>
    <row r="3292" spans="1:7">
      <c r="A3292" t="s">
        <v>4895</v>
      </c>
      <c r="B3292" s="2">
        <v>45855</v>
      </c>
      <c r="C3292" t="s">
        <v>75</v>
      </c>
      <c r="D3292" t="s">
        <v>1629</v>
      </c>
      <c r="E3292">
        <v>179.78</v>
      </c>
      <c r="F3292" t="s">
        <v>1578</v>
      </c>
      <c r="G3292" t="s">
        <v>1332</v>
      </c>
    </row>
    <row r="3293" spans="1:7">
      <c r="A3293" t="s">
        <v>4896</v>
      </c>
      <c r="B3293" s="2">
        <v>45855</v>
      </c>
      <c r="C3293" t="s">
        <v>106</v>
      </c>
      <c r="D3293" t="s">
        <v>1629</v>
      </c>
      <c r="E3293">
        <v>183.34</v>
      </c>
      <c r="F3293" t="s">
        <v>1578</v>
      </c>
      <c r="G3293" t="s">
        <v>1332</v>
      </c>
    </row>
    <row r="3294" spans="1:7">
      <c r="A3294" t="s">
        <v>4897</v>
      </c>
      <c r="B3294" s="2">
        <v>45855</v>
      </c>
      <c r="C3294" t="s">
        <v>108</v>
      </c>
      <c r="D3294" t="s">
        <v>1629</v>
      </c>
      <c r="E3294">
        <v>361.34</v>
      </c>
      <c r="F3294" t="s">
        <v>1578</v>
      </c>
      <c r="G3294" t="s">
        <v>1332</v>
      </c>
    </row>
    <row r="3295" spans="1:7">
      <c r="A3295" t="s">
        <v>4898</v>
      </c>
      <c r="B3295" s="2">
        <v>45855</v>
      </c>
      <c r="C3295" t="s">
        <v>110</v>
      </c>
      <c r="D3295" t="s">
        <v>1629</v>
      </c>
      <c r="E3295">
        <v>181.56</v>
      </c>
      <c r="F3295" t="s">
        <v>1578</v>
      </c>
      <c r="G3295" t="s">
        <v>1332</v>
      </c>
    </row>
    <row r="3296" spans="1:7">
      <c r="A3296" t="s">
        <v>4899</v>
      </c>
      <c r="B3296" s="2">
        <v>45855</v>
      </c>
      <c r="C3296" t="s">
        <v>114</v>
      </c>
      <c r="D3296" t="s">
        <v>1629</v>
      </c>
      <c r="E3296">
        <v>179.78</v>
      </c>
      <c r="F3296" t="s">
        <v>1578</v>
      </c>
      <c r="G3296" t="s">
        <v>1332</v>
      </c>
    </row>
    <row r="3297" spans="1:7">
      <c r="A3297" t="s">
        <v>4900</v>
      </c>
      <c r="B3297" s="2">
        <v>45855</v>
      </c>
      <c r="C3297" t="s">
        <v>117</v>
      </c>
      <c r="D3297" t="s">
        <v>1629</v>
      </c>
      <c r="E3297">
        <v>178.89</v>
      </c>
      <c r="F3297" t="s">
        <v>1578</v>
      </c>
      <c r="G3297" t="s">
        <v>1332</v>
      </c>
    </row>
    <row r="3298" spans="1:7">
      <c r="A3298" t="s">
        <v>4901</v>
      </c>
      <c r="B3298" s="2">
        <v>45855</v>
      </c>
      <c r="C3298" t="s">
        <v>119</v>
      </c>
      <c r="D3298" t="s">
        <v>1629</v>
      </c>
      <c r="E3298">
        <v>179.78</v>
      </c>
      <c r="F3298" t="s">
        <v>1578</v>
      </c>
      <c r="G3298" t="s">
        <v>1332</v>
      </c>
    </row>
    <row r="3299" spans="1:7">
      <c r="A3299" t="s">
        <v>4902</v>
      </c>
      <c r="B3299" s="2">
        <v>45855</v>
      </c>
      <c r="C3299" t="s">
        <v>61</v>
      </c>
      <c r="D3299" t="s">
        <v>1629</v>
      </c>
      <c r="E3299">
        <v>161.16</v>
      </c>
      <c r="F3299" t="s">
        <v>1578</v>
      </c>
      <c r="G3299" t="s">
        <v>1333</v>
      </c>
    </row>
    <row r="3300" spans="1:7">
      <c r="A3300" t="s">
        <v>4903</v>
      </c>
      <c r="B3300" s="2">
        <v>45855</v>
      </c>
      <c r="C3300" t="s">
        <v>65</v>
      </c>
      <c r="D3300" t="s">
        <v>1629</v>
      </c>
      <c r="E3300">
        <v>160.37</v>
      </c>
      <c r="F3300" t="s">
        <v>1578</v>
      </c>
      <c r="G3300" t="s">
        <v>1333</v>
      </c>
    </row>
    <row r="3301" spans="1:7">
      <c r="A3301" t="s">
        <v>4904</v>
      </c>
      <c r="B3301" s="2">
        <v>45855</v>
      </c>
      <c r="C3301" t="s">
        <v>68</v>
      </c>
      <c r="D3301" t="s">
        <v>1629</v>
      </c>
      <c r="E3301">
        <v>161.16</v>
      </c>
      <c r="F3301" t="s">
        <v>1578</v>
      </c>
      <c r="G3301" t="s">
        <v>1333</v>
      </c>
    </row>
    <row r="3302" spans="1:7">
      <c r="A3302" t="s">
        <v>4905</v>
      </c>
      <c r="B3302" s="2">
        <v>45855</v>
      </c>
      <c r="C3302" t="s">
        <v>70</v>
      </c>
      <c r="D3302" t="s">
        <v>1629</v>
      </c>
      <c r="E3302">
        <v>159.58000000000001</v>
      </c>
      <c r="F3302" t="s">
        <v>1578</v>
      </c>
      <c r="G3302" t="s">
        <v>1333</v>
      </c>
    </row>
    <row r="3303" spans="1:7">
      <c r="A3303" t="s">
        <v>4906</v>
      </c>
      <c r="B3303" s="2">
        <v>45855</v>
      </c>
      <c r="C3303" t="s">
        <v>75</v>
      </c>
      <c r="D3303" t="s">
        <v>1629</v>
      </c>
      <c r="E3303">
        <v>159.58000000000001</v>
      </c>
      <c r="F3303" t="s">
        <v>1578</v>
      </c>
      <c r="G3303" t="s">
        <v>1333</v>
      </c>
    </row>
    <row r="3304" spans="1:7">
      <c r="A3304" t="s">
        <v>4907</v>
      </c>
      <c r="B3304" s="2">
        <v>45855</v>
      </c>
      <c r="C3304" t="s">
        <v>77</v>
      </c>
      <c r="D3304" t="s">
        <v>1629</v>
      </c>
      <c r="E3304">
        <v>159.58000000000001</v>
      </c>
      <c r="F3304" t="s">
        <v>1578</v>
      </c>
      <c r="G3304" t="s">
        <v>1333</v>
      </c>
    </row>
    <row r="3305" spans="1:7">
      <c r="A3305" t="s">
        <v>4908</v>
      </c>
      <c r="B3305" s="2">
        <v>45855</v>
      </c>
      <c r="C3305" t="s">
        <v>79</v>
      </c>
      <c r="D3305" t="s">
        <v>1629</v>
      </c>
      <c r="E3305">
        <v>161.16</v>
      </c>
      <c r="F3305" t="s">
        <v>1578</v>
      </c>
      <c r="G3305" t="s">
        <v>1333</v>
      </c>
    </row>
    <row r="3306" spans="1:7">
      <c r="A3306" t="s">
        <v>4909</v>
      </c>
      <c r="B3306" s="2">
        <v>45855</v>
      </c>
      <c r="C3306" t="s">
        <v>81</v>
      </c>
      <c r="D3306" t="s">
        <v>1629</v>
      </c>
      <c r="E3306">
        <v>319.16000000000003</v>
      </c>
      <c r="F3306" t="s">
        <v>1578</v>
      </c>
      <c r="G3306" t="s">
        <v>1333</v>
      </c>
    </row>
    <row r="3307" spans="1:7">
      <c r="A3307" t="s">
        <v>4910</v>
      </c>
      <c r="B3307" s="2">
        <v>45855</v>
      </c>
      <c r="C3307" t="s">
        <v>110</v>
      </c>
      <c r="D3307" t="s">
        <v>1629</v>
      </c>
      <c r="E3307">
        <v>161.16</v>
      </c>
      <c r="F3307" t="s">
        <v>1578</v>
      </c>
      <c r="G3307" t="s">
        <v>1333</v>
      </c>
    </row>
    <row r="3308" spans="1:7">
      <c r="A3308" t="s">
        <v>4911</v>
      </c>
      <c r="B3308" s="2">
        <v>45855</v>
      </c>
      <c r="C3308" t="s">
        <v>114</v>
      </c>
      <c r="D3308" t="s">
        <v>1629</v>
      </c>
      <c r="E3308">
        <v>159.58000000000001</v>
      </c>
      <c r="F3308" t="s">
        <v>1578</v>
      </c>
      <c r="G3308" t="s">
        <v>1333</v>
      </c>
    </row>
    <row r="3309" spans="1:7">
      <c r="A3309" t="s">
        <v>4912</v>
      </c>
      <c r="B3309" s="2">
        <v>45855</v>
      </c>
      <c r="C3309" t="s">
        <v>117</v>
      </c>
      <c r="D3309" t="s">
        <v>1629</v>
      </c>
      <c r="E3309">
        <v>158.79</v>
      </c>
      <c r="F3309" t="s">
        <v>1578</v>
      </c>
      <c r="G3309" t="s">
        <v>1333</v>
      </c>
    </row>
    <row r="3310" spans="1:7">
      <c r="A3310" t="s">
        <v>4913</v>
      </c>
      <c r="B3310" s="2">
        <v>45855</v>
      </c>
      <c r="C3310" t="s">
        <v>119</v>
      </c>
      <c r="D3310" t="s">
        <v>1629</v>
      </c>
      <c r="E3310">
        <v>159.58000000000001</v>
      </c>
      <c r="F3310" t="s">
        <v>1578</v>
      </c>
      <c r="G3310" t="s">
        <v>1333</v>
      </c>
    </row>
    <row r="3311" spans="1:7">
      <c r="A3311" t="s">
        <v>4914</v>
      </c>
      <c r="B3311" s="2">
        <v>45855</v>
      </c>
      <c r="C3311" t="s">
        <v>106</v>
      </c>
      <c r="D3311" t="s">
        <v>1683</v>
      </c>
      <c r="E3311">
        <v>178</v>
      </c>
      <c r="F3311" t="s">
        <v>1578</v>
      </c>
      <c r="G3311" t="s">
        <v>735</v>
      </c>
    </row>
    <row r="3312" spans="1:7">
      <c r="A3312" t="s">
        <v>4915</v>
      </c>
      <c r="B3312" s="2">
        <v>45855</v>
      </c>
      <c r="C3312" t="s">
        <v>68</v>
      </c>
      <c r="D3312" t="s">
        <v>1683</v>
      </c>
      <c r="E3312">
        <v>508</v>
      </c>
      <c r="F3312" t="s">
        <v>1578</v>
      </c>
      <c r="G3312" t="s">
        <v>736</v>
      </c>
    </row>
    <row r="3313" spans="1:7">
      <c r="A3313" t="s">
        <v>4916</v>
      </c>
      <c r="B3313" s="2">
        <v>45856</v>
      </c>
      <c r="C3313" t="s">
        <v>61</v>
      </c>
      <c r="D3313" t="s">
        <v>1629</v>
      </c>
      <c r="E3313">
        <v>269.27999999999997</v>
      </c>
      <c r="F3313" t="s">
        <v>1578</v>
      </c>
      <c r="G3313" t="s">
        <v>1334</v>
      </c>
    </row>
    <row r="3314" spans="1:7">
      <c r="A3314" t="s">
        <v>4917</v>
      </c>
      <c r="B3314" s="2">
        <v>45856</v>
      </c>
      <c r="C3314" t="s">
        <v>65</v>
      </c>
      <c r="D3314" t="s">
        <v>1629</v>
      </c>
      <c r="E3314">
        <v>267.95999999999998</v>
      </c>
      <c r="F3314" t="s">
        <v>1578</v>
      </c>
      <c r="G3314" t="s">
        <v>1334</v>
      </c>
    </row>
    <row r="3315" spans="1:7">
      <c r="A3315" t="s">
        <v>4918</v>
      </c>
      <c r="B3315" s="2">
        <v>45856</v>
      </c>
      <c r="C3315" t="s">
        <v>75</v>
      </c>
      <c r="D3315" t="s">
        <v>1629</v>
      </c>
      <c r="E3315">
        <v>266.64</v>
      </c>
      <c r="F3315" t="s">
        <v>1578</v>
      </c>
      <c r="G3315" t="s">
        <v>1334</v>
      </c>
    </row>
    <row r="3316" spans="1:7">
      <c r="A3316" t="s">
        <v>4919</v>
      </c>
      <c r="B3316" s="2">
        <v>45856</v>
      </c>
      <c r="C3316" t="s">
        <v>79</v>
      </c>
      <c r="D3316" t="s">
        <v>1629</v>
      </c>
      <c r="E3316">
        <v>269.27999999999997</v>
      </c>
      <c r="F3316" t="s">
        <v>1578</v>
      </c>
      <c r="G3316" t="s">
        <v>1334</v>
      </c>
    </row>
    <row r="3317" spans="1:7">
      <c r="A3317" t="s">
        <v>4920</v>
      </c>
      <c r="B3317" s="2">
        <v>45856</v>
      </c>
      <c r="C3317" t="s">
        <v>81</v>
      </c>
      <c r="D3317" t="s">
        <v>1629</v>
      </c>
      <c r="E3317">
        <v>533.28</v>
      </c>
      <c r="F3317" t="s">
        <v>1578</v>
      </c>
      <c r="G3317" t="s">
        <v>1334</v>
      </c>
    </row>
    <row r="3318" spans="1:7">
      <c r="A3318" t="s">
        <v>4921</v>
      </c>
      <c r="B3318" s="2">
        <v>45856</v>
      </c>
      <c r="C3318" t="s">
        <v>84</v>
      </c>
      <c r="D3318" t="s">
        <v>1629</v>
      </c>
      <c r="E3318">
        <v>95.17</v>
      </c>
      <c r="F3318" t="s">
        <v>1578</v>
      </c>
      <c r="G3318" t="s">
        <v>1334</v>
      </c>
    </row>
    <row r="3319" spans="1:7">
      <c r="A3319" t="s">
        <v>4922</v>
      </c>
      <c r="B3319" s="2">
        <v>45856</v>
      </c>
      <c r="C3319" t="s">
        <v>89</v>
      </c>
      <c r="D3319" t="s">
        <v>1629</v>
      </c>
      <c r="E3319">
        <v>405.9</v>
      </c>
      <c r="F3319" t="s">
        <v>1578</v>
      </c>
      <c r="G3319" t="s">
        <v>1334</v>
      </c>
    </row>
    <row r="3320" spans="1:7">
      <c r="A3320" t="s">
        <v>4923</v>
      </c>
      <c r="B3320" s="2">
        <v>45856</v>
      </c>
      <c r="C3320" t="s">
        <v>110</v>
      </c>
      <c r="D3320" t="s">
        <v>1629</v>
      </c>
      <c r="E3320">
        <v>269.27999999999997</v>
      </c>
      <c r="F3320" t="s">
        <v>1578</v>
      </c>
      <c r="G3320" t="s">
        <v>1334</v>
      </c>
    </row>
    <row r="3321" spans="1:7">
      <c r="A3321" t="s">
        <v>4924</v>
      </c>
      <c r="B3321" s="2">
        <v>45856</v>
      </c>
      <c r="C3321" t="s">
        <v>114</v>
      </c>
      <c r="D3321" t="s">
        <v>1629</v>
      </c>
      <c r="E3321">
        <v>266.64</v>
      </c>
      <c r="F3321" t="s">
        <v>1578</v>
      </c>
      <c r="G3321" t="s">
        <v>1334</v>
      </c>
    </row>
    <row r="3322" spans="1:7">
      <c r="A3322" t="s">
        <v>4925</v>
      </c>
      <c r="B3322" s="2">
        <v>45856</v>
      </c>
      <c r="C3322" t="s">
        <v>117</v>
      </c>
      <c r="D3322" t="s">
        <v>1629</v>
      </c>
      <c r="E3322">
        <v>265.32</v>
      </c>
      <c r="F3322" t="s">
        <v>1578</v>
      </c>
      <c r="G3322" t="s">
        <v>1334</v>
      </c>
    </row>
    <row r="3323" spans="1:7">
      <c r="A3323" t="s">
        <v>4926</v>
      </c>
      <c r="B3323" s="2">
        <v>45856</v>
      </c>
      <c r="C3323" t="s">
        <v>119</v>
      </c>
      <c r="D3323" t="s">
        <v>1629</v>
      </c>
      <c r="E3323">
        <v>266.64</v>
      </c>
      <c r="F3323" t="s">
        <v>1578</v>
      </c>
      <c r="G3323" t="s">
        <v>1334</v>
      </c>
    </row>
    <row r="3324" spans="1:7">
      <c r="A3324" t="s">
        <v>4927</v>
      </c>
      <c r="B3324" s="2">
        <v>45857</v>
      </c>
      <c r="C3324" t="s">
        <v>61</v>
      </c>
      <c r="D3324" t="s">
        <v>1629</v>
      </c>
      <c r="E3324">
        <v>414.12</v>
      </c>
      <c r="F3324" t="s">
        <v>1578</v>
      </c>
      <c r="G3324" t="s">
        <v>1335</v>
      </c>
    </row>
    <row r="3325" spans="1:7">
      <c r="A3325" t="s">
        <v>4928</v>
      </c>
      <c r="B3325" s="2">
        <v>45857</v>
      </c>
      <c r="C3325" t="s">
        <v>65</v>
      </c>
      <c r="D3325" t="s">
        <v>1629</v>
      </c>
      <c r="E3325">
        <v>412.09</v>
      </c>
      <c r="F3325" t="s">
        <v>1578</v>
      </c>
      <c r="G3325" t="s">
        <v>1335</v>
      </c>
    </row>
    <row r="3326" spans="1:7">
      <c r="A3326" t="s">
        <v>4929</v>
      </c>
      <c r="B3326" s="2">
        <v>45857</v>
      </c>
      <c r="C3326" t="s">
        <v>75</v>
      </c>
      <c r="D3326" t="s">
        <v>1629</v>
      </c>
      <c r="E3326">
        <v>410.06</v>
      </c>
      <c r="F3326" t="s">
        <v>1578</v>
      </c>
      <c r="G3326" t="s">
        <v>1335</v>
      </c>
    </row>
    <row r="3327" spans="1:7">
      <c r="A3327" t="s">
        <v>4930</v>
      </c>
      <c r="B3327" s="2">
        <v>45857</v>
      </c>
      <c r="C3327" t="s">
        <v>79</v>
      </c>
      <c r="D3327" t="s">
        <v>1629</v>
      </c>
      <c r="E3327">
        <v>414.12</v>
      </c>
      <c r="F3327" t="s">
        <v>1578</v>
      </c>
      <c r="G3327" t="s">
        <v>1335</v>
      </c>
    </row>
    <row r="3328" spans="1:7">
      <c r="A3328" t="s">
        <v>4931</v>
      </c>
      <c r="B3328" s="2">
        <v>45857</v>
      </c>
      <c r="C3328" t="s">
        <v>81</v>
      </c>
      <c r="D3328" t="s">
        <v>1629</v>
      </c>
      <c r="E3328">
        <v>820.12</v>
      </c>
      <c r="F3328" t="s">
        <v>1578</v>
      </c>
      <c r="G3328" t="s">
        <v>1335</v>
      </c>
    </row>
    <row r="3329" spans="1:7">
      <c r="A3329" t="s">
        <v>4932</v>
      </c>
      <c r="B3329" s="2">
        <v>45857</v>
      </c>
      <c r="C3329" t="s">
        <v>84</v>
      </c>
      <c r="D3329" t="s">
        <v>1629</v>
      </c>
      <c r="E3329">
        <v>146.36000000000001</v>
      </c>
      <c r="F3329" t="s">
        <v>1578</v>
      </c>
      <c r="G3329" t="s">
        <v>1335</v>
      </c>
    </row>
    <row r="3330" spans="1:7">
      <c r="A3330" t="s">
        <v>4933</v>
      </c>
      <c r="B3330" s="2">
        <v>45857</v>
      </c>
      <c r="C3330" t="s">
        <v>89</v>
      </c>
      <c r="D3330" t="s">
        <v>1629</v>
      </c>
      <c r="E3330">
        <v>624.22</v>
      </c>
      <c r="F3330" t="s">
        <v>1578</v>
      </c>
      <c r="G3330" t="s">
        <v>1335</v>
      </c>
    </row>
    <row r="3331" spans="1:7">
      <c r="A3331" t="s">
        <v>4934</v>
      </c>
      <c r="B3331" s="2">
        <v>45857</v>
      </c>
      <c r="C3331" t="s">
        <v>110</v>
      </c>
      <c r="D3331" t="s">
        <v>1629</v>
      </c>
      <c r="E3331">
        <v>414.12</v>
      </c>
      <c r="F3331" t="s">
        <v>1578</v>
      </c>
      <c r="G3331" t="s">
        <v>1335</v>
      </c>
    </row>
    <row r="3332" spans="1:7">
      <c r="A3332" t="s">
        <v>4935</v>
      </c>
      <c r="B3332" s="2">
        <v>45857</v>
      </c>
      <c r="C3332" t="s">
        <v>114</v>
      </c>
      <c r="D3332" t="s">
        <v>1629</v>
      </c>
      <c r="E3332">
        <v>410.06</v>
      </c>
      <c r="F3332" t="s">
        <v>1578</v>
      </c>
      <c r="G3332" t="s">
        <v>1335</v>
      </c>
    </row>
    <row r="3333" spans="1:7">
      <c r="A3333" t="s">
        <v>4936</v>
      </c>
      <c r="B3333" s="2">
        <v>45857</v>
      </c>
      <c r="C3333" t="s">
        <v>117</v>
      </c>
      <c r="D3333" t="s">
        <v>1629</v>
      </c>
      <c r="E3333">
        <v>408.03</v>
      </c>
      <c r="F3333" t="s">
        <v>1578</v>
      </c>
      <c r="G3333" t="s">
        <v>1335</v>
      </c>
    </row>
    <row r="3334" spans="1:7">
      <c r="A3334" t="s">
        <v>4937</v>
      </c>
      <c r="B3334" s="2">
        <v>45857</v>
      </c>
      <c r="C3334" t="s">
        <v>119</v>
      </c>
      <c r="D3334" t="s">
        <v>1629</v>
      </c>
      <c r="E3334">
        <v>410.06</v>
      </c>
      <c r="F3334" t="s">
        <v>1578</v>
      </c>
      <c r="G3334" t="s">
        <v>1335</v>
      </c>
    </row>
    <row r="3335" spans="1:7">
      <c r="A3335" t="s">
        <v>4938</v>
      </c>
      <c r="B3335" s="2">
        <v>45857</v>
      </c>
      <c r="C3335" t="s">
        <v>61</v>
      </c>
      <c r="D3335" t="s">
        <v>1629</v>
      </c>
      <c r="E3335">
        <v>331.5</v>
      </c>
      <c r="F3335" t="s">
        <v>1578</v>
      </c>
      <c r="G3335" t="s">
        <v>1336</v>
      </c>
    </row>
    <row r="3336" spans="1:7">
      <c r="A3336" t="s">
        <v>4939</v>
      </c>
      <c r="B3336" s="2">
        <v>45857</v>
      </c>
      <c r="C3336" t="s">
        <v>65</v>
      </c>
      <c r="D3336" t="s">
        <v>1629</v>
      </c>
      <c r="E3336">
        <v>329.87</v>
      </c>
      <c r="F3336" t="s">
        <v>1578</v>
      </c>
      <c r="G3336" t="s">
        <v>1336</v>
      </c>
    </row>
    <row r="3337" spans="1:7">
      <c r="A3337" t="s">
        <v>4940</v>
      </c>
      <c r="B3337" s="2">
        <v>45857</v>
      </c>
      <c r="C3337" t="s">
        <v>68</v>
      </c>
      <c r="D3337" t="s">
        <v>1629</v>
      </c>
      <c r="E3337">
        <v>331.5</v>
      </c>
      <c r="F3337" t="s">
        <v>1578</v>
      </c>
      <c r="G3337" t="s">
        <v>1336</v>
      </c>
    </row>
    <row r="3338" spans="1:7">
      <c r="A3338" t="s">
        <v>4941</v>
      </c>
      <c r="B3338" s="2">
        <v>45857</v>
      </c>
      <c r="C3338" t="s">
        <v>70</v>
      </c>
      <c r="D3338" t="s">
        <v>1629</v>
      </c>
      <c r="E3338">
        <v>328.25</v>
      </c>
      <c r="F3338" t="s">
        <v>1578</v>
      </c>
      <c r="G3338" t="s">
        <v>1336</v>
      </c>
    </row>
    <row r="3339" spans="1:7">
      <c r="A3339" t="s">
        <v>4942</v>
      </c>
      <c r="B3339" s="2">
        <v>45857</v>
      </c>
      <c r="C3339" t="s">
        <v>75</v>
      </c>
      <c r="D3339" t="s">
        <v>1629</v>
      </c>
      <c r="E3339">
        <v>328.25</v>
      </c>
      <c r="F3339" t="s">
        <v>1578</v>
      </c>
      <c r="G3339" t="s">
        <v>1336</v>
      </c>
    </row>
    <row r="3340" spans="1:7">
      <c r="A3340" t="s">
        <v>4943</v>
      </c>
      <c r="B3340" s="2">
        <v>45857</v>
      </c>
      <c r="C3340" t="s">
        <v>77</v>
      </c>
      <c r="D3340" t="s">
        <v>1629</v>
      </c>
      <c r="E3340">
        <v>328.25</v>
      </c>
      <c r="F3340" t="s">
        <v>1578</v>
      </c>
      <c r="G3340" t="s">
        <v>1336</v>
      </c>
    </row>
    <row r="3341" spans="1:7">
      <c r="A3341" t="s">
        <v>4944</v>
      </c>
      <c r="B3341" s="2">
        <v>45857</v>
      </c>
      <c r="C3341" t="s">
        <v>79</v>
      </c>
      <c r="D3341" t="s">
        <v>1629</v>
      </c>
      <c r="E3341">
        <v>331.5</v>
      </c>
      <c r="F3341" t="s">
        <v>1578</v>
      </c>
      <c r="G3341" t="s">
        <v>1336</v>
      </c>
    </row>
    <row r="3342" spans="1:7">
      <c r="A3342" t="s">
        <v>4945</v>
      </c>
      <c r="B3342" s="2">
        <v>45857</v>
      </c>
      <c r="C3342" t="s">
        <v>81</v>
      </c>
      <c r="D3342" t="s">
        <v>1629</v>
      </c>
      <c r="E3342">
        <v>656.5</v>
      </c>
      <c r="F3342" t="s">
        <v>1578</v>
      </c>
      <c r="G3342" t="s">
        <v>1336</v>
      </c>
    </row>
    <row r="3343" spans="1:7">
      <c r="A3343" t="s">
        <v>4946</v>
      </c>
      <c r="B3343" s="2">
        <v>45857</v>
      </c>
      <c r="C3343" t="s">
        <v>110</v>
      </c>
      <c r="D3343" t="s">
        <v>1629</v>
      </c>
      <c r="E3343">
        <v>331.5</v>
      </c>
      <c r="F3343" t="s">
        <v>1578</v>
      </c>
      <c r="G3343" t="s">
        <v>1336</v>
      </c>
    </row>
    <row r="3344" spans="1:7">
      <c r="A3344" t="s">
        <v>4947</v>
      </c>
      <c r="B3344" s="2">
        <v>45857</v>
      </c>
      <c r="C3344" t="s">
        <v>114</v>
      </c>
      <c r="D3344" t="s">
        <v>1629</v>
      </c>
      <c r="E3344">
        <v>328.25</v>
      </c>
      <c r="F3344" t="s">
        <v>1578</v>
      </c>
      <c r="G3344" t="s">
        <v>1336</v>
      </c>
    </row>
    <row r="3345" spans="1:7">
      <c r="A3345" t="s">
        <v>4948</v>
      </c>
      <c r="B3345" s="2">
        <v>45857</v>
      </c>
      <c r="C3345" t="s">
        <v>117</v>
      </c>
      <c r="D3345" t="s">
        <v>1629</v>
      </c>
      <c r="E3345">
        <v>326.62</v>
      </c>
      <c r="F3345" t="s">
        <v>1578</v>
      </c>
      <c r="G3345" t="s">
        <v>1336</v>
      </c>
    </row>
    <row r="3346" spans="1:7">
      <c r="A3346" t="s">
        <v>4949</v>
      </c>
      <c r="B3346" s="2">
        <v>45857</v>
      </c>
      <c r="C3346" t="s">
        <v>119</v>
      </c>
      <c r="D3346" t="s">
        <v>1629</v>
      </c>
      <c r="E3346">
        <v>328.25</v>
      </c>
      <c r="F3346" t="s">
        <v>1578</v>
      </c>
      <c r="G3346" t="s">
        <v>1336</v>
      </c>
    </row>
    <row r="3347" spans="1:7">
      <c r="A3347" t="s">
        <v>4950</v>
      </c>
      <c r="B3347" s="2">
        <v>45857</v>
      </c>
      <c r="C3347" t="s">
        <v>91</v>
      </c>
      <c r="D3347" t="s">
        <v>1683</v>
      </c>
      <c r="E3347">
        <v>287</v>
      </c>
      <c r="F3347" t="s">
        <v>1578</v>
      </c>
      <c r="G3347" t="s">
        <v>737</v>
      </c>
    </row>
    <row r="3348" spans="1:7">
      <c r="A3348" t="s">
        <v>4951</v>
      </c>
      <c r="B3348" s="2">
        <v>45857</v>
      </c>
      <c r="C3348" t="s">
        <v>61</v>
      </c>
      <c r="D3348" t="s">
        <v>1683</v>
      </c>
      <c r="E3348">
        <v>128</v>
      </c>
      <c r="F3348" t="s">
        <v>1578</v>
      </c>
      <c r="G3348" t="s">
        <v>738</v>
      </c>
    </row>
    <row r="3349" spans="1:7">
      <c r="A3349" t="s">
        <v>4952</v>
      </c>
      <c r="B3349" s="2">
        <v>45858</v>
      </c>
      <c r="C3349" t="s">
        <v>61</v>
      </c>
      <c r="D3349" t="s">
        <v>1629</v>
      </c>
      <c r="E3349">
        <v>337.62</v>
      </c>
      <c r="F3349" t="s">
        <v>1578</v>
      </c>
      <c r="G3349" t="s">
        <v>1337</v>
      </c>
    </row>
    <row r="3350" spans="1:7">
      <c r="A3350" t="s">
        <v>4953</v>
      </c>
      <c r="B3350" s="2">
        <v>45858</v>
      </c>
      <c r="C3350" t="s">
        <v>65</v>
      </c>
      <c r="D3350" t="s">
        <v>1629</v>
      </c>
      <c r="E3350">
        <v>335.96</v>
      </c>
      <c r="F3350" t="s">
        <v>1578</v>
      </c>
      <c r="G3350" t="s">
        <v>1337</v>
      </c>
    </row>
    <row r="3351" spans="1:7">
      <c r="A3351" t="s">
        <v>4954</v>
      </c>
      <c r="B3351" s="2">
        <v>45858</v>
      </c>
      <c r="C3351" t="s">
        <v>68</v>
      </c>
      <c r="D3351" t="s">
        <v>1629</v>
      </c>
      <c r="E3351">
        <v>337.62</v>
      </c>
      <c r="F3351" t="s">
        <v>1578</v>
      </c>
      <c r="G3351" t="s">
        <v>1337</v>
      </c>
    </row>
    <row r="3352" spans="1:7">
      <c r="A3352" t="s">
        <v>4955</v>
      </c>
      <c r="B3352" s="2">
        <v>45858</v>
      </c>
      <c r="C3352" t="s">
        <v>75</v>
      </c>
      <c r="D3352" t="s">
        <v>1629</v>
      </c>
      <c r="E3352">
        <v>334.31</v>
      </c>
      <c r="F3352" t="s">
        <v>1578</v>
      </c>
      <c r="G3352" t="s">
        <v>1337</v>
      </c>
    </row>
    <row r="3353" spans="1:7">
      <c r="A3353" t="s">
        <v>4956</v>
      </c>
      <c r="B3353" s="2">
        <v>45858</v>
      </c>
      <c r="C3353" t="s">
        <v>79</v>
      </c>
      <c r="D3353" t="s">
        <v>1629</v>
      </c>
      <c r="E3353">
        <v>337.62</v>
      </c>
      <c r="F3353" t="s">
        <v>1578</v>
      </c>
      <c r="G3353" t="s">
        <v>1337</v>
      </c>
    </row>
    <row r="3354" spans="1:7">
      <c r="A3354" t="s">
        <v>4957</v>
      </c>
      <c r="B3354" s="2">
        <v>45858</v>
      </c>
      <c r="C3354" t="s">
        <v>81</v>
      </c>
      <c r="D3354" t="s">
        <v>1629</v>
      </c>
      <c r="E3354">
        <v>668.62</v>
      </c>
      <c r="F3354" t="s">
        <v>1578</v>
      </c>
      <c r="G3354" t="s">
        <v>1337</v>
      </c>
    </row>
    <row r="3355" spans="1:7">
      <c r="A3355" t="s">
        <v>4958</v>
      </c>
      <c r="B3355" s="2">
        <v>45858</v>
      </c>
      <c r="C3355" t="s">
        <v>97</v>
      </c>
      <c r="D3355" t="s">
        <v>1629</v>
      </c>
      <c r="E3355">
        <v>337.62</v>
      </c>
      <c r="F3355" t="s">
        <v>1578</v>
      </c>
      <c r="G3355" t="s">
        <v>1337</v>
      </c>
    </row>
    <row r="3356" spans="1:7">
      <c r="A3356" t="s">
        <v>4959</v>
      </c>
      <c r="B3356" s="2">
        <v>45858</v>
      </c>
      <c r="C3356" t="s">
        <v>110</v>
      </c>
      <c r="D3356" t="s">
        <v>1629</v>
      </c>
      <c r="E3356">
        <v>337.62</v>
      </c>
      <c r="F3356" t="s">
        <v>1578</v>
      </c>
      <c r="G3356" t="s">
        <v>1337</v>
      </c>
    </row>
    <row r="3357" spans="1:7">
      <c r="A3357" t="s">
        <v>4960</v>
      </c>
      <c r="B3357" s="2">
        <v>45858</v>
      </c>
      <c r="C3357" t="s">
        <v>114</v>
      </c>
      <c r="D3357" t="s">
        <v>1629</v>
      </c>
      <c r="E3357">
        <v>334.31</v>
      </c>
      <c r="F3357" t="s">
        <v>1578</v>
      </c>
      <c r="G3357" t="s">
        <v>1337</v>
      </c>
    </row>
    <row r="3358" spans="1:7">
      <c r="A3358" t="s">
        <v>4961</v>
      </c>
      <c r="B3358" s="2">
        <v>45858</v>
      </c>
      <c r="C3358" t="s">
        <v>117</v>
      </c>
      <c r="D3358" t="s">
        <v>1629</v>
      </c>
      <c r="E3358">
        <v>332.66</v>
      </c>
      <c r="F3358" t="s">
        <v>1578</v>
      </c>
      <c r="G3358" t="s">
        <v>1337</v>
      </c>
    </row>
    <row r="3359" spans="1:7">
      <c r="A3359" t="s">
        <v>4962</v>
      </c>
      <c r="B3359" s="2">
        <v>45858</v>
      </c>
      <c r="C3359" t="s">
        <v>119</v>
      </c>
      <c r="D3359" t="s">
        <v>1629</v>
      </c>
      <c r="E3359">
        <v>334.31</v>
      </c>
      <c r="F3359" t="s">
        <v>1578</v>
      </c>
      <c r="G3359" t="s">
        <v>1337</v>
      </c>
    </row>
    <row r="3360" spans="1:7">
      <c r="A3360" t="s">
        <v>4963</v>
      </c>
      <c r="B3360" s="2">
        <v>45858</v>
      </c>
      <c r="C3360" t="s">
        <v>110</v>
      </c>
      <c r="D3360" t="s">
        <v>1683</v>
      </c>
      <c r="E3360">
        <v>84</v>
      </c>
      <c r="F3360" t="s">
        <v>1578</v>
      </c>
      <c r="G3360" t="s">
        <v>739</v>
      </c>
    </row>
    <row r="3361" spans="1:7">
      <c r="A3361" t="s">
        <v>4964</v>
      </c>
      <c r="B3361" s="2">
        <v>45858</v>
      </c>
      <c r="C3361" t="s">
        <v>106</v>
      </c>
      <c r="D3361" t="s">
        <v>1683</v>
      </c>
      <c r="E3361">
        <v>116</v>
      </c>
      <c r="F3361" t="s">
        <v>1578</v>
      </c>
      <c r="G3361" t="s">
        <v>740</v>
      </c>
    </row>
    <row r="3362" spans="1:7">
      <c r="A3362" t="s">
        <v>4965</v>
      </c>
      <c r="B3362" s="2">
        <v>45859</v>
      </c>
      <c r="C3362" t="s">
        <v>75</v>
      </c>
      <c r="D3362" t="s">
        <v>1629</v>
      </c>
      <c r="E3362">
        <v>306.02999999999997</v>
      </c>
      <c r="F3362" t="s">
        <v>1578</v>
      </c>
      <c r="G3362" t="s">
        <v>1338</v>
      </c>
    </row>
    <row r="3363" spans="1:7">
      <c r="A3363" t="s">
        <v>4966</v>
      </c>
      <c r="B3363" s="2">
        <v>45859</v>
      </c>
      <c r="C3363" t="s">
        <v>104</v>
      </c>
      <c r="D3363" t="s">
        <v>1629</v>
      </c>
      <c r="E3363">
        <v>624.17999999999995</v>
      </c>
      <c r="F3363" t="s">
        <v>1578</v>
      </c>
      <c r="G3363" t="s">
        <v>1338</v>
      </c>
    </row>
    <row r="3364" spans="1:7">
      <c r="A3364" t="s">
        <v>4967</v>
      </c>
      <c r="B3364" s="2">
        <v>45859</v>
      </c>
      <c r="C3364" t="s">
        <v>108</v>
      </c>
      <c r="D3364" t="s">
        <v>1629</v>
      </c>
      <c r="E3364">
        <v>615.09</v>
      </c>
      <c r="F3364" t="s">
        <v>1578</v>
      </c>
      <c r="G3364" t="s">
        <v>1338</v>
      </c>
    </row>
    <row r="3365" spans="1:7">
      <c r="A3365" t="s">
        <v>4968</v>
      </c>
      <c r="B3365" s="2">
        <v>45859</v>
      </c>
      <c r="C3365" t="s">
        <v>110</v>
      </c>
      <c r="D3365" t="s">
        <v>1629</v>
      </c>
      <c r="E3365">
        <v>309.06</v>
      </c>
      <c r="F3365" t="s">
        <v>1578</v>
      </c>
      <c r="G3365" t="s">
        <v>1338</v>
      </c>
    </row>
    <row r="3366" spans="1:7">
      <c r="A3366" t="s">
        <v>4969</v>
      </c>
      <c r="B3366" s="2">
        <v>45859</v>
      </c>
      <c r="C3366" t="s">
        <v>114</v>
      </c>
      <c r="D3366" t="s">
        <v>1629</v>
      </c>
      <c r="E3366">
        <v>306.02999999999997</v>
      </c>
      <c r="F3366" t="s">
        <v>1578</v>
      </c>
      <c r="G3366" t="s">
        <v>1338</v>
      </c>
    </row>
    <row r="3367" spans="1:7">
      <c r="A3367" t="s">
        <v>4970</v>
      </c>
      <c r="B3367" s="2">
        <v>45859</v>
      </c>
      <c r="C3367" t="s">
        <v>117</v>
      </c>
      <c r="D3367" t="s">
        <v>1629</v>
      </c>
      <c r="E3367">
        <v>304.52</v>
      </c>
      <c r="F3367" t="s">
        <v>1578</v>
      </c>
      <c r="G3367" t="s">
        <v>1338</v>
      </c>
    </row>
    <row r="3368" spans="1:7">
      <c r="A3368" t="s">
        <v>4971</v>
      </c>
      <c r="B3368" s="2">
        <v>45859</v>
      </c>
      <c r="C3368" t="s">
        <v>119</v>
      </c>
      <c r="D3368" t="s">
        <v>1629</v>
      </c>
      <c r="E3368">
        <v>306.02999999999997</v>
      </c>
      <c r="F3368" t="s">
        <v>1578</v>
      </c>
      <c r="G3368" t="s">
        <v>1338</v>
      </c>
    </row>
    <row r="3369" spans="1:7">
      <c r="A3369" t="s">
        <v>4972</v>
      </c>
      <c r="B3369" s="2">
        <v>45859</v>
      </c>
      <c r="C3369" t="s">
        <v>61</v>
      </c>
      <c r="D3369" t="s">
        <v>1629</v>
      </c>
      <c r="E3369">
        <v>153</v>
      </c>
      <c r="F3369" t="s">
        <v>1578</v>
      </c>
      <c r="G3369" t="s">
        <v>1339</v>
      </c>
    </row>
    <row r="3370" spans="1:7">
      <c r="A3370" t="s">
        <v>4973</v>
      </c>
      <c r="B3370" s="2">
        <v>45859</v>
      </c>
      <c r="C3370" t="s">
        <v>65</v>
      </c>
      <c r="D3370" t="s">
        <v>1629</v>
      </c>
      <c r="E3370">
        <v>152.25</v>
      </c>
      <c r="F3370" t="s">
        <v>1578</v>
      </c>
      <c r="G3370" t="s">
        <v>1339</v>
      </c>
    </row>
    <row r="3371" spans="1:7">
      <c r="A3371" t="s">
        <v>4974</v>
      </c>
      <c r="B3371" s="2">
        <v>45859</v>
      </c>
      <c r="C3371" t="s">
        <v>68</v>
      </c>
      <c r="D3371" t="s">
        <v>1629</v>
      </c>
      <c r="E3371">
        <v>153</v>
      </c>
      <c r="F3371" t="s">
        <v>1578</v>
      </c>
      <c r="G3371" t="s">
        <v>1339</v>
      </c>
    </row>
    <row r="3372" spans="1:7">
      <c r="A3372" t="s">
        <v>4975</v>
      </c>
      <c r="B3372" s="2">
        <v>45859</v>
      </c>
      <c r="C3372" t="s">
        <v>75</v>
      </c>
      <c r="D3372" t="s">
        <v>1629</v>
      </c>
      <c r="E3372">
        <v>151.5</v>
      </c>
      <c r="F3372" t="s">
        <v>1578</v>
      </c>
      <c r="G3372" t="s">
        <v>1339</v>
      </c>
    </row>
    <row r="3373" spans="1:7">
      <c r="A3373" t="s">
        <v>4976</v>
      </c>
      <c r="B3373" s="2">
        <v>45859</v>
      </c>
      <c r="C3373" t="s">
        <v>79</v>
      </c>
      <c r="D3373" t="s">
        <v>1629</v>
      </c>
      <c r="E3373">
        <v>153</v>
      </c>
      <c r="F3373" t="s">
        <v>1578</v>
      </c>
      <c r="G3373" t="s">
        <v>1339</v>
      </c>
    </row>
    <row r="3374" spans="1:7">
      <c r="A3374" t="s">
        <v>4977</v>
      </c>
      <c r="B3374" s="2">
        <v>45859</v>
      </c>
      <c r="C3374" t="s">
        <v>81</v>
      </c>
      <c r="D3374" t="s">
        <v>1629</v>
      </c>
      <c r="E3374">
        <v>303</v>
      </c>
      <c r="F3374" t="s">
        <v>1578</v>
      </c>
      <c r="G3374" t="s">
        <v>1339</v>
      </c>
    </row>
    <row r="3375" spans="1:7">
      <c r="A3375" t="s">
        <v>4978</v>
      </c>
      <c r="B3375" s="2">
        <v>45859</v>
      </c>
      <c r="C3375" t="s">
        <v>97</v>
      </c>
      <c r="D3375" t="s">
        <v>1629</v>
      </c>
      <c r="E3375">
        <v>153</v>
      </c>
      <c r="F3375" t="s">
        <v>1578</v>
      </c>
      <c r="G3375" t="s">
        <v>1339</v>
      </c>
    </row>
    <row r="3376" spans="1:7">
      <c r="A3376" t="s">
        <v>4979</v>
      </c>
      <c r="B3376" s="2">
        <v>45859</v>
      </c>
      <c r="C3376" t="s">
        <v>110</v>
      </c>
      <c r="D3376" t="s">
        <v>1629</v>
      </c>
      <c r="E3376">
        <v>153</v>
      </c>
      <c r="F3376" t="s">
        <v>1578</v>
      </c>
      <c r="G3376" t="s">
        <v>1339</v>
      </c>
    </row>
    <row r="3377" spans="1:7">
      <c r="A3377" t="s">
        <v>4980</v>
      </c>
      <c r="B3377" s="2">
        <v>45859</v>
      </c>
      <c r="C3377" t="s">
        <v>114</v>
      </c>
      <c r="D3377" t="s">
        <v>1629</v>
      </c>
      <c r="E3377">
        <v>151.5</v>
      </c>
      <c r="F3377" t="s">
        <v>1578</v>
      </c>
      <c r="G3377" t="s">
        <v>1339</v>
      </c>
    </row>
    <row r="3378" spans="1:7">
      <c r="A3378" t="s">
        <v>4981</v>
      </c>
      <c r="B3378" s="2">
        <v>45859</v>
      </c>
      <c r="C3378" t="s">
        <v>117</v>
      </c>
      <c r="D3378" t="s">
        <v>1629</v>
      </c>
      <c r="E3378">
        <v>150.75</v>
      </c>
      <c r="F3378" t="s">
        <v>1578</v>
      </c>
      <c r="G3378" t="s">
        <v>1339</v>
      </c>
    </row>
    <row r="3379" spans="1:7">
      <c r="A3379" t="s">
        <v>4982</v>
      </c>
      <c r="B3379" s="2">
        <v>45859</v>
      </c>
      <c r="C3379" t="s">
        <v>119</v>
      </c>
      <c r="D3379" t="s">
        <v>1629</v>
      </c>
      <c r="E3379">
        <v>151.5</v>
      </c>
      <c r="F3379" t="s">
        <v>1578</v>
      </c>
      <c r="G3379" t="s">
        <v>1339</v>
      </c>
    </row>
    <row r="3380" spans="1:7">
      <c r="A3380" t="s">
        <v>4983</v>
      </c>
      <c r="B3380" s="2">
        <v>45859</v>
      </c>
      <c r="C3380" t="s">
        <v>61</v>
      </c>
      <c r="D3380" t="s">
        <v>1629</v>
      </c>
      <c r="E3380">
        <v>128.52000000000001</v>
      </c>
      <c r="F3380" t="s">
        <v>1578</v>
      </c>
      <c r="G3380" t="s">
        <v>1340</v>
      </c>
    </row>
    <row r="3381" spans="1:7">
      <c r="A3381" t="s">
        <v>4984</v>
      </c>
      <c r="B3381" s="2">
        <v>45859</v>
      </c>
      <c r="C3381" t="s">
        <v>65</v>
      </c>
      <c r="D3381" t="s">
        <v>1629</v>
      </c>
      <c r="E3381">
        <v>127.89</v>
      </c>
      <c r="F3381" t="s">
        <v>1578</v>
      </c>
      <c r="G3381" t="s">
        <v>1340</v>
      </c>
    </row>
    <row r="3382" spans="1:7">
      <c r="A3382" t="s">
        <v>4985</v>
      </c>
      <c r="B3382" s="2">
        <v>45859</v>
      </c>
      <c r="C3382" t="s">
        <v>68</v>
      </c>
      <c r="D3382" t="s">
        <v>1629</v>
      </c>
      <c r="E3382">
        <v>128.52000000000001</v>
      </c>
      <c r="F3382" t="s">
        <v>1578</v>
      </c>
      <c r="G3382" t="s">
        <v>1340</v>
      </c>
    </row>
    <row r="3383" spans="1:7">
      <c r="A3383" t="s">
        <v>4986</v>
      </c>
      <c r="B3383" s="2">
        <v>45859</v>
      </c>
      <c r="C3383" t="s">
        <v>70</v>
      </c>
      <c r="D3383" t="s">
        <v>1629</v>
      </c>
      <c r="E3383">
        <v>127.26</v>
      </c>
      <c r="F3383" t="s">
        <v>1578</v>
      </c>
      <c r="G3383" t="s">
        <v>1340</v>
      </c>
    </row>
    <row r="3384" spans="1:7">
      <c r="A3384" t="s">
        <v>4987</v>
      </c>
      <c r="B3384" s="2">
        <v>45859</v>
      </c>
      <c r="C3384" t="s">
        <v>75</v>
      </c>
      <c r="D3384" t="s">
        <v>1629</v>
      </c>
      <c r="E3384">
        <v>127.26</v>
      </c>
      <c r="F3384" t="s">
        <v>1578</v>
      </c>
      <c r="G3384" t="s">
        <v>1340</v>
      </c>
    </row>
    <row r="3385" spans="1:7">
      <c r="A3385" t="s">
        <v>4988</v>
      </c>
      <c r="B3385" s="2">
        <v>45859</v>
      </c>
      <c r="C3385" t="s">
        <v>77</v>
      </c>
      <c r="D3385" t="s">
        <v>1629</v>
      </c>
      <c r="E3385">
        <v>127.26</v>
      </c>
      <c r="F3385" t="s">
        <v>1578</v>
      </c>
      <c r="G3385" t="s">
        <v>1340</v>
      </c>
    </row>
    <row r="3386" spans="1:7">
      <c r="A3386" t="s">
        <v>4989</v>
      </c>
      <c r="B3386" s="2">
        <v>45859</v>
      </c>
      <c r="C3386" t="s">
        <v>79</v>
      </c>
      <c r="D3386" t="s">
        <v>1629</v>
      </c>
      <c r="E3386">
        <v>128.52000000000001</v>
      </c>
      <c r="F3386" t="s">
        <v>1578</v>
      </c>
      <c r="G3386" t="s">
        <v>1340</v>
      </c>
    </row>
    <row r="3387" spans="1:7">
      <c r="A3387" t="s">
        <v>4990</v>
      </c>
      <c r="B3387" s="2">
        <v>45859</v>
      </c>
      <c r="C3387" t="s">
        <v>81</v>
      </c>
      <c r="D3387" t="s">
        <v>1629</v>
      </c>
      <c r="E3387">
        <v>254.52</v>
      </c>
      <c r="F3387" t="s">
        <v>1578</v>
      </c>
      <c r="G3387" t="s">
        <v>1340</v>
      </c>
    </row>
    <row r="3388" spans="1:7">
      <c r="A3388" t="s">
        <v>4991</v>
      </c>
      <c r="B3388" s="2">
        <v>45859</v>
      </c>
      <c r="C3388" t="s">
        <v>110</v>
      </c>
      <c r="D3388" t="s">
        <v>1629</v>
      </c>
      <c r="E3388">
        <v>128.52000000000001</v>
      </c>
      <c r="F3388" t="s">
        <v>1578</v>
      </c>
      <c r="G3388" t="s">
        <v>1340</v>
      </c>
    </row>
    <row r="3389" spans="1:7">
      <c r="A3389" t="s">
        <v>4992</v>
      </c>
      <c r="B3389" s="2">
        <v>45859</v>
      </c>
      <c r="C3389" t="s">
        <v>114</v>
      </c>
      <c r="D3389" t="s">
        <v>1629</v>
      </c>
      <c r="E3389">
        <v>127.26</v>
      </c>
      <c r="F3389" t="s">
        <v>1578</v>
      </c>
      <c r="G3389" t="s">
        <v>1340</v>
      </c>
    </row>
    <row r="3390" spans="1:7">
      <c r="A3390" t="s">
        <v>4993</v>
      </c>
      <c r="B3390" s="2">
        <v>45859</v>
      </c>
      <c r="C3390" t="s">
        <v>117</v>
      </c>
      <c r="D3390" t="s">
        <v>1629</v>
      </c>
      <c r="E3390">
        <v>126.63</v>
      </c>
      <c r="F3390" t="s">
        <v>1578</v>
      </c>
      <c r="G3390" t="s">
        <v>1340</v>
      </c>
    </row>
    <row r="3391" spans="1:7">
      <c r="A3391" t="s">
        <v>4994</v>
      </c>
      <c r="B3391" s="2">
        <v>45859</v>
      </c>
      <c r="C3391" t="s">
        <v>119</v>
      </c>
      <c r="D3391" t="s">
        <v>1629</v>
      </c>
      <c r="E3391">
        <v>127.26</v>
      </c>
      <c r="F3391" t="s">
        <v>1578</v>
      </c>
      <c r="G3391" t="s">
        <v>1340</v>
      </c>
    </row>
    <row r="3392" spans="1:7">
      <c r="A3392" t="s">
        <v>4995</v>
      </c>
      <c r="B3392" s="2">
        <v>45859</v>
      </c>
      <c r="C3392" t="s">
        <v>108</v>
      </c>
      <c r="D3392" t="s">
        <v>1683</v>
      </c>
      <c r="E3392">
        <v>171</v>
      </c>
      <c r="F3392" t="s">
        <v>1578</v>
      </c>
      <c r="G3392" t="s">
        <v>741</v>
      </c>
    </row>
    <row r="3393" spans="1:7">
      <c r="A3393" t="s">
        <v>4996</v>
      </c>
      <c r="B3393" s="2">
        <v>45860</v>
      </c>
      <c r="C3393" t="s">
        <v>61</v>
      </c>
      <c r="D3393" t="s">
        <v>1629</v>
      </c>
      <c r="E3393">
        <v>437.58</v>
      </c>
      <c r="F3393" t="s">
        <v>1578</v>
      </c>
      <c r="G3393" t="s">
        <v>1341</v>
      </c>
    </row>
    <row r="3394" spans="1:7">
      <c r="A3394" t="s">
        <v>4997</v>
      </c>
      <c r="B3394" s="2">
        <v>45860</v>
      </c>
      <c r="C3394" t="s">
        <v>65</v>
      </c>
      <c r="D3394" t="s">
        <v>1629</v>
      </c>
      <c r="E3394">
        <v>435.43</v>
      </c>
      <c r="F3394" t="s">
        <v>1578</v>
      </c>
      <c r="G3394" t="s">
        <v>1341</v>
      </c>
    </row>
    <row r="3395" spans="1:7">
      <c r="A3395" t="s">
        <v>4998</v>
      </c>
      <c r="B3395" s="2">
        <v>45860</v>
      </c>
      <c r="C3395" t="s">
        <v>68</v>
      </c>
      <c r="D3395" t="s">
        <v>1629</v>
      </c>
      <c r="E3395">
        <v>437.58</v>
      </c>
      <c r="F3395" t="s">
        <v>1578</v>
      </c>
      <c r="G3395" t="s">
        <v>1341</v>
      </c>
    </row>
    <row r="3396" spans="1:7">
      <c r="A3396" t="s">
        <v>4999</v>
      </c>
      <c r="B3396" s="2">
        <v>45860</v>
      </c>
      <c r="C3396" t="s">
        <v>70</v>
      </c>
      <c r="D3396" t="s">
        <v>1629</v>
      </c>
      <c r="E3396">
        <v>433.29</v>
      </c>
      <c r="F3396" t="s">
        <v>1578</v>
      </c>
      <c r="G3396" t="s">
        <v>1341</v>
      </c>
    </row>
    <row r="3397" spans="1:7">
      <c r="A3397" t="s">
        <v>5000</v>
      </c>
      <c r="B3397" s="2">
        <v>45860</v>
      </c>
      <c r="C3397" t="s">
        <v>75</v>
      </c>
      <c r="D3397" t="s">
        <v>1629</v>
      </c>
      <c r="E3397">
        <v>433.29</v>
      </c>
      <c r="F3397" t="s">
        <v>1578</v>
      </c>
      <c r="G3397" t="s">
        <v>1341</v>
      </c>
    </row>
    <row r="3398" spans="1:7">
      <c r="A3398" t="s">
        <v>5001</v>
      </c>
      <c r="B3398" s="2">
        <v>45860</v>
      </c>
      <c r="C3398" t="s">
        <v>77</v>
      </c>
      <c r="D3398" t="s">
        <v>1629</v>
      </c>
      <c r="E3398">
        <v>433.29</v>
      </c>
      <c r="F3398" t="s">
        <v>1578</v>
      </c>
      <c r="G3398" t="s">
        <v>1341</v>
      </c>
    </row>
    <row r="3399" spans="1:7">
      <c r="A3399" t="s">
        <v>5002</v>
      </c>
      <c r="B3399" s="2">
        <v>45860</v>
      </c>
      <c r="C3399" t="s">
        <v>79</v>
      </c>
      <c r="D3399" t="s">
        <v>1629</v>
      </c>
      <c r="E3399">
        <v>437.58</v>
      </c>
      <c r="F3399" t="s">
        <v>1578</v>
      </c>
      <c r="G3399" t="s">
        <v>1341</v>
      </c>
    </row>
    <row r="3400" spans="1:7">
      <c r="A3400" t="s">
        <v>5003</v>
      </c>
      <c r="B3400" s="2">
        <v>45860</v>
      </c>
      <c r="C3400" t="s">
        <v>81</v>
      </c>
      <c r="D3400" t="s">
        <v>1629</v>
      </c>
      <c r="E3400">
        <v>866.58</v>
      </c>
      <c r="F3400" t="s">
        <v>1578</v>
      </c>
      <c r="G3400" t="s">
        <v>1341</v>
      </c>
    </row>
    <row r="3401" spans="1:7">
      <c r="A3401" t="s">
        <v>5004</v>
      </c>
      <c r="B3401" s="2">
        <v>45860</v>
      </c>
      <c r="C3401" t="s">
        <v>110</v>
      </c>
      <c r="D3401" t="s">
        <v>1629</v>
      </c>
      <c r="E3401">
        <v>437.58</v>
      </c>
      <c r="F3401" t="s">
        <v>1578</v>
      </c>
      <c r="G3401" t="s">
        <v>1341</v>
      </c>
    </row>
    <row r="3402" spans="1:7">
      <c r="A3402" t="s">
        <v>5005</v>
      </c>
      <c r="B3402" s="2">
        <v>45860</v>
      </c>
      <c r="C3402" t="s">
        <v>114</v>
      </c>
      <c r="D3402" t="s">
        <v>1629</v>
      </c>
      <c r="E3402">
        <v>433.29</v>
      </c>
      <c r="F3402" t="s">
        <v>1578</v>
      </c>
      <c r="G3402" t="s">
        <v>1341</v>
      </c>
    </row>
    <row r="3403" spans="1:7">
      <c r="A3403" t="s">
        <v>5006</v>
      </c>
      <c r="B3403" s="2">
        <v>45860</v>
      </c>
      <c r="C3403" t="s">
        <v>117</v>
      </c>
      <c r="D3403" t="s">
        <v>1629</v>
      </c>
      <c r="E3403">
        <v>431.14</v>
      </c>
      <c r="F3403" t="s">
        <v>1578</v>
      </c>
      <c r="G3403" t="s">
        <v>1341</v>
      </c>
    </row>
    <row r="3404" spans="1:7">
      <c r="A3404" t="s">
        <v>5007</v>
      </c>
      <c r="B3404" s="2">
        <v>45860</v>
      </c>
      <c r="C3404" t="s">
        <v>119</v>
      </c>
      <c r="D3404" t="s">
        <v>1629</v>
      </c>
      <c r="E3404">
        <v>433.29</v>
      </c>
      <c r="F3404" t="s">
        <v>1578</v>
      </c>
      <c r="G3404" t="s">
        <v>1341</v>
      </c>
    </row>
    <row r="3405" spans="1:7">
      <c r="A3405" t="s">
        <v>5008</v>
      </c>
      <c r="B3405" s="2">
        <v>45860</v>
      </c>
      <c r="C3405" t="s">
        <v>91</v>
      </c>
      <c r="D3405" t="s">
        <v>1683</v>
      </c>
      <c r="E3405">
        <v>301</v>
      </c>
      <c r="F3405" t="s">
        <v>1578</v>
      </c>
      <c r="G3405" t="s">
        <v>742</v>
      </c>
    </row>
    <row r="3406" spans="1:7">
      <c r="A3406" t="s">
        <v>5009</v>
      </c>
      <c r="B3406" s="2">
        <v>45860</v>
      </c>
      <c r="C3406" t="s">
        <v>84</v>
      </c>
      <c r="D3406" t="s">
        <v>1683</v>
      </c>
      <c r="E3406">
        <v>346</v>
      </c>
      <c r="F3406" t="s">
        <v>1578</v>
      </c>
      <c r="G3406" t="s">
        <v>743</v>
      </c>
    </row>
    <row r="3407" spans="1:7">
      <c r="A3407" t="s">
        <v>5010</v>
      </c>
      <c r="B3407" s="2">
        <v>45861</v>
      </c>
      <c r="C3407" t="s">
        <v>61</v>
      </c>
      <c r="D3407" t="s">
        <v>1629</v>
      </c>
      <c r="E3407">
        <v>218.28</v>
      </c>
      <c r="F3407" t="s">
        <v>1578</v>
      </c>
      <c r="G3407" t="s">
        <v>1342</v>
      </c>
    </row>
    <row r="3408" spans="1:7">
      <c r="A3408" t="s">
        <v>5011</v>
      </c>
      <c r="B3408" s="2">
        <v>45861</v>
      </c>
      <c r="C3408" t="s">
        <v>65</v>
      </c>
      <c r="D3408" t="s">
        <v>1629</v>
      </c>
      <c r="E3408">
        <v>217.21</v>
      </c>
      <c r="F3408" t="s">
        <v>1578</v>
      </c>
      <c r="G3408" t="s">
        <v>1342</v>
      </c>
    </row>
    <row r="3409" spans="1:7">
      <c r="A3409" t="s">
        <v>5012</v>
      </c>
      <c r="B3409" s="2">
        <v>45861</v>
      </c>
      <c r="C3409" t="s">
        <v>68</v>
      </c>
      <c r="D3409" t="s">
        <v>1629</v>
      </c>
      <c r="E3409">
        <v>218.28</v>
      </c>
      <c r="F3409" t="s">
        <v>1578</v>
      </c>
      <c r="G3409" t="s">
        <v>1342</v>
      </c>
    </row>
    <row r="3410" spans="1:7">
      <c r="A3410" t="s">
        <v>5013</v>
      </c>
      <c r="B3410" s="2">
        <v>45861</v>
      </c>
      <c r="C3410" t="s">
        <v>70</v>
      </c>
      <c r="D3410" t="s">
        <v>1629</v>
      </c>
      <c r="E3410">
        <v>216.14</v>
      </c>
      <c r="F3410" t="s">
        <v>1578</v>
      </c>
      <c r="G3410" t="s">
        <v>1342</v>
      </c>
    </row>
    <row r="3411" spans="1:7">
      <c r="A3411" t="s">
        <v>5014</v>
      </c>
      <c r="B3411" s="2">
        <v>45861</v>
      </c>
      <c r="C3411" t="s">
        <v>75</v>
      </c>
      <c r="D3411" t="s">
        <v>1629</v>
      </c>
      <c r="E3411">
        <v>216.14</v>
      </c>
      <c r="F3411" t="s">
        <v>1578</v>
      </c>
      <c r="G3411" t="s">
        <v>1342</v>
      </c>
    </row>
    <row r="3412" spans="1:7">
      <c r="A3412" t="s">
        <v>5015</v>
      </c>
      <c r="B3412" s="2">
        <v>45861</v>
      </c>
      <c r="C3412" t="s">
        <v>77</v>
      </c>
      <c r="D3412" t="s">
        <v>1629</v>
      </c>
      <c r="E3412">
        <v>216.14</v>
      </c>
      <c r="F3412" t="s">
        <v>1578</v>
      </c>
      <c r="G3412" t="s">
        <v>1342</v>
      </c>
    </row>
    <row r="3413" spans="1:7">
      <c r="A3413" t="s">
        <v>5016</v>
      </c>
      <c r="B3413" s="2">
        <v>45861</v>
      </c>
      <c r="C3413" t="s">
        <v>79</v>
      </c>
      <c r="D3413" t="s">
        <v>1629</v>
      </c>
      <c r="E3413">
        <v>218.28</v>
      </c>
      <c r="F3413" t="s">
        <v>1578</v>
      </c>
      <c r="G3413" t="s">
        <v>1342</v>
      </c>
    </row>
    <row r="3414" spans="1:7">
      <c r="A3414" t="s">
        <v>5017</v>
      </c>
      <c r="B3414" s="2">
        <v>45861</v>
      </c>
      <c r="C3414" t="s">
        <v>81</v>
      </c>
      <c r="D3414" t="s">
        <v>1629</v>
      </c>
      <c r="E3414">
        <v>432.28</v>
      </c>
      <c r="F3414" t="s">
        <v>1578</v>
      </c>
      <c r="G3414" t="s">
        <v>1342</v>
      </c>
    </row>
    <row r="3415" spans="1:7">
      <c r="A3415" t="s">
        <v>5018</v>
      </c>
      <c r="B3415" s="2">
        <v>45861</v>
      </c>
      <c r="C3415" t="s">
        <v>110</v>
      </c>
      <c r="D3415" t="s">
        <v>1629</v>
      </c>
      <c r="E3415">
        <v>218.28</v>
      </c>
      <c r="F3415" t="s">
        <v>1578</v>
      </c>
      <c r="G3415" t="s">
        <v>1342</v>
      </c>
    </row>
    <row r="3416" spans="1:7">
      <c r="A3416" t="s">
        <v>5019</v>
      </c>
      <c r="B3416" s="2">
        <v>45861</v>
      </c>
      <c r="C3416" t="s">
        <v>114</v>
      </c>
      <c r="D3416" t="s">
        <v>1629</v>
      </c>
      <c r="E3416">
        <v>216.14</v>
      </c>
      <c r="F3416" t="s">
        <v>1578</v>
      </c>
      <c r="G3416" t="s">
        <v>1342</v>
      </c>
    </row>
    <row r="3417" spans="1:7">
      <c r="A3417" t="s">
        <v>5020</v>
      </c>
      <c r="B3417" s="2">
        <v>45861</v>
      </c>
      <c r="C3417" t="s">
        <v>117</v>
      </c>
      <c r="D3417" t="s">
        <v>1629</v>
      </c>
      <c r="E3417">
        <v>215.07</v>
      </c>
      <c r="F3417" t="s">
        <v>1578</v>
      </c>
      <c r="G3417" t="s">
        <v>1342</v>
      </c>
    </row>
    <row r="3418" spans="1:7">
      <c r="A3418" t="s">
        <v>5021</v>
      </c>
      <c r="B3418" s="2">
        <v>45861</v>
      </c>
      <c r="C3418" t="s">
        <v>119</v>
      </c>
      <c r="D3418" t="s">
        <v>1629</v>
      </c>
      <c r="E3418">
        <v>216.14</v>
      </c>
      <c r="F3418" t="s">
        <v>1578</v>
      </c>
      <c r="G3418" t="s">
        <v>1342</v>
      </c>
    </row>
    <row r="3419" spans="1:7">
      <c r="A3419" t="s">
        <v>5022</v>
      </c>
      <c r="B3419" s="2">
        <v>45861</v>
      </c>
      <c r="C3419" t="s">
        <v>91</v>
      </c>
      <c r="D3419" t="s">
        <v>1683</v>
      </c>
      <c r="E3419">
        <v>345</v>
      </c>
      <c r="F3419" t="s">
        <v>1578</v>
      </c>
      <c r="G3419" t="s">
        <v>744</v>
      </c>
    </row>
    <row r="3420" spans="1:7">
      <c r="A3420" t="s">
        <v>5023</v>
      </c>
      <c r="B3420" s="2">
        <v>45861</v>
      </c>
      <c r="C3420" t="s">
        <v>89</v>
      </c>
      <c r="D3420" t="s">
        <v>1683</v>
      </c>
      <c r="E3420">
        <v>1021</v>
      </c>
      <c r="F3420" t="s">
        <v>1578</v>
      </c>
      <c r="G3420" t="s">
        <v>745</v>
      </c>
    </row>
    <row r="3421" spans="1:7">
      <c r="A3421" t="s">
        <v>5024</v>
      </c>
      <c r="B3421" s="2">
        <v>45862</v>
      </c>
      <c r="C3421" t="s">
        <v>75</v>
      </c>
      <c r="D3421" t="s">
        <v>1629</v>
      </c>
      <c r="E3421">
        <v>402.99</v>
      </c>
      <c r="F3421" t="s">
        <v>1578</v>
      </c>
      <c r="G3421" t="s">
        <v>1343</v>
      </c>
    </row>
    <row r="3422" spans="1:7">
      <c r="A3422" t="s">
        <v>5025</v>
      </c>
      <c r="B3422" s="2">
        <v>45862</v>
      </c>
      <c r="C3422" t="s">
        <v>104</v>
      </c>
      <c r="D3422" t="s">
        <v>1629</v>
      </c>
      <c r="E3422">
        <v>821.94</v>
      </c>
      <c r="F3422" t="s">
        <v>1578</v>
      </c>
      <c r="G3422" t="s">
        <v>1343</v>
      </c>
    </row>
    <row r="3423" spans="1:7">
      <c r="A3423" t="s">
        <v>5026</v>
      </c>
      <c r="B3423" s="2">
        <v>45862</v>
      </c>
      <c r="C3423" t="s">
        <v>108</v>
      </c>
      <c r="D3423" t="s">
        <v>1629</v>
      </c>
      <c r="E3423">
        <v>809.97</v>
      </c>
      <c r="F3423" t="s">
        <v>1578</v>
      </c>
      <c r="G3423" t="s">
        <v>1343</v>
      </c>
    </row>
    <row r="3424" spans="1:7">
      <c r="A3424" t="s">
        <v>5027</v>
      </c>
      <c r="B3424" s="2">
        <v>45862</v>
      </c>
      <c r="C3424" t="s">
        <v>110</v>
      </c>
      <c r="D3424" t="s">
        <v>1629</v>
      </c>
      <c r="E3424">
        <v>406.98</v>
      </c>
      <c r="F3424" t="s">
        <v>1578</v>
      </c>
      <c r="G3424" t="s">
        <v>1343</v>
      </c>
    </row>
    <row r="3425" spans="1:7">
      <c r="A3425" t="s">
        <v>5028</v>
      </c>
      <c r="B3425" s="2">
        <v>45862</v>
      </c>
      <c r="C3425" t="s">
        <v>114</v>
      </c>
      <c r="D3425" t="s">
        <v>1629</v>
      </c>
      <c r="E3425">
        <v>402.99</v>
      </c>
      <c r="F3425" t="s">
        <v>1578</v>
      </c>
      <c r="G3425" t="s">
        <v>1343</v>
      </c>
    </row>
    <row r="3426" spans="1:7">
      <c r="A3426" t="s">
        <v>5029</v>
      </c>
      <c r="B3426" s="2">
        <v>45862</v>
      </c>
      <c r="C3426" t="s">
        <v>117</v>
      </c>
      <c r="D3426" t="s">
        <v>1629</v>
      </c>
      <c r="E3426">
        <v>400.99</v>
      </c>
      <c r="F3426" t="s">
        <v>1578</v>
      </c>
      <c r="G3426" t="s">
        <v>1343</v>
      </c>
    </row>
    <row r="3427" spans="1:7">
      <c r="A3427" t="s">
        <v>5030</v>
      </c>
      <c r="B3427" s="2">
        <v>45862</v>
      </c>
      <c r="C3427" t="s">
        <v>119</v>
      </c>
      <c r="D3427" t="s">
        <v>1629</v>
      </c>
      <c r="E3427">
        <v>402.99</v>
      </c>
      <c r="F3427" t="s">
        <v>1578</v>
      </c>
      <c r="G3427" t="s">
        <v>1343</v>
      </c>
    </row>
    <row r="3428" spans="1:7">
      <c r="A3428" t="s">
        <v>5031</v>
      </c>
      <c r="B3428" s="2">
        <v>45863</v>
      </c>
      <c r="C3428" t="s">
        <v>95</v>
      </c>
      <c r="D3428" t="s">
        <v>1683</v>
      </c>
      <c r="E3428">
        <v>88</v>
      </c>
      <c r="F3428" t="s">
        <v>1578</v>
      </c>
      <c r="G3428" t="s">
        <v>746</v>
      </c>
    </row>
    <row r="3429" spans="1:7">
      <c r="A3429" t="s">
        <v>5032</v>
      </c>
      <c r="B3429" s="2">
        <v>45863</v>
      </c>
      <c r="C3429" t="s">
        <v>102</v>
      </c>
      <c r="D3429" t="s">
        <v>1683</v>
      </c>
      <c r="E3429">
        <v>420</v>
      </c>
      <c r="F3429" t="s">
        <v>1578</v>
      </c>
      <c r="G3429" t="s">
        <v>747</v>
      </c>
    </row>
    <row r="3430" spans="1:7">
      <c r="A3430" t="s">
        <v>5033</v>
      </c>
      <c r="B3430" s="2">
        <v>45863</v>
      </c>
      <c r="C3430" t="s">
        <v>68</v>
      </c>
      <c r="D3430" t="s">
        <v>1683</v>
      </c>
      <c r="E3430">
        <v>67</v>
      </c>
      <c r="F3430" t="s">
        <v>1578</v>
      </c>
      <c r="G3430" t="s">
        <v>749</v>
      </c>
    </row>
    <row r="3431" spans="1:7">
      <c r="A3431" t="s">
        <v>5034</v>
      </c>
      <c r="B3431" s="2">
        <v>45863</v>
      </c>
      <c r="C3431" t="s">
        <v>68</v>
      </c>
      <c r="D3431" t="s">
        <v>1683</v>
      </c>
      <c r="E3431">
        <v>167</v>
      </c>
      <c r="F3431" t="s">
        <v>1578</v>
      </c>
      <c r="G3431" t="s">
        <v>750</v>
      </c>
    </row>
    <row r="3432" spans="1:7">
      <c r="A3432" t="s">
        <v>5035</v>
      </c>
      <c r="B3432" s="2">
        <v>45864</v>
      </c>
      <c r="C3432" t="s">
        <v>75</v>
      </c>
      <c r="D3432" t="s">
        <v>1629</v>
      </c>
      <c r="E3432">
        <v>99.99</v>
      </c>
      <c r="F3432" t="s">
        <v>1578</v>
      </c>
      <c r="G3432" t="s">
        <v>1344</v>
      </c>
    </row>
    <row r="3433" spans="1:7">
      <c r="A3433" t="s">
        <v>5036</v>
      </c>
      <c r="B3433" s="2">
        <v>45864</v>
      </c>
      <c r="C3433" t="s">
        <v>91</v>
      </c>
      <c r="D3433" t="s">
        <v>1629</v>
      </c>
      <c r="E3433">
        <v>101.48</v>
      </c>
      <c r="F3433" t="s">
        <v>1578</v>
      </c>
      <c r="G3433" t="s">
        <v>1344</v>
      </c>
    </row>
    <row r="3434" spans="1:7">
      <c r="A3434" t="s">
        <v>5037</v>
      </c>
      <c r="B3434" s="2">
        <v>45864</v>
      </c>
      <c r="C3434" t="s">
        <v>93</v>
      </c>
      <c r="D3434" t="s">
        <v>1629</v>
      </c>
      <c r="E3434">
        <v>100.98</v>
      </c>
      <c r="F3434" t="s">
        <v>1578</v>
      </c>
      <c r="G3434" t="s">
        <v>1344</v>
      </c>
    </row>
    <row r="3435" spans="1:7">
      <c r="A3435" t="s">
        <v>5038</v>
      </c>
      <c r="B3435" s="2">
        <v>45864</v>
      </c>
      <c r="C3435" t="s">
        <v>95</v>
      </c>
      <c r="D3435" t="s">
        <v>1629</v>
      </c>
      <c r="E3435">
        <v>100.48</v>
      </c>
      <c r="F3435" t="s">
        <v>1578</v>
      </c>
      <c r="G3435" t="s">
        <v>1344</v>
      </c>
    </row>
    <row r="3436" spans="1:7">
      <c r="A3436" t="s">
        <v>5039</v>
      </c>
      <c r="B3436" s="2">
        <v>45864</v>
      </c>
      <c r="C3436" t="s">
        <v>97</v>
      </c>
      <c r="D3436" t="s">
        <v>1629</v>
      </c>
      <c r="E3436">
        <v>99.99</v>
      </c>
      <c r="F3436" t="s">
        <v>1578</v>
      </c>
      <c r="G3436" t="s">
        <v>1344</v>
      </c>
    </row>
    <row r="3437" spans="1:7">
      <c r="A3437" t="s">
        <v>5040</v>
      </c>
      <c r="B3437" s="2">
        <v>45864</v>
      </c>
      <c r="C3437" t="s">
        <v>99</v>
      </c>
      <c r="D3437" t="s">
        <v>1629</v>
      </c>
      <c r="E3437">
        <v>122.36</v>
      </c>
      <c r="F3437" t="s">
        <v>1578</v>
      </c>
      <c r="G3437" t="s">
        <v>1344</v>
      </c>
    </row>
    <row r="3438" spans="1:7">
      <c r="A3438" t="s">
        <v>5041</v>
      </c>
      <c r="B3438" s="2">
        <v>45864</v>
      </c>
      <c r="C3438" t="s">
        <v>102</v>
      </c>
      <c r="D3438" t="s">
        <v>1629</v>
      </c>
      <c r="E3438">
        <v>100.98</v>
      </c>
      <c r="F3438" t="s">
        <v>1578</v>
      </c>
      <c r="G3438" t="s">
        <v>1344</v>
      </c>
    </row>
    <row r="3439" spans="1:7">
      <c r="A3439" t="s">
        <v>5042</v>
      </c>
      <c r="B3439" s="2">
        <v>45864</v>
      </c>
      <c r="C3439" t="s">
        <v>108</v>
      </c>
      <c r="D3439" t="s">
        <v>1629</v>
      </c>
      <c r="E3439">
        <v>200.97</v>
      </c>
      <c r="F3439" t="s">
        <v>1578</v>
      </c>
      <c r="G3439" t="s">
        <v>1344</v>
      </c>
    </row>
    <row r="3440" spans="1:7">
      <c r="A3440" t="s">
        <v>5043</v>
      </c>
      <c r="B3440" s="2">
        <v>45864</v>
      </c>
      <c r="C3440" t="s">
        <v>110</v>
      </c>
      <c r="D3440" t="s">
        <v>1629</v>
      </c>
      <c r="E3440">
        <v>100.98</v>
      </c>
      <c r="F3440" t="s">
        <v>1578</v>
      </c>
      <c r="G3440" t="s">
        <v>1344</v>
      </c>
    </row>
    <row r="3441" spans="1:7">
      <c r="A3441" t="s">
        <v>5044</v>
      </c>
      <c r="B3441" s="2">
        <v>45864</v>
      </c>
      <c r="C3441" t="s">
        <v>114</v>
      </c>
      <c r="D3441" t="s">
        <v>1629</v>
      </c>
      <c r="E3441">
        <v>99.99</v>
      </c>
      <c r="F3441" t="s">
        <v>1578</v>
      </c>
      <c r="G3441" t="s">
        <v>1344</v>
      </c>
    </row>
    <row r="3442" spans="1:7">
      <c r="A3442" t="s">
        <v>5045</v>
      </c>
      <c r="B3442" s="2">
        <v>45864</v>
      </c>
      <c r="C3442" t="s">
        <v>117</v>
      </c>
      <c r="D3442" t="s">
        <v>1629</v>
      </c>
      <c r="E3442">
        <v>99.49</v>
      </c>
      <c r="F3442" t="s">
        <v>1578</v>
      </c>
      <c r="G3442" t="s">
        <v>1344</v>
      </c>
    </row>
    <row r="3443" spans="1:7">
      <c r="A3443" t="s">
        <v>5046</v>
      </c>
      <c r="B3443" s="2">
        <v>45864</v>
      </c>
      <c r="C3443" t="s">
        <v>119</v>
      </c>
      <c r="D3443" t="s">
        <v>1629</v>
      </c>
      <c r="E3443">
        <v>99.99</v>
      </c>
      <c r="F3443" t="s">
        <v>1578</v>
      </c>
      <c r="G3443" t="s">
        <v>1344</v>
      </c>
    </row>
    <row r="3444" spans="1:7">
      <c r="A3444" t="s">
        <v>5047</v>
      </c>
      <c r="B3444" s="2">
        <v>45864</v>
      </c>
      <c r="C3444" t="s">
        <v>61</v>
      </c>
      <c r="D3444" t="s">
        <v>1629</v>
      </c>
      <c r="E3444">
        <v>418.2</v>
      </c>
      <c r="F3444" t="s">
        <v>1578</v>
      </c>
      <c r="G3444" t="s">
        <v>1345</v>
      </c>
    </row>
    <row r="3445" spans="1:7">
      <c r="A3445" t="s">
        <v>5048</v>
      </c>
      <c r="B3445" s="2">
        <v>45864</v>
      </c>
      <c r="C3445" t="s">
        <v>65</v>
      </c>
      <c r="D3445" t="s">
        <v>1629</v>
      </c>
      <c r="E3445">
        <v>416.15</v>
      </c>
      <c r="F3445" t="s">
        <v>1578</v>
      </c>
      <c r="G3445" t="s">
        <v>1345</v>
      </c>
    </row>
    <row r="3446" spans="1:7">
      <c r="A3446" t="s">
        <v>5049</v>
      </c>
      <c r="B3446" s="2">
        <v>45864</v>
      </c>
      <c r="C3446" t="s">
        <v>68</v>
      </c>
      <c r="D3446" t="s">
        <v>1629</v>
      </c>
      <c r="E3446">
        <v>418.2</v>
      </c>
      <c r="F3446" t="s">
        <v>1578</v>
      </c>
      <c r="G3446" t="s">
        <v>1345</v>
      </c>
    </row>
    <row r="3447" spans="1:7">
      <c r="A3447" t="s">
        <v>5050</v>
      </c>
      <c r="B3447" s="2">
        <v>45864</v>
      </c>
      <c r="C3447" t="s">
        <v>70</v>
      </c>
      <c r="D3447" t="s">
        <v>1629</v>
      </c>
      <c r="E3447">
        <v>414.1</v>
      </c>
      <c r="F3447" t="s">
        <v>1578</v>
      </c>
      <c r="G3447" t="s">
        <v>1345</v>
      </c>
    </row>
    <row r="3448" spans="1:7">
      <c r="A3448" t="s">
        <v>5051</v>
      </c>
      <c r="B3448" s="2">
        <v>45864</v>
      </c>
      <c r="C3448" t="s">
        <v>75</v>
      </c>
      <c r="D3448" t="s">
        <v>1629</v>
      </c>
      <c r="E3448">
        <v>414.1</v>
      </c>
      <c r="F3448" t="s">
        <v>1578</v>
      </c>
      <c r="G3448" t="s">
        <v>1345</v>
      </c>
    </row>
    <row r="3449" spans="1:7">
      <c r="A3449" t="s">
        <v>5052</v>
      </c>
      <c r="B3449" s="2">
        <v>45864</v>
      </c>
      <c r="C3449" t="s">
        <v>77</v>
      </c>
      <c r="D3449" t="s">
        <v>1629</v>
      </c>
      <c r="E3449">
        <v>414.1</v>
      </c>
      <c r="F3449" t="s">
        <v>1578</v>
      </c>
      <c r="G3449" t="s">
        <v>1345</v>
      </c>
    </row>
    <row r="3450" spans="1:7">
      <c r="A3450" t="s">
        <v>5053</v>
      </c>
      <c r="B3450" s="2">
        <v>45864</v>
      </c>
      <c r="C3450" t="s">
        <v>79</v>
      </c>
      <c r="D3450" t="s">
        <v>1629</v>
      </c>
      <c r="E3450">
        <v>418.2</v>
      </c>
      <c r="F3450" t="s">
        <v>1578</v>
      </c>
      <c r="G3450" t="s">
        <v>1345</v>
      </c>
    </row>
    <row r="3451" spans="1:7">
      <c r="A3451" t="s">
        <v>5054</v>
      </c>
      <c r="B3451" s="2">
        <v>45864</v>
      </c>
      <c r="C3451" t="s">
        <v>81</v>
      </c>
      <c r="D3451" t="s">
        <v>1629</v>
      </c>
      <c r="E3451">
        <v>828.2</v>
      </c>
      <c r="F3451" t="s">
        <v>1578</v>
      </c>
      <c r="G3451" t="s">
        <v>1345</v>
      </c>
    </row>
    <row r="3452" spans="1:7">
      <c r="A3452" t="s">
        <v>5055</v>
      </c>
      <c r="B3452" s="2">
        <v>45864</v>
      </c>
      <c r="C3452" t="s">
        <v>110</v>
      </c>
      <c r="D3452" t="s">
        <v>1629</v>
      </c>
      <c r="E3452">
        <v>418.2</v>
      </c>
      <c r="F3452" t="s">
        <v>1578</v>
      </c>
      <c r="G3452" t="s">
        <v>1345</v>
      </c>
    </row>
    <row r="3453" spans="1:7">
      <c r="A3453" t="s">
        <v>5056</v>
      </c>
      <c r="B3453" s="2">
        <v>45864</v>
      </c>
      <c r="C3453" t="s">
        <v>114</v>
      </c>
      <c r="D3453" t="s">
        <v>1629</v>
      </c>
      <c r="E3453">
        <v>414.1</v>
      </c>
      <c r="F3453" t="s">
        <v>1578</v>
      </c>
      <c r="G3453" t="s">
        <v>1345</v>
      </c>
    </row>
    <row r="3454" spans="1:7">
      <c r="A3454" t="s">
        <v>5057</v>
      </c>
      <c r="B3454" s="2">
        <v>45864</v>
      </c>
      <c r="C3454" t="s">
        <v>117</v>
      </c>
      <c r="D3454" t="s">
        <v>1629</v>
      </c>
      <c r="E3454">
        <v>412.05</v>
      </c>
      <c r="F3454" t="s">
        <v>1578</v>
      </c>
      <c r="G3454" t="s">
        <v>1345</v>
      </c>
    </row>
    <row r="3455" spans="1:7">
      <c r="A3455" t="s">
        <v>5058</v>
      </c>
      <c r="B3455" s="2">
        <v>45864</v>
      </c>
      <c r="C3455" t="s">
        <v>119</v>
      </c>
      <c r="D3455" t="s">
        <v>1629</v>
      </c>
      <c r="E3455">
        <v>414.1</v>
      </c>
      <c r="F3455" t="s">
        <v>1578</v>
      </c>
      <c r="G3455" t="s">
        <v>1345</v>
      </c>
    </row>
    <row r="3456" spans="1:7">
      <c r="A3456" t="s">
        <v>5059</v>
      </c>
      <c r="B3456" s="2">
        <v>45864</v>
      </c>
      <c r="C3456" t="s">
        <v>95</v>
      </c>
      <c r="D3456" t="s">
        <v>1683</v>
      </c>
      <c r="E3456">
        <v>271</v>
      </c>
      <c r="F3456" t="s">
        <v>1578</v>
      </c>
      <c r="G3456" t="s">
        <v>751</v>
      </c>
    </row>
    <row r="3457" spans="1:7">
      <c r="A3457" t="s">
        <v>5060</v>
      </c>
      <c r="B3457" s="2">
        <v>45864</v>
      </c>
      <c r="C3457" t="s">
        <v>95</v>
      </c>
      <c r="D3457" t="s">
        <v>1683</v>
      </c>
      <c r="E3457">
        <v>471</v>
      </c>
      <c r="F3457" t="s">
        <v>1578</v>
      </c>
      <c r="G3457" t="s">
        <v>752</v>
      </c>
    </row>
    <row r="3458" spans="1:7">
      <c r="A3458" t="s">
        <v>5061</v>
      </c>
      <c r="B3458" s="2">
        <v>45864</v>
      </c>
      <c r="C3458" t="s">
        <v>65</v>
      </c>
      <c r="D3458" t="s">
        <v>1683</v>
      </c>
      <c r="E3458">
        <v>415</v>
      </c>
      <c r="F3458" t="s">
        <v>1578</v>
      </c>
      <c r="G3458" t="s">
        <v>753</v>
      </c>
    </row>
    <row r="3459" spans="1:7">
      <c r="A3459" t="s">
        <v>5062</v>
      </c>
      <c r="B3459" s="2">
        <v>45864</v>
      </c>
      <c r="C3459" t="s">
        <v>110</v>
      </c>
      <c r="D3459" t="s">
        <v>1683</v>
      </c>
      <c r="E3459">
        <v>268</v>
      </c>
      <c r="F3459" t="s">
        <v>1578</v>
      </c>
      <c r="G3459" t="s">
        <v>754</v>
      </c>
    </row>
    <row r="3460" spans="1:7">
      <c r="A3460" t="s">
        <v>5063</v>
      </c>
      <c r="B3460" s="2">
        <v>45864</v>
      </c>
      <c r="C3460" t="s">
        <v>70</v>
      </c>
      <c r="D3460" t="s">
        <v>1683</v>
      </c>
      <c r="E3460">
        <v>532</v>
      </c>
      <c r="F3460" t="s">
        <v>1578</v>
      </c>
      <c r="G3460" t="s">
        <v>755</v>
      </c>
    </row>
    <row r="3461" spans="1:7">
      <c r="A3461" t="s">
        <v>5064</v>
      </c>
      <c r="B3461" s="2">
        <v>45865</v>
      </c>
      <c r="C3461" t="s">
        <v>75</v>
      </c>
      <c r="D3461" t="s">
        <v>1629</v>
      </c>
      <c r="E3461">
        <v>144.43</v>
      </c>
      <c r="F3461" t="s">
        <v>1578</v>
      </c>
      <c r="G3461" t="s">
        <v>1346</v>
      </c>
    </row>
    <row r="3462" spans="1:7">
      <c r="A3462" t="s">
        <v>5065</v>
      </c>
      <c r="B3462" s="2">
        <v>45865</v>
      </c>
      <c r="C3462" t="s">
        <v>106</v>
      </c>
      <c r="D3462" t="s">
        <v>1629</v>
      </c>
      <c r="E3462">
        <v>147.29</v>
      </c>
      <c r="F3462" t="s">
        <v>1578</v>
      </c>
      <c r="G3462" t="s">
        <v>1346</v>
      </c>
    </row>
    <row r="3463" spans="1:7">
      <c r="A3463" t="s">
        <v>5066</v>
      </c>
      <c r="B3463" s="2">
        <v>45865</v>
      </c>
      <c r="C3463" t="s">
        <v>108</v>
      </c>
      <c r="D3463" t="s">
        <v>1629</v>
      </c>
      <c r="E3463">
        <v>290.29000000000002</v>
      </c>
      <c r="F3463" t="s">
        <v>1578</v>
      </c>
      <c r="G3463" t="s">
        <v>1346</v>
      </c>
    </row>
    <row r="3464" spans="1:7">
      <c r="A3464" t="s">
        <v>5067</v>
      </c>
      <c r="B3464" s="2">
        <v>45865</v>
      </c>
      <c r="C3464" t="s">
        <v>110</v>
      </c>
      <c r="D3464" t="s">
        <v>1629</v>
      </c>
      <c r="E3464">
        <v>145.86000000000001</v>
      </c>
      <c r="F3464" t="s">
        <v>1578</v>
      </c>
      <c r="G3464" t="s">
        <v>1346</v>
      </c>
    </row>
    <row r="3465" spans="1:7">
      <c r="A3465" t="s">
        <v>5068</v>
      </c>
      <c r="B3465" s="2">
        <v>45865</v>
      </c>
      <c r="C3465" t="s">
        <v>114</v>
      </c>
      <c r="D3465" t="s">
        <v>1629</v>
      </c>
      <c r="E3465">
        <v>144.43</v>
      </c>
      <c r="F3465" t="s">
        <v>1578</v>
      </c>
      <c r="G3465" t="s">
        <v>1346</v>
      </c>
    </row>
    <row r="3466" spans="1:7">
      <c r="A3466" t="s">
        <v>5069</v>
      </c>
      <c r="B3466" s="2">
        <v>45865</v>
      </c>
      <c r="C3466" t="s">
        <v>117</v>
      </c>
      <c r="D3466" t="s">
        <v>1629</v>
      </c>
      <c r="E3466">
        <v>143.71</v>
      </c>
      <c r="F3466" t="s">
        <v>1578</v>
      </c>
      <c r="G3466" t="s">
        <v>1346</v>
      </c>
    </row>
    <row r="3467" spans="1:7">
      <c r="A3467" t="s">
        <v>5070</v>
      </c>
      <c r="B3467" s="2">
        <v>45865</v>
      </c>
      <c r="C3467" t="s">
        <v>119</v>
      </c>
      <c r="D3467" t="s">
        <v>1629</v>
      </c>
      <c r="E3467">
        <v>144.43</v>
      </c>
      <c r="F3467" t="s">
        <v>1578</v>
      </c>
      <c r="G3467" t="s">
        <v>1346</v>
      </c>
    </row>
    <row r="3468" spans="1:7">
      <c r="A3468" t="s">
        <v>5071</v>
      </c>
      <c r="B3468" s="2">
        <v>45865</v>
      </c>
      <c r="C3468" t="s">
        <v>61</v>
      </c>
      <c r="D3468" t="s">
        <v>1629</v>
      </c>
      <c r="E3468">
        <v>285.60000000000002</v>
      </c>
      <c r="F3468" t="s">
        <v>1578</v>
      </c>
      <c r="G3468" t="s">
        <v>1347</v>
      </c>
    </row>
    <row r="3469" spans="1:7">
      <c r="A3469" t="s">
        <v>5072</v>
      </c>
      <c r="B3469" s="2">
        <v>45865</v>
      </c>
      <c r="C3469" t="s">
        <v>65</v>
      </c>
      <c r="D3469" t="s">
        <v>1629</v>
      </c>
      <c r="E3469">
        <v>284.2</v>
      </c>
      <c r="F3469" t="s">
        <v>1578</v>
      </c>
      <c r="G3469" t="s">
        <v>1347</v>
      </c>
    </row>
    <row r="3470" spans="1:7">
      <c r="A3470" t="s">
        <v>5073</v>
      </c>
      <c r="B3470" s="2">
        <v>45865</v>
      </c>
      <c r="C3470" t="s">
        <v>68</v>
      </c>
      <c r="D3470" t="s">
        <v>1629</v>
      </c>
      <c r="E3470">
        <v>285.60000000000002</v>
      </c>
      <c r="F3470" t="s">
        <v>1578</v>
      </c>
      <c r="G3470" t="s">
        <v>1347</v>
      </c>
    </row>
    <row r="3471" spans="1:7">
      <c r="A3471" t="s">
        <v>5074</v>
      </c>
      <c r="B3471" s="2">
        <v>45865</v>
      </c>
      <c r="C3471" t="s">
        <v>70</v>
      </c>
      <c r="D3471" t="s">
        <v>1629</v>
      </c>
      <c r="E3471">
        <v>282.8</v>
      </c>
      <c r="F3471" t="s">
        <v>1578</v>
      </c>
      <c r="G3471" t="s">
        <v>1347</v>
      </c>
    </row>
    <row r="3472" spans="1:7">
      <c r="A3472" t="s">
        <v>5075</v>
      </c>
      <c r="B3472" s="2">
        <v>45865</v>
      </c>
      <c r="C3472" t="s">
        <v>75</v>
      </c>
      <c r="D3472" t="s">
        <v>1629</v>
      </c>
      <c r="E3472">
        <v>282.8</v>
      </c>
      <c r="F3472" t="s">
        <v>1578</v>
      </c>
      <c r="G3472" t="s">
        <v>1347</v>
      </c>
    </row>
    <row r="3473" spans="1:7">
      <c r="A3473" t="s">
        <v>5076</v>
      </c>
      <c r="B3473" s="2">
        <v>45865</v>
      </c>
      <c r="C3473" t="s">
        <v>77</v>
      </c>
      <c r="D3473" t="s">
        <v>1629</v>
      </c>
      <c r="E3473">
        <v>282.8</v>
      </c>
      <c r="F3473" t="s">
        <v>1578</v>
      </c>
      <c r="G3473" t="s">
        <v>1347</v>
      </c>
    </row>
    <row r="3474" spans="1:7">
      <c r="A3474" t="s">
        <v>5077</v>
      </c>
      <c r="B3474" s="2">
        <v>45865</v>
      </c>
      <c r="C3474" t="s">
        <v>79</v>
      </c>
      <c r="D3474" t="s">
        <v>1629</v>
      </c>
      <c r="E3474">
        <v>285.60000000000002</v>
      </c>
      <c r="F3474" t="s">
        <v>1578</v>
      </c>
      <c r="G3474" t="s">
        <v>1347</v>
      </c>
    </row>
    <row r="3475" spans="1:7">
      <c r="A3475" t="s">
        <v>5078</v>
      </c>
      <c r="B3475" s="2">
        <v>45865</v>
      </c>
      <c r="C3475" t="s">
        <v>81</v>
      </c>
      <c r="D3475" t="s">
        <v>1629</v>
      </c>
      <c r="E3475">
        <v>565.6</v>
      </c>
      <c r="F3475" t="s">
        <v>1578</v>
      </c>
      <c r="G3475" t="s">
        <v>1347</v>
      </c>
    </row>
    <row r="3476" spans="1:7">
      <c r="A3476" t="s">
        <v>5079</v>
      </c>
      <c r="B3476" s="2">
        <v>45865</v>
      </c>
      <c r="C3476" t="s">
        <v>110</v>
      </c>
      <c r="D3476" t="s">
        <v>1629</v>
      </c>
      <c r="E3476">
        <v>285.60000000000002</v>
      </c>
      <c r="F3476" t="s">
        <v>1578</v>
      </c>
      <c r="G3476" t="s">
        <v>1347</v>
      </c>
    </row>
    <row r="3477" spans="1:7">
      <c r="A3477" t="s">
        <v>5080</v>
      </c>
      <c r="B3477" s="2">
        <v>45865</v>
      </c>
      <c r="C3477" t="s">
        <v>114</v>
      </c>
      <c r="D3477" t="s">
        <v>1629</v>
      </c>
      <c r="E3477">
        <v>282.8</v>
      </c>
      <c r="F3477" t="s">
        <v>1578</v>
      </c>
      <c r="G3477" t="s">
        <v>1347</v>
      </c>
    </row>
    <row r="3478" spans="1:7">
      <c r="A3478" t="s">
        <v>5081</v>
      </c>
      <c r="B3478" s="2">
        <v>45865</v>
      </c>
      <c r="C3478" t="s">
        <v>117</v>
      </c>
      <c r="D3478" t="s">
        <v>1629</v>
      </c>
      <c r="E3478">
        <v>281.39999999999998</v>
      </c>
      <c r="F3478" t="s">
        <v>1578</v>
      </c>
      <c r="G3478" t="s">
        <v>1347</v>
      </c>
    </row>
    <row r="3479" spans="1:7">
      <c r="A3479" t="s">
        <v>5082</v>
      </c>
      <c r="B3479" s="2">
        <v>45865</v>
      </c>
      <c r="C3479" t="s">
        <v>119</v>
      </c>
      <c r="D3479" t="s">
        <v>1629</v>
      </c>
      <c r="E3479">
        <v>282.8</v>
      </c>
      <c r="F3479" t="s">
        <v>1578</v>
      </c>
      <c r="G3479" t="s">
        <v>1347</v>
      </c>
    </row>
    <row r="3480" spans="1:7">
      <c r="A3480" t="s">
        <v>5083</v>
      </c>
      <c r="B3480" s="2">
        <v>45865</v>
      </c>
      <c r="C3480" t="s">
        <v>75</v>
      </c>
      <c r="D3480" t="s">
        <v>1629</v>
      </c>
      <c r="E3480">
        <v>359.56</v>
      </c>
      <c r="F3480" t="s">
        <v>1578</v>
      </c>
      <c r="G3480" t="s">
        <v>1348</v>
      </c>
    </row>
    <row r="3481" spans="1:7">
      <c r="A3481" t="s">
        <v>5084</v>
      </c>
      <c r="B3481" s="2">
        <v>45865</v>
      </c>
      <c r="C3481" t="s">
        <v>106</v>
      </c>
      <c r="D3481" t="s">
        <v>1629</v>
      </c>
      <c r="E3481">
        <v>366.68</v>
      </c>
      <c r="F3481" t="s">
        <v>1578</v>
      </c>
      <c r="G3481" t="s">
        <v>1348</v>
      </c>
    </row>
    <row r="3482" spans="1:7">
      <c r="A3482" t="s">
        <v>5085</v>
      </c>
      <c r="B3482" s="2">
        <v>45865</v>
      </c>
      <c r="C3482" t="s">
        <v>108</v>
      </c>
      <c r="D3482" t="s">
        <v>1629</v>
      </c>
      <c r="E3482">
        <v>722.68</v>
      </c>
      <c r="F3482" t="s">
        <v>1578</v>
      </c>
      <c r="G3482" t="s">
        <v>1348</v>
      </c>
    </row>
    <row r="3483" spans="1:7">
      <c r="A3483" t="s">
        <v>5086</v>
      </c>
      <c r="B3483" s="2">
        <v>45865</v>
      </c>
      <c r="C3483" t="s">
        <v>110</v>
      </c>
      <c r="D3483" t="s">
        <v>1629</v>
      </c>
      <c r="E3483">
        <v>363.12</v>
      </c>
      <c r="F3483" t="s">
        <v>1578</v>
      </c>
      <c r="G3483" t="s">
        <v>1348</v>
      </c>
    </row>
    <row r="3484" spans="1:7">
      <c r="A3484" t="s">
        <v>5087</v>
      </c>
      <c r="B3484" s="2">
        <v>45865</v>
      </c>
      <c r="C3484" t="s">
        <v>114</v>
      </c>
      <c r="D3484" t="s">
        <v>1629</v>
      </c>
      <c r="E3484">
        <v>359.56</v>
      </c>
      <c r="F3484" t="s">
        <v>1578</v>
      </c>
      <c r="G3484" t="s">
        <v>1348</v>
      </c>
    </row>
    <row r="3485" spans="1:7">
      <c r="A3485" t="s">
        <v>5088</v>
      </c>
      <c r="B3485" s="2">
        <v>45865</v>
      </c>
      <c r="C3485" t="s">
        <v>117</v>
      </c>
      <c r="D3485" t="s">
        <v>1629</v>
      </c>
      <c r="E3485">
        <v>357.78</v>
      </c>
      <c r="F3485" t="s">
        <v>1578</v>
      </c>
      <c r="G3485" t="s">
        <v>1348</v>
      </c>
    </row>
    <row r="3486" spans="1:7">
      <c r="A3486" t="s">
        <v>5089</v>
      </c>
      <c r="B3486" s="2">
        <v>45865</v>
      </c>
      <c r="C3486" t="s">
        <v>119</v>
      </c>
      <c r="D3486" t="s">
        <v>1629</v>
      </c>
      <c r="E3486">
        <v>359.56</v>
      </c>
      <c r="F3486" t="s">
        <v>1578</v>
      </c>
      <c r="G3486" t="s">
        <v>1348</v>
      </c>
    </row>
    <row r="3487" spans="1:7">
      <c r="A3487" t="s">
        <v>5090</v>
      </c>
      <c r="B3487" s="2">
        <v>45865</v>
      </c>
      <c r="C3487" t="s">
        <v>87</v>
      </c>
      <c r="D3487" t="s">
        <v>1683</v>
      </c>
      <c r="E3487">
        <v>313</v>
      </c>
      <c r="F3487" t="s">
        <v>1578</v>
      </c>
      <c r="G3487" t="s">
        <v>756</v>
      </c>
    </row>
    <row r="3488" spans="1:7">
      <c r="A3488" t="s">
        <v>5091</v>
      </c>
      <c r="B3488" s="2">
        <v>45865</v>
      </c>
      <c r="C3488" t="s">
        <v>84</v>
      </c>
      <c r="D3488" t="s">
        <v>1683</v>
      </c>
      <c r="E3488">
        <v>557</v>
      </c>
      <c r="F3488" t="s">
        <v>1578</v>
      </c>
      <c r="G3488" t="s">
        <v>757</v>
      </c>
    </row>
    <row r="3489" spans="1:7">
      <c r="A3489" t="s">
        <v>5092</v>
      </c>
      <c r="B3489" s="2">
        <v>45865</v>
      </c>
      <c r="C3489" t="s">
        <v>75</v>
      </c>
      <c r="D3489" t="s">
        <v>1683</v>
      </c>
      <c r="E3489">
        <v>120</v>
      </c>
      <c r="F3489" t="s">
        <v>1578</v>
      </c>
      <c r="G3489" t="s">
        <v>758</v>
      </c>
    </row>
    <row r="3490" spans="1:7">
      <c r="A3490" t="s">
        <v>5093</v>
      </c>
      <c r="B3490" s="2">
        <v>45866</v>
      </c>
      <c r="C3490" t="s">
        <v>61</v>
      </c>
      <c r="D3490" t="s">
        <v>1629</v>
      </c>
      <c r="E3490">
        <v>396.78</v>
      </c>
      <c r="F3490" t="s">
        <v>1578</v>
      </c>
      <c r="G3490" t="s">
        <v>1349</v>
      </c>
    </row>
    <row r="3491" spans="1:7">
      <c r="A3491" t="s">
        <v>5094</v>
      </c>
      <c r="B3491" s="2">
        <v>45866</v>
      </c>
      <c r="C3491" t="s">
        <v>65</v>
      </c>
      <c r="D3491" t="s">
        <v>1629</v>
      </c>
      <c r="E3491">
        <v>394.84</v>
      </c>
      <c r="F3491" t="s">
        <v>1578</v>
      </c>
      <c r="G3491" t="s">
        <v>1349</v>
      </c>
    </row>
    <row r="3492" spans="1:7">
      <c r="A3492" t="s">
        <v>5095</v>
      </c>
      <c r="B3492" s="2">
        <v>45866</v>
      </c>
      <c r="C3492" t="s">
        <v>68</v>
      </c>
      <c r="D3492" t="s">
        <v>1629</v>
      </c>
      <c r="E3492">
        <v>396.78</v>
      </c>
      <c r="F3492" t="s">
        <v>1578</v>
      </c>
      <c r="G3492" t="s">
        <v>1349</v>
      </c>
    </row>
    <row r="3493" spans="1:7">
      <c r="A3493" t="s">
        <v>5096</v>
      </c>
      <c r="B3493" s="2">
        <v>45866</v>
      </c>
      <c r="C3493" t="s">
        <v>70</v>
      </c>
      <c r="D3493" t="s">
        <v>1629</v>
      </c>
      <c r="E3493">
        <v>392.89</v>
      </c>
      <c r="F3493" t="s">
        <v>1578</v>
      </c>
      <c r="G3493" t="s">
        <v>1349</v>
      </c>
    </row>
    <row r="3494" spans="1:7">
      <c r="A3494" t="s">
        <v>5097</v>
      </c>
      <c r="B3494" s="2">
        <v>45866</v>
      </c>
      <c r="C3494" t="s">
        <v>75</v>
      </c>
      <c r="D3494" t="s">
        <v>1629</v>
      </c>
      <c r="E3494">
        <v>392.89</v>
      </c>
      <c r="F3494" t="s">
        <v>1578</v>
      </c>
      <c r="G3494" t="s">
        <v>1349</v>
      </c>
    </row>
    <row r="3495" spans="1:7">
      <c r="A3495" t="s">
        <v>5098</v>
      </c>
      <c r="B3495" s="2">
        <v>45866</v>
      </c>
      <c r="C3495" t="s">
        <v>77</v>
      </c>
      <c r="D3495" t="s">
        <v>1629</v>
      </c>
      <c r="E3495">
        <v>392.89</v>
      </c>
      <c r="F3495" t="s">
        <v>1578</v>
      </c>
      <c r="G3495" t="s">
        <v>1349</v>
      </c>
    </row>
    <row r="3496" spans="1:7">
      <c r="A3496" t="s">
        <v>5099</v>
      </c>
      <c r="B3496" s="2">
        <v>45866</v>
      </c>
      <c r="C3496" t="s">
        <v>79</v>
      </c>
      <c r="D3496" t="s">
        <v>1629</v>
      </c>
      <c r="E3496">
        <v>396.78</v>
      </c>
      <c r="F3496" t="s">
        <v>1578</v>
      </c>
      <c r="G3496" t="s">
        <v>1349</v>
      </c>
    </row>
    <row r="3497" spans="1:7">
      <c r="A3497" t="s">
        <v>5100</v>
      </c>
      <c r="B3497" s="2">
        <v>45866</v>
      </c>
      <c r="C3497" t="s">
        <v>81</v>
      </c>
      <c r="D3497" t="s">
        <v>1629</v>
      </c>
      <c r="E3497">
        <v>785.78</v>
      </c>
      <c r="F3497" t="s">
        <v>1578</v>
      </c>
      <c r="G3497" t="s">
        <v>1349</v>
      </c>
    </row>
    <row r="3498" spans="1:7">
      <c r="A3498" t="s">
        <v>5101</v>
      </c>
      <c r="B3498" s="2">
        <v>45866</v>
      </c>
      <c r="C3498" t="s">
        <v>110</v>
      </c>
      <c r="D3498" t="s">
        <v>1629</v>
      </c>
      <c r="E3498">
        <v>396.78</v>
      </c>
      <c r="F3498" t="s">
        <v>1578</v>
      </c>
      <c r="G3498" t="s">
        <v>1349</v>
      </c>
    </row>
    <row r="3499" spans="1:7">
      <c r="A3499" t="s">
        <v>5102</v>
      </c>
      <c r="B3499" s="2">
        <v>45866</v>
      </c>
      <c r="C3499" t="s">
        <v>114</v>
      </c>
      <c r="D3499" t="s">
        <v>1629</v>
      </c>
      <c r="E3499">
        <v>392.89</v>
      </c>
      <c r="F3499" t="s">
        <v>1578</v>
      </c>
      <c r="G3499" t="s">
        <v>1349</v>
      </c>
    </row>
    <row r="3500" spans="1:7">
      <c r="A3500" t="s">
        <v>5103</v>
      </c>
      <c r="B3500" s="2">
        <v>45866</v>
      </c>
      <c r="C3500" t="s">
        <v>117</v>
      </c>
      <c r="D3500" t="s">
        <v>1629</v>
      </c>
      <c r="E3500">
        <v>390.94</v>
      </c>
      <c r="F3500" t="s">
        <v>1578</v>
      </c>
      <c r="G3500" t="s">
        <v>1349</v>
      </c>
    </row>
    <row r="3501" spans="1:7">
      <c r="A3501" t="s">
        <v>5104</v>
      </c>
      <c r="B3501" s="2">
        <v>45866</v>
      </c>
      <c r="C3501" t="s">
        <v>119</v>
      </c>
      <c r="D3501" t="s">
        <v>1629</v>
      </c>
      <c r="E3501">
        <v>392.89</v>
      </c>
      <c r="F3501" t="s">
        <v>1578</v>
      </c>
      <c r="G3501" t="s">
        <v>1349</v>
      </c>
    </row>
    <row r="3502" spans="1:7">
      <c r="A3502" t="s">
        <v>5105</v>
      </c>
      <c r="B3502" s="2">
        <v>45866</v>
      </c>
      <c r="C3502" t="s">
        <v>61</v>
      </c>
      <c r="D3502" t="s">
        <v>1629</v>
      </c>
      <c r="E3502">
        <v>415.14</v>
      </c>
      <c r="F3502" t="s">
        <v>1578</v>
      </c>
      <c r="G3502" t="s">
        <v>1350</v>
      </c>
    </row>
    <row r="3503" spans="1:7">
      <c r="A3503" t="s">
        <v>5106</v>
      </c>
      <c r="B3503" s="2">
        <v>45866</v>
      </c>
      <c r="C3503" t="s">
        <v>65</v>
      </c>
      <c r="D3503" t="s">
        <v>1629</v>
      </c>
      <c r="E3503">
        <v>413.1</v>
      </c>
      <c r="F3503" t="s">
        <v>1578</v>
      </c>
      <c r="G3503" t="s">
        <v>1350</v>
      </c>
    </row>
    <row r="3504" spans="1:7">
      <c r="A3504" t="s">
        <v>5107</v>
      </c>
      <c r="B3504" s="2">
        <v>45866</v>
      </c>
      <c r="C3504" t="s">
        <v>68</v>
      </c>
      <c r="D3504" t="s">
        <v>1629</v>
      </c>
      <c r="E3504">
        <v>415.14</v>
      </c>
      <c r="F3504" t="s">
        <v>1578</v>
      </c>
      <c r="G3504" t="s">
        <v>1350</v>
      </c>
    </row>
    <row r="3505" spans="1:7">
      <c r="A3505" t="s">
        <v>5108</v>
      </c>
      <c r="B3505" s="2">
        <v>45866</v>
      </c>
      <c r="C3505" t="s">
        <v>75</v>
      </c>
      <c r="D3505" t="s">
        <v>1629</v>
      </c>
      <c r="E3505">
        <v>411.07</v>
      </c>
      <c r="F3505" t="s">
        <v>1578</v>
      </c>
      <c r="G3505" t="s">
        <v>1350</v>
      </c>
    </row>
    <row r="3506" spans="1:7">
      <c r="A3506" t="s">
        <v>5109</v>
      </c>
      <c r="B3506" s="2">
        <v>45866</v>
      </c>
      <c r="C3506" t="s">
        <v>79</v>
      </c>
      <c r="D3506" t="s">
        <v>1629</v>
      </c>
      <c r="E3506">
        <v>415.14</v>
      </c>
      <c r="F3506" t="s">
        <v>1578</v>
      </c>
      <c r="G3506" t="s">
        <v>1350</v>
      </c>
    </row>
    <row r="3507" spans="1:7">
      <c r="A3507" t="s">
        <v>5110</v>
      </c>
      <c r="B3507" s="2">
        <v>45866</v>
      </c>
      <c r="C3507" t="s">
        <v>81</v>
      </c>
      <c r="D3507" t="s">
        <v>1629</v>
      </c>
      <c r="E3507">
        <v>822.14</v>
      </c>
      <c r="F3507" t="s">
        <v>1578</v>
      </c>
      <c r="G3507" t="s">
        <v>1350</v>
      </c>
    </row>
    <row r="3508" spans="1:7">
      <c r="A3508" t="s">
        <v>5111</v>
      </c>
      <c r="B3508" s="2">
        <v>45866</v>
      </c>
      <c r="C3508" t="s">
        <v>110</v>
      </c>
      <c r="D3508" t="s">
        <v>1629</v>
      </c>
      <c r="E3508">
        <v>415.14</v>
      </c>
      <c r="F3508" t="s">
        <v>1578</v>
      </c>
      <c r="G3508" t="s">
        <v>1350</v>
      </c>
    </row>
    <row r="3509" spans="1:7">
      <c r="A3509" t="s">
        <v>5112</v>
      </c>
      <c r="B3509" s="2">
        <v>45866</v>
      </c>
      <c r="C3509" t="s">
        <v>114</v>
      </c>
      <c r="D3509" t="s">
        <v>1629</v>
      </c>
      <c r="E3509">
        <v>411.07</v>
      </c>
      <c r="F3509" t="s">
        <v>1578</v>
      </c>
      <c r="G3509" t="s">
        <v>1350</v>
      </c>
    </row>
    <row r="3510" spans="1:7">
      <c r="A3510" t="s">
        <v>5113</v>
      </c>
      <c r="B3510" s="2">
        <v>45866</v>
      </c>
      <c r="C3510" t="s">
        <v>117</v>
      </c>
      <c r="D3510" t="s">
        <v>1629</v>
      </c>
      <c r="E3510">
        <v>409.04</v>
      </c>
      <c r="F3510" t="s">
        <v>1578</v>
      </c>
      <c r="G3510" t="s">
        <v>1350</v>
      </c>
    </row>
    <row r="3511" spans="1:7">
      <c r="A3511" t="s">
        <v>5114</v>
      </c>
      <c r="B3511" s="2">
        <v>45866</v>
      </c>
      <c r="C3511" t="s">
        <v>119</v>
      </c>
      <c r="D3511" t="s">
        <v>1629</v>
      </c>
      <c r="E3511">
        <v>411.07</v>
      </c>
      <c r="F3511" t="s">
        <v>1578</v>
      </c>
      <c r="G3511" t="s">
        <v>1350</v>
      </c>
    </row>
    <row r="3512" spans="1:7">
      <c r="A3512" t="s">
        <v>5115</v>
      </c>
      <c r="B3512" s="2">
        <v>45866</v>
      </c>
      <c r="C3512" t="s">
        <v>99</v>
      </c>
      <c r="D3512" t="s">
        <v>1683</v>
      </c>
      <c r="E3512">
        <v>263</v>
      </c>
      <c r="F3512" t="s">
        <v>1578</v>
      </c>
      <c r="G3512" t="s">
        <v>759</v>
      </c>
    </row>
    <row r="3513" spans="1:7">
      <c r="A3513" t="s">
        <v>5116</v>
      </c>
      <c r="B3513" s="2">
        <v>45867</v>
      </c>
      <c r="C3513" t="s">
        <v>61</v>
      </c>
      <c r="D3513" t="s">
        <v>1629</v>
      </c>
      <c r="E3513">
        <v>189.72</v>
      </c>
      <c r="F3513" t="s">
        <v>1578</v>
      </c>
      <c r="G3513" t="s">
        <v>1351</v>
      </c>
    </row>
    <row r="3514" spans="1:7">
      <c r="A3514" t="s">
        <v>5117</v>
      </c>
      <c r="B3514" s="2">
        <v>45867</v>
      </c>
      <c r="C3514" t="s">
        <v>65</v>
      </c>
      <c r="D3514" t="s">
        <v>1629</v>
      </c>
      <c r="E3514">
        <v>188.79</v>
      </c>
      <c r="F3514" t="s">
        <v>1578</v>
      </c>
      <c r="G3514" t="s">
        <v>1351</v>
      </c>
    </row>
    <row r="3515" spans="1:7">
      <c r="A3515" t="s">
        <v>5118</v>
      </c>
      <c r="B3515" s="2">
        <v>45867</v>
      </c>
      <c r="C3515" t="s">
        <v>68</v>
      </c>
      <c r="D3515" t="s">
        <v>1629</v>
      </c>
      <c r="E3515">
        <v>189.72</v>
      </c>
      <c r="F3515" t="s">
        <v>1578</v>
      </c>
      <c r="G3515" t="s">
        <v>1351</v>
      </c>
    </row>
    <row r="3516" spans="1:7">
      <c r="A3516" t="s">
        <v>5119</v>
      </c>
      <c r="B3516" s="2">
        <v>45867</v>
      </c>
      <c r="C3516" t="s">
        <v>75</v>
      </c>
      <c r="D3516" t="s">
        <v>1629</v>
      </c>
      <c r="E3516">
        <v>187.86</v>
      </c>
      <c r="F3516" t="s">
        <v>1578</v>
      </c>
      <c r="G3516" t="s">
        <v>1351</v>
      </c>
    </row>
    <row r="3517" spans="1:7">
      <c r="A3517" t="s">
        <v>5120</v>
      </c>
      <c r="B3517" s="2">
        <v>45867</v>
      </c>
      <c r="C3517" t="s">
        <v>79</v>
      </c>
      <c r="D3517" t="s">
        <v>1629</v>
      </c>
      <c r="E3517">
        <v>189.72</v>
      </c>
      <c r="F3517" t="s">
        <v>1578</v>
      </c>
      <c r="G3517" t="s">
        <v>1351</v>
      </c>
    </row>
    <row r="3518" spans="1:7">
      <c r="A3518" t="s">
        <v>5121</v>
      </c>
      <c r="B3518" s="2">
        <v>45867</v>
      </c>
      <c r="C3518" t="s">
        <v>81</v>
      </c>
      <c r="D3518" t="s">
        <v>1629</v>
      </c>
      <c r="E3518">
        <v>375.72</v>
      </c>
      <c r="F3518" t="s">
        <v>1578</v>
      </c>
      <c r="G3518" t="s">
        <v>1351</v>
      </c>
    </row>
    <row r="3519" spans="1:7">
      <c r="A3519" t="s">
        <v>5122</v>
      </c>
      <c r="B3519" s="2">
        <v>45867</v>
      </c>
      <c r="C3519" t="s">
        <v>97</v>
      </c>
      <c r="D3519" t="s">
        <v>1629</v>
      </c>
      <c r="E3519">
        <v>189.72</v>
      </c>
      <c r="F3519" t="s">
        <v>1578</v>
      </c>
      <c r="G3519" t="s">
        <v>1351</v>
      </c>
    </row>
    <row r="3520" spans="1:7">
      <c r="A3520" t="s">
        <v>5123</v>
      </c>
      <c r="B3520" s="2">
        <v>45867</v>
      </c>
      <c r="C3520" t="s">
        <v>110</v>
      </c>
      <c r="D3520" t="s">
        <v>1629</v>
      </c>
      <c r="E3520">
        <v>189.72</v>
      </c>
      <c r="F3520" t="s">
        <v>1578</v>
      </c>
      <c r="G3520" t="s">
        <v>1351</v>
      </c>
    </row>
    <row r="3521" spans="1:7">
      <c r="A3521" t="s">
        <v>5124</v>
      </c>
      <c r="B3521" s="2">
        <v>45867</v>
      </c>
      <c r="C3521" t="s">
        <v>114</v>
      </c>
      <c r="D3521" t="s">
        <v>1629</v>
      </c>
      <c r="E3521">
        <v>187.86</v>
      </c>
      <c r="F3521" t="s">
        <v>1578</v>
      </c>
      <c r="G3521" t="s">
        <v>1351</v>
      </c>
    </row>
    <row r="3522" spans="1:7">
      <c r="A3522" t="s">
        <v>5125</v>
      </c>
      <c r="B3522" s="2">
        <v>45867</v>
      </c>
      <c r="C3522" t="s">
        <v>117</v>
      </c>
      <c r="D3522" t="s">
        <v>1629</v>
      </c>
      <c r="E3522">
        <v>186.93</v>
      </c>
      <c r="F3522" t="s">
        <v>1578</v>
      </c>
      <c r="G3522" t="s">
        <v>1351</v>
      </c>
    </row>
    <row r="3523" spans="1:7">
      <c r="A3523" t="s">
        <v>5126</v>
      </c>
      <c r="B3523" s="2">
        <v>45867</v>
      </c>
      <c r="C3523" t="s">
        <v>119</v>
      </c>
      <c r="D3523" t="s">
        <v>1629</v>
      </c>
      <c r="E3523">
        <v>187.86</v>
      </c>
      <c r="F3523" t="s">
        <v>1578</v>
      </c>
      <c r="G3523" t="s">
        <v>1351</v>
      </c>
    </row>
    <row r="3524" spans="1:7">
      <c r="A3524" t="s">
        <v>5127</v>
      </c>
      <c r="B3524" s="2">
        <v>45867</v>
      </c>
      <c r="C3524" t="s">
        <v>61</v>
      </c>
      <c r="D3524" t="s">
        <v>1629</v>
      </c>
      <c r="E3524">
        <v>353.94</v>
      </c>
      <c r="F3524" t="s">
        <v>1578</v>
      </c>
      <c r="G3524" t="s">
        <v>1352</v>
      </c>
    </row>
    <row r="3525" spans="1:7">
      <c r="A3525" t="s">
        <v>5128</v>
      </c>
      <c r="B3525" s="2">
        <v>45867</v>
      </c>
      <c r="C3525" t="s">
        <v>65</v>
      </c>
      <c r="D3525" t="s">
        <v>1629</v>
      </c>
      <c r="E3525">
        <v>352.2</v>
      </c>
      <c r="F3525" t="s">
        <v>1578</v>
      </c>
      <c r="G3525" t="s">
        <v>1352</v>
      </c>
    </row>
    <row r="3526" spans="1:7">
      <c r="A3526" t="s">
        <v>5129</v>
      </c>
      <c r="B3526" s="2">
        <v>45867</v>
      </c>
      <c r="C3526" t="s">
        <v>68</v>
      </c>
      <c r="D3526" t="s">
        <v>1629</v>
      </c>
      <c r="E3526">
        <v>353.94</v>
      </c>
      <c r="F3526" t="s">
        <v>1578</v>
      </c>
      <c r="G3526" t="s">
        <v>1352</v>
      </c>
    </row>
    <row r="3527" spans="1:7">
      <c r="A3527" t="s">
        <v>5130</v>
      </c>
      <c r="B3527" s="2">
        <v>45867</v>
      </c>
      <c r="C3527" t="s">
        <v>70</v>
      </c>
      <c r="D3527" t="s">
        <v>1629</v>
      </c>
      <c r="E3527">
        <v>350.47</v>
      </c>
      <c r="F3527" t="s">
        <v>1578</v>
      </c>
      <c r="G3527" t="s">
        <v>1352</v>
      </c>
    </row>
    <row r="3528" spans="1:7">
      <c r="A3528" t="s">
        <v>5131</v>
      </c>
      <c r="B3528" s="2">
        <v>45867</v>
      </c>
      <c r="C3528" t="s">
        <v>75</v>
      </c>
      <c r="D3528" t="s">
        <v>1629</v>
      </c>
      <c r="E3528">
        <v>350.47</v>
      </c>
      <c r="F3528" t="s">
        <v>1578</v>
      </c>
      <c r="G3528" t="s">
        <v>1352</v>
      </c>
    </row>
    <row r="3529" spans="1:7">
      <c r="A3529" t="s">
        <v>5132</v>
      </c>
      <c r="B3529" s="2">
        <v>45867</v>
      </c>
      <c r="C3529" t="s">
        <v>77</v>
      </c>
      <c r="D3529" t="s">
        <v>1629</v>
      </c>
      <c r="E3529">
        <v>350.47</v>
      </c>
      <c r="F3529" t="s">
        <v>1578</v>
      </c>
      <c r="G3529" t="s">
        <v>1352</v>
      </c>
    </row>
    <row r="3530" spans="1:7">
      <c r="A3530" t="s">
        <v>5133</v>
      </c>
      <c r="B3530" s="2">
        <v>45867</v>
      </c>
      <c r="C3530" t="s">
        <v>79</v>
      </c>
      <c r="D3530" t="s">
        <v>1629</v>
      </c>
      <c r="E3530">
        <v>353.94</v>
      </c>
      <c r="F3530" t="s">
        <v>1578</v>
      </c>
      <c r="G3530" t="s">
        <v>1352</v>
      </c>
    </row>
    <row r="3531" spans="1:7">
      <c r="A3531" t="s">
        <v>5134</v>
      </c>
      <c r="B3531" s="2">
        <v>45867</v>
      </c>
      <c r="C3531" t="s">
        <v>81</v>
      </c>
      <c r="D3531" t="s">
        <v>1629</v>
      </c>
      <c r="E3531">
        <v>700.94</v>
      </c>
      <c r="F3531" t="s">
        <v>1578</v>
      </c>
      <c r="G3531" t="s">
        <v>1352</v>
      </c>
    </row>
    <row r="3532" spans="1:7">
      <c r="A3532" t="s">
        <v>5135</v>
      </c>
      <c r="B3532" s="2">
        <v>45867</v>
      </c>
      <c r="C3532" t="s">
        <v>110</v>
      </c>
      <c r="D3532" t="s">
        <v>1629</v>
      </c>
      <c r="E3532">
        <v>353.94</v>
      </c>
      <c r="F3532" t="s">
        <v>1578</v>
      </c>
      <c r="G3532" t="s">
        <v>1352</v>
      </c>
    </row>
    <row r="3533" spans="1:7">
      <c r="A3533" t="s">
        <v>5136</v>
      </c>
      <c r="B3533" s="2">
        <v>45867</v>
      </c>
      <c r="C3533" t="s">
        <v>114</v>
      </c>
      <c r="D3533" t="s">
        <v>1629</v>
      </c>
      <c r="E3533">
        <v>350.47</v>
      </c>
      <c r="F3533" t="s">
        <v>1578</v>
      </c>
      <c r="G3533" t="s">
        <v>1352</v>
      </c>
    </row>
    <row r="3534" spans="1:7">
      <c r="A3534" t="s">
        <v>5137</v>
      </c>
      <c r="B3534" s="2">
        <v>45867</v>
      </c>
      <c r="C3534" t="s">
        <v>117</v>
      </c>
      <c r="D3534" t="s">
        <v>1629</v>
      </c>
      <c r="E3534">
        <v>348.73</v>
      </c>
      <c r="F3534" t="s">
        <v>1578</v>
      </c>
      <c r="G3534" t="s">
        <v>1352</v>
      </c>
    </row>
    <row r="3535" spans="1:7">
      <c r="A3535" t="s">
        <v>5138</v>
      </c>
      <c r="B3535" s="2">
        <v>45867</v>
      </c>
      <c r="C3535" t="s">
        <v>119</v>
      </c>
      <c r="D3535" t="s">
        <v>1629</v>
      </c>
      <c r="E3535">
        <v>350.47</v>
      </c>
      <c r="F3535" t="s">
        <v>1578</v>
      </c>
      <c r="G3535" t="s">
        <v>1352</v>
      </c>
    </row>
    <row r="3536" spans="1:7">
      <c r="A3536" t="s">
        <v>5139</v>
      </c>
      <c r="B3536" s="2">
        <v>45867</v>
      </c>
      <c r="C3536" t="s">
        <v>119</v>
      </c>
      <c r="D3536" t="s">
        <v>1683</v>
      </c>
      <c r="E3536">
        <v>423</v>
      </c>
      <c r="F3536" t="s">
        <v>1578</v>
      </c>
      <c r="G3536" t="s">
        <v>760</v>
      </c>
    </row>
    <row r="3537" spans="1:7">
      <c r="A3537" t="s">
        <v>5140</v>
      </c>
      <c r="B3537" s="2">
        <v>45868</v>
      </c>
      <c r="C3537" t="s">
        <v>75</v>
      </c>
      <c r="D3537" t="s">
        <v>1629</v>
      </c>
      <c r="E3537">
        <v>340.37</v>
      </c>
      <c r="F3537" t="s">
        <v>1578</v>
      </c>
      <c r="G3537" t="s">
        <v>1353</v>
      </c>
    </row>
    <row r="3538" spans="1:7">
      <c r="A3538" t="s">
        <v>5141</v>
      </c>
      <c r="B3538" s="2">
        <v>45868</v>
      </c>
      <c r="C3538" t="s">
        <v>91</v>
      </c>
      <c r="D3538" t="s">
        <v>1629</v>
      </c>
      <c r="E3538">
        <v>345.42</v>
      </c>
      <c r="F3538" t="s">
        <v>1578</v>
      </c>
      <c r="G3538" t="s">
        <v>1353</v>
      </c>
    </row>
    <row r="3539" spans="1:7">
      <c r="A3539" t="s">
        <v>5142</v>
      </c>
      <c r="B3539" s="2">
        <v>45868</v>
      </c>
      <c r="C3539" t="s">
        <v>93</v>
      </c>
      <c r="D3539" t="s">
        <v>1629</v>
      </c>
      <c r="E3539">
        <v>343.74</v>
      </c>
      <c r="F3539" t="s">
        <v>1578</v>
      </c>
      <c r="G3539" t="s">
        <v>1353</v>
      </c>
    </row>
    <row r="3540" spans="1:7">
      <c r="A3540" t="s">
        <v>5143</v>
      </c>
      <c r="B3540" s="2">
        <v>45868</v>
      </c>
      <c r="C3540" t="s">
        <v>95</v>
      </c>
      <c r="D3540" t="s">
        <v>1629</v>
      </c>
      <c r="E3540">
        <v>342.05</v>
      </c>
      <c r="F3540" t="s">
        <v>1578</v>
      </c>
      <c r="G3540" t="s">
        <v>1353</v>
      </c>
    </row>
    <row r="3541" spans="1:7">
      <c r="A3541" t="s">
        <v>5144</v>
      </c>
      <c r="B3541" s="2">
        <v>45868</v>
      </c>
      <c r="C3541" t="s">
        <v>97</v>
      </c>
      <c r="D3541" t="s">
        <v>1629</v>
      </c>
      <c r="E3541">
        <v>340.37</v>
      </c>
      <c r="F3541" t="s">
        <v>1578</v>
      </c>
      <c r="G3541" t="s">
        <v>1353</v>
      </c>
    </row>
    <row r="3542" spans="1:7">
      <c r="A3542" t="s">
        <v>5145</v>
      </c>
      <c r="B3542" s="2">
        <v>45868</v>
      </c>
      <c r="C3542" t="s">
        <v>99</v>
      </c>
      <c r="D3542" t="s">
        <v>1629</v>
      </c>
      <c r="E3542">
        <v>416.53</v>
      </c>
      <c r="F3542" t="s">
        <v>1578</v>
      </c>
      <c r="G3542" t="s">
        <v>1353</v>
      </c>
    </row>
    <row r="3543" spans="1:7">
      <c r="A3543" t="s">
        <v>5146</v>
      </c>
      <c r="B3543" s="2">
        <v>45868</v>
      </c>
      <c r="C3543" t="s">
        <v>102</v>
      </c>
      <c r="D3543" t="s">
        <v>1629</v>
      </c>
      <c r="E3543">
        <v>343.74</v>
      </c>
      <c r="F3543" t="s">
        <v>1578</v>
      </c>
      <c r="G3543" t="s">
        <v>1353</v>
      </c>
    </row>
    <row r="3544" spans="1:7">
      <c r="A3544" t="s">
        <v>5147</v>
      </c>
      <c r="B3544" s="2">
        <v>45868</v>
      </c>
      <c r="C3544" t="s">
        <v>108</v>
      </c>
      <c r="D3544" t="s">
        <v>1629</v>
      </c>
      <c r="E3544">
        <v>684.11</v>
      </c>
      <c r="F3544" t="s">
        <v>1578</v>
      </c>
      <c r="G3544" t="s">
        <v>1353</v>
      </c>
    </row>
    <row r="3545" spans="1:7">
      <c r="A3545" t="s">
        <v>5148</v>
      </c>
      <c r="B3545" s="2">
        <v>45868</v>
      </c>
      <c r="C3545" t="s">
        <v>110</v>
      </c>
      <c r="D3545" t="s">
        <v>1629</v>
      </c>
      <c r="E3545">
        <v>343.74</v>
      </c>
      <c r="F3545" t="s">
        <v>1578</v>
      </c>
      <c r="G3545" t="s">
        <v>1353</v>
      </c>
    </row>
    <row r="3546" spans="1:7">
      <c r="A3546" t="s">
        <v>5149</v>
      </c>
      <c r="B3546" s="2">
        <v>45868</v>
      </c>
      <c r="C3546" t="s">
        <v>114</v>
      </c>
      <c r="D3546" t="s">
        <v>1629</v>
      </c>
      <c r="E3546">
        <v>340.37</v>
      </c>
      <c r="F3546" t="s">
        <v>1578</v>
      </c>
      <c r="G3546" t="s">
        <v>1353</v>
      </c>
    </row>
    <row r="3547" spans="1:7">
      <c r="A3547" t="s">
        <v>5150</v>
      </c>
      <c r="B3547" s="2">
        <v>45868</v>
      </c>
      <c r="C3547" t="s">
        <v>117</v>
      </c>
      <c r="D3547" t="s">
        <v>1629</v>
      </c>
      <c r="E3547">
        <v>338.68</v>
      </c>
      <c r="F3547" t="s">
        <v>1578</v>
      </c>
      <c r="G3547" t="s">
        <v>1353</v>
      </c>
    </row>
    <row r="3548" spans="1:7">
      <c r="A3548" t="s">
        <v>5151</v>
      </c>
      <c r="B3548" s="2">
        <v>45868</v>
      </c>
      <c r="C3548" t="s">
        <v>119</v>
      </c>
      <c r="D3548" t="s">
        <v>1629</v>
      </c>
      <c r="E3548">
        <v>340.37</v>
      </c>
      <c r="F3548" t="s">
        <v>1578</v>
      </c>
      <c r="G3548" t="s">
        <v>1353</v>
      </c>
    </row>
    <row r="3549" spans="1:7">
      <c r="A3549" t="s">
        <v>5152</v>
      </c>
      <c r="B3549" s="2">
        <v>45869</v>
      </c>
      <c r="C3549" t="s">
        <v>75</v>
      </c>
      <c r="D3549" t="s">
        <v>1629</v>
      </c>
      <c r="E3549">
        <v>269.67</v>
      </c>
      <c r="F3549" t="s">
        <v>1578</v>
      </c>
      <c r="G3549" t="s">
        <v>1354</v>
      </c>
    </row>
    <row r="3550" spans="1:7">
      <c r="A3550" t="s">
        <v>5153</v>
      </c>
      <c r="B3550" s="2">
        <v>45869</v>
      </c>
      <c r="C3550" t="s">
        <v>91</v>
      </c>
      <c r="D3550" t="s">
        <v>1629</v>
      </c>
      <c r="E3550">
        <v>273.67</v>
      </c>
      <c r="F3550" t="s">
        <v>1578</v>
      </c>
      <c r="G3550" t="s">
        <v>1354</v>
      </c>
    </row>
    <row r="3551" spans="1:7">
      <c r="A3551" t="s">
        <v>5154</v>
      </c>
      <c r="B3551" s="2">
        <v>45869</v>
      </c>
      <c r="C3551" t="s">
        <v>93</v>
      </c>
      <c r="D3551" t="s">
        <v>1629</v>
      </c>
      <c r="E3551">
        <v>272.33999999999997</v>
      </c>
      <c r="F3551" t="s">
        <v>1578</v>
      </c>
      <c r="G3551" t="s">
        <v>1354</v>
      </c>
    </row>
    <row r="3552" spans="1:7">
      <c r="A3552" t="s">
        <v>5155</v>
      </c>
      <c r="B3552" s="2">
        <v>45869</v>
      </c>
      <c r="C3552" t="s">
        <v>95</v>
      </c>
      <c r="D3552" t="s">
        <v>1629</v>
      </c>
      <c r="E3552">
        <v>271</v>
      </c>
      <c r="F3552" t="s">
        <v>1578</v>
      </c>
      <c r="G3552" t="s">
        <v>1354</v>
      </c>
    </row>
    <row r="3553" spans="1:7">
      <c r="A3553" t="s">
        <v>5156</v>
      </c>
      <c r="B3553" s="2">
        <v>45869</v>
      </c>
      <c r="C3553" t="s">
        <v>97</v>
      </c>
      <c r="D3553" t="s">
        <v>1629</v>
      </c>
      <c r="E3553">
        <v>269.67</v>
      </c>
      <c r="F3553" t="s">
        <v>1578</v>
      </c>
      <c r="G3553" t="s">
        <v>1354</v>
      </c>
    </row>
    <row r="3554" spans="1:7">
      <c r="A3554" t="s">
        <v>5157</v>
      </c>
      <c r="B3554" s="2">
        <v>45869</v>
      </c>
      <c r="C3554" t="s">
        <v>99</v>
      </c>
      <c r="D3554" t="s">
        <v>1629</v>
      </c>
      <c r="E3554">
        <v>330.01</v>
      </c>
      <c r="F3554" t="s">
        <v>1578</v>
      </c>
      <c r="G3554" t="s">
        <v>1354</v>
      </c>
    </row>
    <row r="3555" spans="1:7">
      <c r="A3555" t="s">
        <v>5158</v>
      </c>
      <c r="B3555" s="2">
        <v>45869</v>
      </c>
      <c r="C3555" t="s">
        <v>102</v>
      </c>
      <c r="D3555" t="s">
        <v>1629</v>
      </c>
      <c r="E3555">
        <v>272.33999999999997</v>
      </c>
      <c r="F3555" t="s">
        <v>1578</v>
      </c>
      <c r="G3555" t="s">
        <v>1354</v>
      </c>
    </row>
    <row r="3556" spans="1:7">
      <c r="A3556" t="s">
        <v>5159</v>
      </c>
      <c r="B3556" s="2">
        <v>45869</v>
      </c>
      <c r="C3556" t="s">
        <v>108</v>
      </c>
      <c r="D3556" t="s">
        <v>1629</v>
      </c>
      <c r="E3556">
        <v>542.01</v>
      </c>
      <c r="F3556" t="s">
        <v>1578</v>
      </c>
      <c r="G3556" t="s">
        <v>1354</v>
      </c>
    </row>
    <row r="3557" spans="1:7">
      <c r="A3557" t="s">
        <v>5160</v>
      </c>
      <c r="B3557" s="2">
        <v>45869</v>
      </c>
      <c r="C3557" t="s">
        <v>110</v>
      </c>
      <c r="D3557" t="s">
        <v>1629</v>
      </c>
      <c r="E3557">
        <v>272.33999999999997</v>
      </c>
      <c r="F3557" t="s">
        <v>1578</v>
      </c>
      <c r="G3557" t="s">
        <v>1354</v>
      </c>
    </row>
    <row r="3558" spans="1:7">
      <c r="A3558" t="s">
        <v>5161</v>
      </c>
      <c r="B3558" s="2">
        <v>45869</v>
      </c>
      <c r="C3558" t="s">
        <v>114</v>
      </c>
      <c r="D3558" t="s">
        <v>1629</v>
      </c>
      <c r="E3558">
        <v>269.67</v>
      </c>
      <c r="F3558" t="s">
        <v>1578</v>
      </c>
      <c r="G3558" t="s">
        <v>1354</v>
      </c>
    </row>
    <row r="3559" spans="1:7">
      <c r="A3559" t="s">
        <v>5162</v>
      </c>
      <c r="B3559" s="2">
        <v>45869</v>
      </c>
      <c r="C3559" t="s">
        <v>117</v>
      </c>
      <c r="D3559" t="s">
        <v>1629</v>
      </c>
      <c r="E3559">
        <v>268.33</v>
      </c>
      <c r="F3559" t="s">
        <v>1578</v>
      </c>
      <c r="G3559" t="s">
        <v>1354</v>
      </c>
    </row>
    <row r="3560" spans="1:7">
      <c r="A3560" t="s">
        <v>5163</v>
      </c>
      <c r="B3560" s="2">
        <v>45869</v>
      </c>
      <c r="C3560" t="s">
        <v>119</v>
      </c>
      <c r="D3560" t="s">
        <v>1629</v>
      </c>
      <c r="E3560">
        <v>269.67</v>
      </c>
      <c r="F3560" t="s">
        <v>1578</v>
      </c>
      <c r="G3560" t="s">
        <v>1354</v>
      </c>
    </row>
    <row r="3561" spans="1:7">
      <c r="A3561" t="s">
        <v>5164</v>
      </c>
      <c r="B3561" s="2">
        <v>45869</v>
      </c>
      <c r="C3561" t="s">
        <v>104</v>
      </c>
      <c r="D3561" t="s">
        <v>1683</v>
      </c>
      <c r="E3561">
        <v>519</v>
      </c>
      <c r="F3561" t="s">
        <v>1578</v>
      </c>
      <c r="G3561" t="s">
        <v>762</v>
      </c>
    </row>
    <row r="3562" spans="1:7">
      <c r="A3562" t="s">
        <v>5165</v>
      </c>
      <c r="B3562" s="2">
        <v>45869</v>
      </c>
      <c r="C3562" t="s">
        <v>93</v>
      </c>
      <c r="D3562" t="s">
        <v>1683</v>
      </c>
      <c r="E3562">
        <v>271</v>
      </c>
      <c r="F3562" t="s">
        <v>1578</v>
      </c>
      <c r="G3562" t="s">
        <v>763</v>
      </c>
    </row>
    <row r="3563" spans="1:7">
      <c r="A3563" t="s">
        <v>5166</v>
      </c>
      <c r="B3563" s="2">
        <v>45870</v>
      </c>
      <c r="C3563" t="s">
        <v>61</v>
      </c>
      <c r="D3563" t="s">
        <v>1629</v>
      </c>
      <c r="E3563">
        <v>177.48</v>
      </c>
      <c r="F3563" t="s">
        <v>1578</v>
      </c>
      <c r="G3563" t="s">
        <v>1355</v>
      </c>
    </row>
    <row r="3564" spans="1:7">
      <c r="A3564" t="s">
        <v>5167</v>
      </c>
      <c r="B3564" s="2">
        <v>45870</v>
      </c>
      <c r="C3564" t="s">
        <v>65</v>
      </c>
      <c r="D3564" t="s">
        <v>1629</v>
      </c>
      <c r="E3564">
        <v>176.61</v>
      </c>
      <c r="F3564" t="s">
        <v>1578</v>
      </c>
      <c r="G3564" t="s">
        <v>1355</v>
      </c>
    </row>
    <row r="3565" spans="1:7">
      <c r="A3565" t="s">
        <v>5168</v>
      </c>
      <c r="B3565" s="2">
        <v>45870</v>
      </c>
      <c r="C3565" t="s">
        <v>75</v>
      </c>
      <c r="D3565" t="s">
        <v>1629</v>
      </c>
      <c r="E3565">
        <v>175.74</v>
      </c>
      <c r="F3565" t="s">
        <v>1578</v>
      </c>
      <c r="G3565" t="s">
        <v>1355</v>
      </c>
    </row>
    <row r="3566" spans="1:7">
      <c r="A3566" t="s">
        <v>5169</v>
      </c>
      <c r="B3566" s="2">
        <v>45870</v>
      </c>
      <c r="C3566" t="s">
        <v>79</v>
      </c>
      <c r="D3566" t="s">
        <v>1629</v>
      </c>
      <c r="E3566">
        <v>177.48</v>
      </c>
      <c r="F3566" t="s">
        <v>1578</v>
      </c>
      <c r="G3566" t="s">
        <v>1355</v>
      </c>
    </row>
    <row r="3567" spans="1:7">
      <c r="A3567" t="s">
        <v>5170</v>
      </c>
      <c r="B3567" s="2">
        <v>45870</v>
      </c>
      <c r="C3567" t="s">
        <v>81</v>
      </c>
      <c r="D3567" t="s">
        <v>1629</v>
      </c>
      <c r="E3567">
        <v>351.48</v>
      </c>
      <c r="F3567" t="s">
        <v>1578</v>
      </c>
      <c r="G3567" t="s">
        <v>1355</v>
      </c>
    </row>
    <row r="3568" spans="1:7">
      <c r="A3568" t="s">
        <v>5171</v>
      </c>
      <c r="B3568" s="2">
        <v>45870</v>
      </c>
      <c r="C3568" t="s">
        <v>84</v>
      </c>
      <c r="D3568" t="s">
        <v>1629</v>
      </c>
      <c r="E3568">
        <v>62.73</v>
      </c>
      <c r="F3568" t="s">
        <v>1578</v>
      </c>
      <c r="G3568" t="s">
        <v>1355</v>
      </c>
    </row>
    <row r="3569" spans="1:7">
      <c r="A3569" t="s">
        <v>5172</v>
      </c>
      <c r="B3569" s="2">
        <v>45870</v>
      </c>
      <c r="C3569" t="s">
        <v>89</v>
      </c>
      <c r="D3569" t="s">
        <v>1629</v>
      </c>
      <c r="E3569">
        <v>267.52</v>
      </c>
      <c r="F3569" t="s">
        <v>1578</v>
      </c>
      <c r="G3569" t="s">
        <v>1355</v>
      </c>
    </row>
    <row r="3570" spans="1:7">
      <c r="A3570" t="s">
        <v>5173</v>
      </c>
      <c r="B3570" s="2">
        <v>45870</v>
      </c>
      <c r="C3570" t="s">
        <v>110</v>
      </c>
      <c r="D3570" t="s">
        <v>1629</v>
      </c>
      <c r="E3570">
        <v>177.48</v>
      </c>
      <c r="F3570" t="s">
        <v>1578</v>
      </c>
      <c r="G3570" t="s">
        <v>1355</v>
      </c>
    </row>
    <row r="3571" spans="1:7">
      <c r="A3571" t="s">
        <v>5174</v>
      </c>
      <c r="B3571" s="2">
        <v>45870</v>
      </c>
      <c r="C3571" t="s">
        <v>114</v>
      </c>
      <c r="D3571" t="s">
        <v>1629</v>
      </c>
      <c r="E3571">
        <v>175.74</v>
      </c>
      <c r="F3571" t="s">
        <v>1578</v>
      </c>
      <c r="G3571" t="s">
        <v>1355</v>
      </c>
    </row>
    <row r="3572" spans="1:7">
      <c r="A3572" t="s">
        <v>5175</v>
      </c>
      <c r="B3572" s="2">
        <v>45870</v>
      </c>
      <c r="C3572" t="s">
        <v>117</v>
      </c>
      <c r="D3572" t="s">
        <v>1629</v>
      </c>
      <c r="E3572">
        <v>174.87</v>
      </c>
      <c r="F3572" t="s">
        <v>1578</v>
      </c>
      <c r="G3572" t="s">
        <v>1355</v>
      </c>
    </row>
    <row r="3573" spans="1:7">
      <c r="A3573" t="s">
        <v>5176</v>
      </c>
      <c r="B3573" s="2">
        <v>45870</v>
      </c>
      <c r="C3573" t="s">
        <v>119</v>
      </c>
      <c r="D3573" t="s">
        <v>1629</v>
      </c>
      <c r="E3573">
        <v>175.74</v>
      </c>
      <c r="F3573" t="s">
        <v>1578</v>
      </c>
      <c r="G3573" t="s">
        <v>1355</v>
      </c>
    </row>
    <row r="3574" spans="1:7">
      <c r="A3574" t="s">
        <v>5177</v>
      </c>
      <c r="B3574" s="2">
        <v>45870</v>
      </c>
      <c r="C3574" t="s">
        <v>75</v>
      </c>
      <c r="D3574" t="s">
        <v>1629</v>
      </c>
      <c r="E3574">
        <v>161.6</v>
      </c>
      <c r="F3574" t="s">
        <v>1578</v>
      </c>
      <c r="G3574" t="s">
        <v>1356</v>
      </c>
    </row>
    <row r="3575" spans="1:7">
      <c r="A3575" t="s">
        <v>5178</v>
      </c>
      <c r="B3575" s="2">
        <v>45870</v>
      </c>
      <c r="C3575" t="s">
        <v>91</v>
      </c>
      <c r="D3575" t="s">
        <v>1629</v>
      </c>
      <c r="E3575">
        <v>164</v>
      </c>
      <c r="F3575" t="s">
        <v>1578</v>
      </c>
      <c r="G3575" t="s">
        <v>1356</v>
      </c>
    </row>
    <row r="3576" spans="1:7">
      <c r="A3576" t="s">
        <v>5179</v>
      </c>
      <c r="B3576" s="2">
        <v>45870</v>
      </c>
      <c r="C3576" t="s">
        <v>93</v>
      </c>
      <c r="D3576" t="s">
        <v>1629</v>
      </c>
      <c r="E3576">
        <v>163.19999999999999</v>
      </c>
      <c r="F3576" t="s">
        <v>1578</v>
      </c>
      <c r="G3576" t="s">
        <v>1356</v>
      </c>
    </row>
    <row r="3577" spans="1:7">
      <c r="A3577" t="s">
        <v>5180</v>
      </c>
      <c r="B3577" s="2">
        <v>45870</v>
      </c>
      <c r="C3577" t="s">
        <v>95</v>
      </c>
      <c r="D3577" t="s">
        <v>1629</v>
      </c>
      <c r="E3577">
        <v>162.4</v>
      </c>
      <c r="F3577" t="s">
        <v>1578</v>
      </c>
      <c r="G3577" t="s">
        <v>1356</v>
      </c>
    </row>
    <row r="3578" spans="1:7">
      <c r="A3578" t="s">
        <v>5181</v>
      </c>
      <c r="B3578" s="2">
        <v>45870</v>
      </c>
      <c r="C3578" t="s">
        <v>97</v>
      </c>
      <c r="D3578" t="s">
        <v>1629</v>
      </c>
      <c r="E3578">
        <v>161.6</v>
      </c>
      <c r="F3578" t="s">
        <v>1578</v>
      </c>
      <c r="G3578" t="s">
        <v>1356</v>
      </c>
    </row>
    <row r="3579" spans="1:7">
      <c r="A3579" t="s">
        <v>5182</v>
      </c>
      <c r="B3579" s="2">
        <v>45870</v>
      </c>
      <c r="C3579" t="s">
        <v>99</v>
      </c>
      <c r="D3579" t="s">
        <v>1629</v>
      </c>
      <c r="E3579">
        <v>197.76</v>
      </c>
      <c r="F3579" t="s">
        <v>1578</v>
      </c>
      <c r="G3579" t="s">
        <v>1356</v>
      </c>
    </row>
    <row r="3580" spans="1:7">
      <c r="A3580" t="s">
        <v>5183</v>
      </c>
      <c r="B3580" s="2">
        <v>45870</v>
      </c>
      <c r="C3580" t="s">
        <v>102</v>
      </c>
      <c r="D3580" t="s">
        <v>1629</v>
      </c>
      <c r="E3580">
        <v>163.19999999999999</v>
      </c>
      <c r="F3580" t="s">
        <v>1578</v>
      </c>
      <c r="G3580" t="s">
        <v>1356</v>
      </c>
    </row>
    <row r="3581" spans="1:7">
      <c r="A3581" t="s">
        <v>5184</v>
      </c>
      <c r="B3581" s="2">
        <v>45870</v>
      </c>
      <c r="C3581" t="s">
        <v>108</v>
      </c>
      <c r="D3581" t="s">
        <v>1629</v>
      </c>
      <c r="E3581">
        <v>324.8</v>
      </c>
      <c r="F3581" t="s">
        <v>1578</v>
      </c>
      <c r="G3581" t="s">
        <v>1356</v>
      </c>
    </row>
    <row r="3582" spans="1:7">
      <c r="A3582" t="s">
        <v>5185</v>
      </c>
      <c r="B3582" s="2">
        <v>45870</v>
      </c>
      <c r="C3582" t="s">
        <v>110</v>
      </c>
      <c r="D3582" t="s">
        <v>1629</v>
      </c>
      <c r="E3582">
        <v>163.19999999999999</v>
      </c>
      <c r="F3582" t="s">
        <v>1578</v>
      </c>
      <c r="G3582" t="s">
        <v>1356</v>
      </c>
    </row>
    <row r="3583" spans="1:7">
      <c r="A3583" t="s">
        <v>5186</v>
      </c>
      <c r="B3583" s="2">
        <v>45870</v>
      </c>
      <c r="C3583" t="s">
        <v>114</v>
      </c>
      <c r="D3583" t="s">
        <v>1629</v>
      </c>
      <c r="E3583">
        <v>161.6</v>
      </c>
      <c r="F3583" t="s">
        <v>1578</v>
      </c>
      <c r="G3583" t="s">
        <v>1356</v>
      </c>
    </row>
    <row r="3584" spans="1:7">
      <c r="A3584" t="s">
        <v>5187</v>
      </c>
      <c r="B3584" s="2">
        <v>45870</v>
      </c>
      <c r="C3584" t="s">
        <v>117</v>
      </c>
      <c r="D3584" t="s">
        <v>1629</v>
      </c>
      <c r="E3584">
        <v>160.80000000000001</v>
      </c>
      <c r="F3584" t="s">
        <v>1578</v>
      </c>
      <c r="G3584" t="s">
        <v>1356</v>
      </c>
    </row>
    <row r="3585" spans="1:7">
      <c r="A3585" t="s">
        <v>5188</v>
      </c>
      <c r="B3585" s="2">
        <v>45870</v>
      </c>
      <c r="C3585" t="s">
        <v>119</v>
      </c>
      <c r="D3585" t="s">
        <v>1629</v>
      </c>
      <c r="E3585">
        <v>161.6</v>
      </c>
      <c r="F3585" t="s">
        <v>1578</v>
      </c>
      <c r="G3585" t="s">
        <v>1356</v>
      </c>
    </row>
    <row r="3586" spans="1:7">
      <c r="A3586" t="s">
        <v>5189</v>
      </c>
      <c r="B3586" s="2">
        <v>45870</v>
      </c>
      <c r="C3586" t="s">
        <v>61</v>
      </c>
      <c r="D3586" t="s">
        <v>1629</v>
      </c>
      <c r="E3586">
        <v>130.56</v>
      </c>
      <c r="F3586" t="s">
        <v>1578</v>
      </c>
      <c r="G3586" t="s">
        <v>1357</v>
      </c>
    </row>
    <row r="3587" spans="1:7">
      <c r="A3587" t="s">
        <v>5190</v>
      </c>
      <c r="B3587" s="2">
        <v>45870</v>
      </c>
      <c r="C3587" t="s">
        <v>65</v>
      </c>
      <c r="D3587" t="s">
        <v>1629</v>
      </c>
      <c r="E3587">
        <v>129.91999999999999</v>
      </c>
      <c r="F3587" t="s">
        <v>1578</v>
      </c>
      <c r="G3587" t="s">
        <v>1357</v>
      </c>
    </row>
    <row r="3588" spans="1:7">
      <c r="A3588" t="s">
        <v>5191</v>
      </c>
      <c r="B3588" s="2">
        <v>45870</v>
      </c>
      <c r="C3588" t="s">
        <v>68</v>
      </c>
      <c r="D3588" t="s">
        <v>1629</v>
      </c>
      <c r="E3588">
        <v>130.56</v>
      </c>
      <c r="F3588" t="s">
        <v>1578</v>
      </c>
      <c r="G3588" t="s">
        <v>1357</v>
      </c>
    </row>
    <row r="3589" spans="1:7">
      <c r="A3589" t="s">
        <v>5192</v>
      </c>
      <c r="B3589" s="2">
        <v>45870</v>
      </c>
      <c r="C3589" t="s">
        <v>70</v>
      </c>
      <c r="D3589" t="s">
        <v>1629</v>
      </c>
      <c r="E3589">
        <v>129.28</v>
      </c>
      <c r="F3589" t="s">
        <v>1578</v>
      </c>
      <c r="G3589" t="s">
        <v>1357</v>
      </c>
    </row>
    <row r="3590" spans="1:7">
      <c r="A3590" t="s">
        <v>5193</v>
      </c>
      <c r="B3590" s="2">
        <v>45870</v>
      </c>
      <c r="C3590" t="s">
        <v>75</v>
      </c>
      <c r="D3590" t="s">
        <v>1629</v>
      </c>
      <c r="E3590">
        <v>129.28</v>
      </c>
      <c r="F3590" t="s">
        <v>1578</v>
      </c>
      <c r="G3590" t="s">
        <v>1357</v>
      </c>
    </row>
    <row r="3591" spans="1:7">
      <c r="A3591" t="s">
        <v>5194</v>
      </c>
      <c r="B3591" s="2">
        <v>45870</v>
      </c>
      <c r="C3591" t="s">
        <v>77</v>
      </c>
      <c r="D3591" t="s">
        <v>1629</v>
      </c>
      <c r="E3591">
        <v>129.28</v>
      </c>
      <c r="F3591" t="s">
        <v>1578</v>
      </c>
      <c r="G3591" t="s">
        <v>1357</v>
      </c>
    </row>
    <row r="3592" spans="1:7">
      <c r="A3592" t="s">
        <v>5195</v>
      </c>
      <c r="B3592" s="2">
        <v>45870</v>
      </c>
      <c r="C3592" t="s">
        <v>79</v>
      </c>
      <c r="D3592" t="s">
        <v>1629</v>
      </c>
      <c r="E3592">
        <v>130.56</v>
      </c>
      <c r="F3592" t="s">
        <v>1578</v>
      </c>
      <c r="G3592" t="s">
        <v>1357</v>
      </c>
    </row>
    <row r="3593" spans="1:7">
      <c r="A3593" t="s">
        <v>5196</v>
      </c>
      <c r="B3593" s="2">
        <v>45870</v>
      </c>
      <c r="C3593" t="s">
        <v>81</v>
      </c>
      <c r="D3593" t="s">
        <v>1629</v>
      </c>
      <c r="E3593">
        <v>258.56</v>
      </c>
      <c r="F3593" t="s">
        <v>1578</v>
      </c>
      <c r="G3593" t="s">
        <v>1357</v>
      </c>
    </row>
    <row r="3594" spans="1:7">
      <c r="A3594" t="s">
        <v>5197</v>
      </c>
      <c r="B3594" s="2">
        <v>45870</v>
      </c>
      <c r="C3594" t="s">
        <v>110</v>
      </c>
      <c r="D3594" t="s">
        <v>1629</v>
      </c>
      <c r="E3594">
        <v>130.56</v>
      </c>
      <c r="F3594" t="s">
        <v>1578</v>
      </c>
      <c r="G3594" t="s">
        <v>1357</v>
      </c>
    </row>
    <row r="3595" spans="1:7">
      <c r="A3595" t="s">
        <v>5198</v>
      </c>
      <c r="B3595" s="2">
        <v>45870</v>
      </c>
      <c r="C3595" t="s">
        <v>114</v>
      </c>
      <c r="D3595" t="s">
        <v>1629</v>
      </c>
      <c r="E3595">
        <v>129.28</v>
      </c>
      <c r="F3595" t="s">
        <v>1578</v>
      </c>
      <c r="G3595" t="s">
        <v>1357</v>
      </c>
    </row>
    <row r="3596" spans="1:7">
      <c r="A3596" t="s">
        <v>5199</v>
      </c>
      <c r="B3596" s="2">
        <v>45870</v>
      </c>
      <c r="C3596" t="s">
        <v>117</v>
      </c>
      <c r="D3596" t="s">
        <v>1629</v>
      </c>
      <c r="E3596">
        <v>128.63999999999999</v>
      </c>
      <c r="F3596" t="s">
        <v>1578</v>
      </c>
      <c r="G3596" t="s">
        <v>1357</v>
      </c>
    </row>
    <row r="3597" spans="1:7">
      <c r="A3597" t="s">
        <v>5200</v>
      </c>
      <c r="B3597" s="2">
        <v>45870</v>
      </c>
      <c r="C3597" t="s">
        <v>119</v>
      </c>
      <c r="D3597" t="s">
        <v>1629</v>
      </c>
      <c r="E3597">
        <v>129.28</v>
      </c>
      <c r="F3597" t="s">
        <v>1578</v>
      </c>
      <c r="G3597" t="s">
        <v>1357</v>
      </c>
    </row>
    <row r="3598" spans="1:7">
      <c r="A3598" t="s">
        <v>5201</v>
      </c>
      <c r="B3598" s="2">
        <v>45870</v>
      </c>
      <c r="C3598" t="s">
        <v>93</v>
      </c>
      <c r="D3598" t="s">
        <v>1683</v>
      </c>
      <c r="E3598">
        <v>409</v>
      </c>
      <c r="F3598" t="s">
        <v>1578</v>
      </c>
      <c r="G3598" t="s">
        <v>764</v>
      </c>
    </row>
    <row r="3599" spans="1:7">
      <c r="A3599" t="s">
        <v>5202</v>
      </c>
      <c r="B3599" s="2">
        <v>45871</v>
      </c>
      <c r="C3599" t="s">
        <v>75</v>
      </c>
      <c r="D3599" t="s">
        <v>1629</v>
      </c>
      <c r="E3599">
        <v>335.32</v>
      </c>
      <c r="F3599" t="s">
        <v>1578</v>
      </c>
      <c r="G3599" t="s">
        <v>1358</v>
      </c>
    </row>
    <row r="3600" spans="1:7">
      <c r="A3600" t="s">
        <v>5203</v>
      </c>
      <c r="B3600" s="2">
        <v>45871</v>
      </c>
      <c r="C3600" t="s">
        <v>106</v>
      </c>
      <c r="D3600" t="s">
        <v>1629</v>
      </c>
      <c r="E3600">
        <v>341.96</v>
      </c>
      <c r="F3600" t="s">
        <v>1578</v>
      </c>
      <c r="G3600" t="s">
        <v>1358</v>
      </c>
    </row>
    <row r="3601" spans="1:7">
      <c r="A3601" t="s">
        <v>5204</v>
      </c>
      <c r="B3601" s="2">
        <v>45871</v>
      </c>
      <c r="C3601" t="s">
        <v>108</v>
      </c>
      <c r="D3601" t="s">
        <v>1629</v>
      </c>
      <c r="E3601">
        <v>673.96</v>
      </c>
      <c r="F3601" t="s">
        <v>1578</v>
      </c>
      <c r="G3601" t="s">
        <v>1358</v>
      </c>
    </row>
    <row r="3602" spans="1:7">
      <c r="A3602" t="s">
        <v>5205</v>
      </c>
      <c r="B3602" s="2">
        <v>45871</v>
      </c>
      <c r="C3602" t="s">
        <v>110</v>
      </c>
      <c r="D3602" t="s">
        <v>1629</v>
      </c>
      <c r="E3602">
        <v>338.64</v>
      </c>
      <c r="F3602" t="s">
        <v>1578</v>
      </c>
      <c r="G3602" t="s">
        <v>1358</v>
      </c>
    </row>
    <row r="3603" spans="1:7">
      <c r="A3603" t="s">
        <v>5206</v>
      </c>
      <c r="B3603" s="2">
        <v>45871</v>
      </c>
      <c r="C3603" t="s">
        <v>114</v>
      </c>
      <c r="D3603" t="s">
        <v>1629</v>
      </c>
      <c r="E3603">
        <v>335.32</v>
      </c>
      <c r="F3603" t="s">
        <v>1578</v>
      </c>
      <c r="G3603" t="s">
        <v>1358</v>
      </c>
    </row>
    <row r="3604" spans="1:7">
      <c r="A3604" t="s">
        <v>5207</v>
      </c>
      <c r="B3604" s="2">
        <v>45871</v>
      </c>
      <c r="C3604" t="s">
        <v>117</v>
      </c>
      <c r="D3604" t="s">
        <v>1629</v>
      </c>
      <c r="E3604">
        <v>333.66</v>
      </c>
      <c r="F3604" t="s">
        <v>1578</v>
      </c>
      <c r="G3604" t="s">
        <v>1358</v>
      </c>
    </row>
    <row r="3605" spans="1:7">
      <c r="A3605" t="s">
        <v>5208</v>
      </c>
      <c r="B3605" s="2">
        <v>45871</v>
      </c>
      <c r="C3605" t="s">
        <v>119</v>
      </c>
      <c r="D3605" t="s">
        <v>1629</v>
      </c>
      <c r="E3605">
        <v>335.32</v>
      </c>
      <c r="F3605" t="s">
        <v>1578</v>
      </c>
      <c r="G3605" t="s">
        <v>1358</v>
      </c>
    </row>
    <row r="3606" spans="1:7">
      <c r="A3606" t="s">
        <v>5209</v>
      </c>
      <c r="B3606" s="2">
        <v>45871</v>
      </c>
      <c r="C3606" t="s">
        <v>61</v>
      </c>
      <c r="D3606" t="s">
        <v>1629</v>
      </c>
      <c r="E3606">
        <v>465.12</v>
      </c>
      <c r="F3606" t="s">
        <v>1578</v>
      </c>
      <c r="G3606" t="s">
        <v>1359</v>
      </c>
    </row>
    <row r="3607" spans="1:7">
      <c r="A3607" t="s">
        <v>5210</v>
      </c>
      <c r="B3607" s="2">
        <v>45871</v>
      </c>
      <c r="C3607" t="s">
        <v>65</v>
      </c>
      <c r="D3607" t="s">
        <v>1629</v>
      </c>
      <c r="E3607">
        <v>462.84</v>
      </c>
      <c r="F3607" t="s">
        <v>1578</v>
      </c>
      <c r="G3607" t="s">
        <v>1359</v>
      </c>
    </row>
    <row r="3608" spans="1:7">
      <c r="A3608" t="s">
        <v>5211</v>
      </c>
      <c r="B3608" s="2">
        <v>45871</v>
      </c>
      <c r="C3608" t="s">
        <v>68</v>
      </c>
      <c r="D3608" t="s">
        <v>1629</v>
      </c>
      <c r="E3608">
        <v>465.12</v>
      </c>
      <c r="F3608" t="s">
        <v>1578</v>
      </c>
      <c r="G3608" t="s">
        <v>1359</v>
      </c>
    </row>
    <row r="3609" spans="1:7">
      <c r="A3609" t="s">
        <v>5212</v>
      </c>
      <c r="B3609" s="2">
        <v>45871</v>
      </c>
      <c r="C3609" t="s">
        <v>70</v>
      </c>
      <c r="D3609" t="s">
        <v>1629</v>
      </c>
      <c r="E3609">
        <v>460.56</v>
      </c>
      <c r="F3609" t="s">
        <v>1578</v>
      </c>
      <c r="G3609" t="s">
        <v>1359</v>
      </c>
    </row>
    <row r="3610" spans="1:7">
      <c r="A3610" t="s">
        <v>5213</v>
      </c>
      <c r="B3610" s="2">
        <v>45871</v>
      </c>
      <c r="C3610" t="s">
        <v>75</v>
      </c>
      <c r="D3610" t="s">
        <v>1629</v>
      </c>
      <c r="E3610">
        <v>460.56</v>
      </c>
      <c r="F3610" t="s">
        <v>1578</v>
      </c>
      <c r="G3610" t="s">
        <v>1359</v>
      </c>
    </row>
    <row r="3611" spans="1:7">
      <c r="A3611" t="s">
        <v>5214</v>
      </c>
      <c r="B3611" s="2">
        <v>45871</v>
      </c>
      <c r="C3611" t="s">
        <v>77</v>
      </c>
      <c r="D3611" t="s">
        <v>1629</v>
      </c>
      <c r="E3611">
        <v>460.56</v>
      </c>
      <c r="F3611" t="s">
        <v>1578</v>
      </c>
      <c r="G3611" t="s">
        <v>1359</v>
      </c>
    </row>
    <row r="3612" spans="1:7">
      <c r="A3612" t="s">
        <v>5215</v>
      </c>
      <c r="B3612" s="2">
        <v>45871</v>
      </c>
      <c r="C3612" t="s">
        <v>79</v>
      </c>
      <c r="D3612" t="s">
        <v>1629</v>
      </c>
      <c r="E3612">
        <v>465.12</v>
      </c>
      <c r="F3612" t="s">
        <v>1578</v>
      </c>
      <c r="G3612" t="s">
        <v>1359</v>
      </c>
    </row>
    <row r="3613" spans="1:7">
      <c r="A3613" t="s">
        <v>5216</v>
      </c>
      <c r="B3613" s="2">
        <v>45871</v>
      </c>
      <c r="C3613" t="s">
        <v>81</v>
      </c>
      <c r="D3613" t="s">
        <v>1629</v>
      </c>
      <c r="E3613">
        <v>921.12</v>
      </c>
      <c r="F3613" t="s">
        <v>1578</v>
      </c>
      <c r="G3613" t="s">
        <v>1359</v>
      </c>
    </row>
    <row r="3614" spans="1:7">
      <c r="A3614" t="s">
        <v>5217</v>
      </c>
      <c r="B3614" s="2">
        <v>45871</v>
      </c>
      <c r="C3614" t="s">
        <v>110</v>
      </c>
      <c r="D3614" t="s">
        <v>1629</v>
      </c>
      <c r="E3614">
        <v>465.12</v>
      </c>
      <c r="F3614" t="s">
        <v>1578</v>
      </c>
      <c r="G3614" t="s">
        <v>1359</v>
      </c>
    </row>
    <row r="3615" spans="1:7">
      <c r="A3615" t="s">
        <v>5218</v>
      </c>
      <c r="B3615" s="2">
        <v>45871</v>
      </c>
      <c r="C3615" t="s">
        <v>114</v>
      </c>
      <c r="D3615" t="s">
        <v>1629</v>
      </c>
      <c r="E3615">
        <v>460.56</v>
      </c>
      <c r="F3615" t="s">
        <v>1578</v>
      </c>
      <c r="G3615" t="s">
        <v>1359</v>
      </c>
    </row>
    <row r="3616" spans="1:7">
      <c r="A3616" t="s">
        <v>5219</v>
      </c>
      <c r="B3616" s="2">
        <v>45871</v>
      </c>
      <c r="C3616" t="s">
        <v>117</v>
      </c>
      <c r="D3616" t="s">
        <v>1629</v>
      </c>
      <c r="E3616">
        <v>458.28</v>
      </c>
      <c r="F3616" t="s">
        <v>1578</v>
      </c>
      <c r="G3616" t="s">
        <v>1359</v>
      </c>
    </row>
    <row r="3617" spans="1:7">
      <c r="A3617" t="s">
        <v>5220</v>
      </c>
      <c r="B3617" s="2">
        <v>45871</v>
      </c>
      <c r="C3617" t="s">
        <v>119</v>
      </c>
      <c r="D3617" t="s">
        <v>1629</v>
      </c>
      <c r="E3617">
        <v>460.56</v>
      </c>
      <c r="F3617" t="s">
        <v>1578</v>
      </c>
      <c r="G3617" t="s">
        <v>1359</v>
      </c>
    </row>
    <row r="3618" spans="1:7">
      <c r="A3618" t="s">
        <v>5221</v>
      </c>
      <c r="B3618" s="2">
        <v>45871</v>
      </c>
      <c r="C3618" t="s">
        <v>75</v>
      </c>
      <c r="D3618" t="s">
        <v>1629</v>
      </c>
      <c r="E3618">
        <v>464.6</v>
      </c>
      <c r="F3618" t="s">
        <v>1578</v>
      </c>
      <c r="G3618" t="s">
        <v>1360</v>
      </c>
    </row>
    <row r="3619" spans="1:7">
      <c r="A3619" t="s">
        <v>5222</v>
      </c>
      <c r="B3619" s="2">
        <v>45871</v>
      </c>
      <c r="C3619" t="s">
        <v>91</v>
      </c>
      <c r="D3619" t="s">
        <v>1629</v>
      </c>
      <c r="E3619">
        <v>471.5</v>
      </c>
      <c r="F3619" t="s">
        <v>1578</v>
      </c>
      <c r="G3619" t="s">
        <v>1360</v>
      </c>
    </row>
    <row r="3620" spans="1:7">
      <c r="A3620" t="s">
        <v>5223</v>
      </c>
      <c r="B3620" s="2">
        <v>45871</v>
      </c>
      <c r="C3620" t="s">
        <v>93</v>
      </c>
      <c r="D3620" t="s">
        <v>1629</v>
      </c>
      <c r="E3620">
        <v>469.2</v>
      </c>
      <c r="F3620" t="s">
        <v>1578</v>
      </c>
      <c r="G3620" t="s">
        <v>1360</v>
      </c>
    </row>
    <row r="3621" spans="1:7">
      <c r="A3621" t="s">
        <v>5224</v>
      </c>
      <c r="B3621" s="2">
        <v>45871</v>
      </c>
      <c r="C3621" t="s">
        <v>95</v>
      </c>
      <c r="D3621" t="s">
        <v>1629</v>
      </c>
      <c r="E3621">
        <v>466.9</v>
      </c>
      <c r="F3621" t="s">
        <v>1578</v>
      </c>
      <c r="G3621" t="s">
        <v>1360</v>
      </c>
    </row>
    <row r="3622" spans="1:7">
      <c r="A3622" t="s">
        <v>5225</v>
      </c>
      <c r="B3622" s="2">
        <v>45871</v>
      </c>
      <c r="C3622" t="s">
        <v>97</v>
      </c>
      <c r="D3622" t="s">
        <v>1629</v>
      </c>
      <c r="E3622">
        <v>464.6</v>
      </c>
      <c r="F3622" t="s">
        <v>1578</v>
      </c>
      <c r="G3622" t="s">
        <v>1360</v>
      </c>
    </row>
    <row r="3623" spans="1:7">
      <c r="A3623" t="s">
        <v>5226</v>
      </c>
      <c r="B3623" s="2">
        <v>45871</v>
      </c>
      <c r="C3623" t="s">
        <v>99</v>
      </c>
      <c r="D3623" t="s">
        <v>1629</v>
      </c>
      <c r="E3623">
        <v>568.55999999999995</v>
      </c>
      <c r="F3623" t="s">
        <v>1578</v>
      </c>
      <c r="G3623" t="s">
        <v>1360</v>
      </c>
    </row>
    <row r="3624" spans="1:7">
      <c r="A3624" t="s">
        <v>5227</v>
      </c>
      <c r="B3624" s="2">
        <v>45871</v>
      </c>
      <c r="C3624" t="s">
        <v>102</v>
      </c>
      <c r="D3624" t="s">
        <v>1629</v>
      </c>
      <c r="E3624">
        <v>469.2</v>
      </c>
      <c r="F3624" t="s">
        <v>1578</v>
      </c>
      <c r="G3624" t="s">
        <v>1360</v>
      </c>
    </row>
    <row r="3625" spans="1:7">
      <c r="A3625" t="s">
        <v>5228</v>
      </c>
      <c r="B3625" s="2">
        <v>45871</v>
      </c>
      <c r="C3625" t="s">
        <v>108</v>
      </c>
      <c r="D3625" t="s">
        <v>1629</v>
      </c>
      <c r="E3625">
        <v>933.8</v>
      </c>
      <c r="F3625" t="s">
        <v>1578</v>
      </c>
      <c r="G3625" t="s">
        <v>1360</v>
      </c>
    </row>
    <row r="3626" spans="1:7">
      <c r="A3626" t="s">
        <v>5229</v>
      </c>
      <c r="B3626" s="2">
        <v>45871</v>
      </c>
      <c r="C3626" t="s">
        <v>110</v>
      </c>
      <c r="D3626" t="s">
        <v>1629</v>
      </c>
      <c r="E3626">
        <v>469.2</v>
      </c>
      <c r="F3626" t="s">
        <v>1578</v>
      </c>
      <c r="G3626" t="s">
        <v>1360</v>
      </c>
    </row>
    <row r="3627" spans="1:7">
      <c r="A3627" t="s">
        <v>5230</v>
      </c>
      <c r="B3627" s="2">
        <v>45871</v>
      </c>
      <c r="C3627" t="s">
        <v>114</v>
      </c>
      <c r="D3627" t="s">
        <v>1629</v>
      </c>
      <c r="E3627">
        <v>464.6</v>
      </c>
      <c r="F3627" t="s">
        <v>1578</v>
      </c>
      <c r="G3627" t="s">
        <v>1360</v>
      </c>
    </row>
    <row r="3628" spans="1:7">
      <c r="A3628" t="s">
        <v>5231</v>
      </c>
      <c r="B3628" s="2">
        <v>45871</v>
      </c>
      <c r="C3628" t="s">
        <v>117</v>
      </c>
      <c r="D3628" t="s">
        <v>1629</v>
      </c>
      <c r="E3628">
        <v>462.3</v>
      </c>
      <c r="F3628" t="s">
        <v>1578</v>
      </c>
      <c r="G3628" t="s">
        <v>1360</v>
      </c>
    </row>
    <row r="3629" spans="1:7">
      <c r="A3629" t="s">
        <v>5232</v>
      </c>
      <c r="B3629" s="2">
        <v>45871</v>
      </c>
      <c r="C3629" t="s">
        <v>119</v>
      </c>
      <c r="D3629" t="s">
        <v>1629</v>
      </c>
      <c r="E3629">
        <v>464.6</v>
      </c>
      <c r="F3629" t="s">
        <v>1578</v>
      </c>
      <c r="G3629" t="s">
        <v>1360</v>
      </c>
    </row>
    <row r="3630" spans="1:7">
      <c r="A3630" t="s">
        <v>5233</v>
      </c>
      <c r="B3630" s="2">
        <v>45871</v>
      </c>
      <c r="C3630" t="s">
        <v>61</v>
      </c>
      <c r="D3630" t="s">
        <v>1629</v>
      </c>
      <c r="E3630">
        <v>389.64</v>
      </c>
      <c r="F3630" t="s">
        <v>1578</v>
      </c>
      <c r="G3630" t="s">
        <v>1361</v>
      </c>
    </row>
    <row r="3631" spans="1:7">
      <c r="A3631" t="s">
        <v>5234</v>
      </c>
      <c r="B3631" s="2">
        <v>45871</v>
      </c>
      <c r="C3631" t="s">
        <v>65</v>
      </c>
      <c r="D3631" t="s">
        <v>1629</v>
      </c>
      <c r="E3631">
        <v>387.73</v>
      </c>
      <c r="F3631" t="s">
        <v>1578</v>
      </c>
      <c r="G3631" t="s">
        <v>1361</v>
      </c>
    </row>
    <row r="3632" spans="1:7">
      <c r="A3632" t="s">
        <v>5235</v>
      </c>
      <c r="B3632" s="2">
        <v>45871</v>
      </c>
      <c r="C3632" t="s">
        <v>68</v>
      </c>
      <c r="D3632" t="s">
        <v>1629</v>
      </c>
      <c r="E3632">
        <v>389.64</v>
      </c>
      <c r="F3632" t="s">
        <v>1578</v>
      </c>
      <c r="G3632" t="s">
        <v>1361</v>
      </c>
    </row>
    <row r="3633" spans="1:7">
      <c r="A3633" t="s">
        <v>5236</v>
      </c>
      <c r="B3633" s="2">
        <v>45871</v>
      </c>
      <c r="C3633" t="s">
        <v>75</v>
      </c>
      <c r="D3633" t="s">
        <v>1629</v>
      </c>
      <c r="E3633">
        <v>385.82</v>
      </c>
      <c r="F3633" t="s">
        <v>1578</v>
      </c>
      <c r="G3633" t="s">
        <v>1361</v>
      </c>
    </row>
    <row r="3634" spans="1:7">
      <c r="A3634" t="s">
        <v>5237</v>
      </c>
      <c r="B3634" s="2">
        <v>45871</v>
      </c>
      <c r="C3634" t="s">
        <v>79</v>
      </c>
      <c r="D3634" t="s">
        <v>1629</v>
      </c>
      <c r="E3634">
        <v>389.64</v>
      </c>
      <c r="F3634" t="s">
        <v>1578</v>
      </c>
      <c r="G3634" t="s">
        <v>1361</v>
      </c>
    </row>
    <row r="3635" spans="1:7">
      <c r="A3635" t="s">
        <v>5238</v>
      </c>
      <c r="B3635" s="2">
        <v>45871</v>
      </c>
      <c r="C3635" t="s">
        <v>81</v>
      </c>
      <c r="D3635" t="s">
        <v>1629</v>
      </c>
      <c r="E3635">
        <v>771.64</v>
      </c>
      <c r="F3635" t="s">
        <v>1578</v>
      </c>
      <c r="G3635" t="s">
        <v>1361</v>
      </c>
    </row>
    <row r="3636" spans="1:7">
      <c r="A3636" t="s">
        <v>5239</v>
      </c>
      <c r="B3636" s="2">
        <v>45871</v>
      </c>
      <c r="C3636" t="s">
        <v>97</v>
      </c>
      <c r="D3636" t="s">
        <v>1629</v>
      </c>
      <c r="E3636">
        <v>389.64</v>
      </c>
      <c r="F3636" t="s">
        <v>1578</v>
      </c>
      <c r="G3636" t="s">
        <v>1361</v>
      </c>
    </row>
    <row r="3637" spans="1:7">
      <c r="A3637" t="s">
        <v>5240</v>
      </c>
      <c r="B3637" s="2">
        <v>45871</v>
      </c>
      <c r="C3637" t="s">
        <v>110</v>
      </c>
      <c r="D3637" t="s">
        <v>1629</v>
      </c>
      <c r="E3637">
        <v>389.64</v>
      </c>
      <c r="F3637" t="s">
        <v>1578</v>
      </c>
      <c r="G3637" t="s">
        <v>1361</v>
      </c>
    </row>
    <row r="3638" spans="1:7">
      <c r="A3638" t="s">
        <v>5241</v>
      </c>
      <c r="B3638" s="2">
        <v>45871</v>
      </c>
      <c r="C3638" t="s">
        <v>114</v>
      </c>
      <c r="D3638" t="s">
        <v>1629</v>
      </c>
      <c r="E3638">
        <v>385.82</v>
      </c>
      <c r="F3638" t="s">
        <v>1578</v>
      </c>
      <c r="G3638" t="s">
        <v>1361</v>
      </c>
    </row>
    <row r="3639" spans="1:7">
      <c r="A3639" t="s">
        <v>5242</v>
      </c>
      <c r="B3639" s="2">
        <v>45871</v>
      </c>
      <c r="C3639" t="s">
        <v>117</v>
      </c>
      <c r="D3639" t="s">
        <v>1629</v>
      </c>
      <c r="E3639">
        <v>383.91</v>
      </c>
      <c r="F3639" t="s">
        <v>1578</v>
      </c>
      <c r="G3639" t="s">
        <v>1361</v>
      </c>
    </row>
    <row r="3640" spans="1:7">
      <c r="A3640" t="s">
        <v>5243</v>
      </c>
      <c r="B3640" s="2">
        <v>45871</v>
      </c>
      <c r="C3640" t="s">
        <v>119</v>
      </c>
      <c r="D3640" t="s">
        <v>1629</v>
      </c>
      <c r="E3640">
        <v>385.82</v>
      </c>
      <c r="F3640" t="s">
        <v>1578</v>
      </c>
      <c r="G3640" t="s">
        <v>1361</v>
      </c>
    </row>
    <row r="3641" spans="1:7">
      <c r="A3641" t="s">
        <v>5244</v>
      </c>
      <c r="B3641" s="2">
        <v>45872</v>
      </c>
      <c r="C3641" t="s">
        <v>75</v>
      </c>
      <c r="D3641" t="s">
        <v>1629</v>
      </c>
      <c r="E3641">
        <v>242.4</v>
      </c>
      <c r="F3641" t="s">
        <v>1578</v>
      </c>
      <c r="G3641" t="s">
        <v>1362</v>
      </c>
    </row>
    <row r="3642" spans="1:7">
      <c r="A3642" t="s">
        <v>5245</v>
      </c>
      <c r="B3642" s="2">
        <v>45872</v>
      </c>
      <c r="C3642" t="s">
        <v>104</v>
      </c>
      <c r="D3642" t="s">
        <v>1629</v>
      </c>
      <c r="E3642">
        <v>494.4</v>
      </c>
      <c r="F3642" t="s">
        <v>1578</v>
      </c>
      <c r="G3642" t="s">
        <v>1362</v>
      </c>
    </row>
    <row r="3643" spans="1:7">
      <c r="A3643" t="s">
        <v>5246</v>
      </c>
      <c r="B3643" s="2">
        <v>45872</v>
      </c>
      <c r="C3643" t="s">
        <v>108</v>
      </c>
      <c r="D3643" t="s">
        <v>1629</v>
      </c>
      <c r="E3643">
        <v>487.2</v>
      </c>
      <c r="F3643" t="s">
        <v>1578</v>
      </c>
      <c r="G3643" t="s">
        <v>1362</v>
      </c>
    </row>
    <row r="3644" spans="1:7">
      <c r="A3644" t="s">
        <v>5247</v>
      </c>
      <c r="B3644" s="2">
        <v>45872</v>
      </c>
      <c r="C3644" t="s">
        <v>110</v>
      </c>
      <c r="D3644" t="s">
        <v>1629</v>
      </c>
      <c r="E3644">
        <v>244.8</v>
      </c>
      <c r="F3644" t="s">
        <v>1578</v>
      </c>
      <c r="G3644" t="s">
        <v>1362</v>
      </c>
    </row>
    <row r="3645" spans="1:7">
      <c r="A3645" t="s">
        <v>5248</v>
      </c>
      <c r="B3645" s="2">
        <v>45872</v>
      </c>
      <c r="C3645" t="s">
        <v>114</v>
      </c>
      <c r="D3645" t="s">
        <v>1629</v>
      </c>
      <c r="E3645">
        <v>242.4</v>
      </c>
      <c r="F3645" t="s">
        <v>1578</v>
      </c>
      <c r="G3645" t="s">
        <v>1362</v>
      </c>
    </row>
    <row r="3646" spans="1:7">
      <c r="A3646" t="s">
        <v>5249</v>
      </c>
      <c r="B3646" s="2">
        <v>45872</v>
      </c>
      <c r="C3646" t="s">
        <v>117</v>
      </c>
      <c r="D3646" t="s">
        <v>1629</v>
      </c>
      <c r="E3646">
        <v>241.2</v>
      </c>
      <c r="F3646" t="s">
        <v>1578</v>
      </c>
      <c r="G3646" t="s">
        <v>1362</v>
      </c>
    </row>
    <row r="3647" spans="1:7">
      <c r="A3647" t="s">
        <v>5250</v>
      </c>
      <c r="B3647" s="2">
        <v>45872</v>
      </c>
      <c r="C3647" t="s">
        <v>119</v>
      </c>
      <c r="D3647" t="s">
        <v>1629</v>
      </c>
      <c r="E3647">
        <v>242.4</v>
      </c>
      <c r="F3647" t="s">
        <v>1578</v>
      </c>
      <c r="G3647" t="s">
        <v>1362</v>
      </c>
    </row>
    <row r="3648" spans="1:7">
      <c r="A3648" t="s">
        <v>5251</v>
      </c>
      <c r="B3648" s="2">
        <v>45872</v>
      </c>
      <c r="C3648" t="s">
        <v>68</v>
      </c>
      <c r="D3648" t="s">
        <v>1683</v>
      </c>
      <c r="E3648">
        <v>260</v>
      </c>
      <c r="F3648" t="s">
        <v>1578</v>
      </c>
      <c r="G3648" t="s">
        <v>766</v>
      </c>
    </row>
    <row r="3649" spans="1:7">
      <c r="A3649" t="s">
        <v>5252</v>
      </c>
      <c r="B3649" s="2">
        <v>45872</v>
      </c>
      <c r="C3649" t="s">
        <v>95</v>
      </c>
      <c r="D3649" t="s">
        <v>1683</v>
      </c>
      <c r="E3649">
        <v>135</v>
      </c>
      <c r="F3649" t="s">
        <v>1578</v>
      </c>
      <c r="G3649" t="s">
        <v>767</v>
      </c>
    </row>
    <row r="3650" spans="1:7">
      <c r="A3650" t="s">
        <v>5253</v>
      </c>
      <c r="B3650" s="2">
        <v>45872</v>
      </c>
      <c r="C3650" t="s">
        <v>114</v>
      </c>
      <c r="D3650" t="s">
        <v>1683</v>
      </c>
      <c r="E3650">
        <v>272</v>
      </c>
      <c r="F3650" t="s">
        <v>1578</v>
      </c>
      <c r="G3650" t="s">
        <v>768</v>
      </c>
    </row>
    <row r="3651" spans="1:7">
      <c r="A3651" t="s">
        <v>5254</v>
      </c>
      <c r="B3651" s="2">
        <v>45873</v>
      </c>
      <c r="C3651" t="s">
        <v>99</v>
      </c>
      <c r="D3651" t="s">
        <v>1683</v>
      </c>
      <c r="E3651">
        <v>215</v>
      </c>
      <c r="F3651" t="s">
        <v>1578</v>
      </c>
      <c r="G3651" t="s">
        <v>769</v>
      </c>
    </row>
    <row r="3652" spans="1:7">
      <c r="A3652" t="s">
        <v>5255</v>
      </c>
      <c r="B3652" s="2">
        <v>45873</v>
      </c>
      <c r="C3652" t="s">
        <v>79</v>
      </c>
      <c r="D3652" t="s">
        <v>1683</v>
      </c>
      <c r="E3652">
        <v>450</v>
      </c>
      <c r="F3652" t="s">
        <v>1578</v>
      </c>
      <c r="G3652" t="s">
        <v>770</v>
      </c>
    </row>
    <row r="3653" spans="1:7">
      <c r="A3653" t="s">
        <v>5256</v>
      </c>
      <c r="B3653" s="2">
        <v>45873</v>
      </c>
      <c r="C3653" t="s">
        <v>99</v>
      </c>
      <c r="D3653" t="s">
        <v>1683</v>
      </c>
      <c r="E3653">
        <v>291</v>
      </c>
      <c r="F3653" t="s">
        <v>1578</v>
      </c>
      <c r="G3653" t="s">
        <v>771</v>
      </c>
    </row>
    <row r="3654" spans="1:7">
      <c r="A3654" t="s">
        <v>5257</v>
      </c>
      <c r="B3654" s="2">
        <v>45874</v>
      </c>
      <c r="C3654" t="s">
        <v>61</v>
      </c>
      <c r="D3654" t="s">
        <v>1629</v>
      </c>
      <c r="E3654">
        <v>207.06</v>
      </c>
      <c r="F3654" t="s">
        <v>1578</v>
      </c>
      <c r="G3654" t="s">
        <v>1363</v>
      </c>
    </row>
    <row r="3655" spans="1:7">
      <c r="A3655" t="s">
        <v>5258</v>
      </c>
      <c r="B3655" s="2">
        <v>45874</v>
      </c>
      <c r="C3655" t="s">
        <v>65</v>
      </c>
      <c r="D3655" t="s">
        <v>1629</v>
      </c>
      <c r="E3655">
        <v>206.04</v>
      </c>
      <c r="F3655" t="s">
        <v>1578</v>
      </c>
      <c r="G3655" t="s">
        <v>1363</v>
      </c>
    </row>
    <row r="3656" spans="1:7">
      <c r="A3656" t="s">
        <v>5259</v>
      </c>
      <c r="B3656" s="2">
        <v>45874</v>
      </c>
      <c r="C3656" t="s">
        <v>68</v>
      </c>
      <c r="D3656" t="s">
        <v>1629</v>
      </c>
      <c r="E3656">
        <v>207.06</v>
      </c>
      <c r="F3656" t="s">
        <v>1578</v>
      </c>
      <c r="G3656" t="s">
        <v>1363</v>
      </c>
    </row>
    <row r="3657" spans="1:7">
      <c r="A3657" t="s">
        <v>5260</v>
      </c>
      <c r="B3657" s="2">
        <v>45874</v>
      </c>
      <c r="C3657" t="s">
        <v>70</v>
      </c>
      <c r="D3657" t="s">
        <v>1629</v>
      </c>
      <c r="E3657">
        <v>205.03</v>
      </c>
      <c r="F3657" t="s">
        <v>1578</v>
      </c>
      <c r="G3657" t="s">
        <v>1363</v>
      </c>
    </row>
    <row r="3658" spans="1:7">
      <c r="A3658" t="s">
        <v>5261</v>
      </c>
      <c r="B3658" s="2">
        <v>45874</v>
      </c>
      <c r="C3658" t="s">
        <v>75</v>
      </c>
      <c r="D3658" t="s">
        <v>1629</v>
      </c>
      <c r="E3658">
        <v>205.03</v>
      </c>
      <c r="F3658" t="s">
        <v>1578</v>
      </c>
      <c r="G3658" t="s">
        <v>1363</v>
      </c>
    </row>
    <row r="3659" spans="1:7">
      <c r="A3659" t="s">
        <v>5262</v>
      </c>
      <c r="B3659" s="2">
        <v>45874</v>
      </c>
      <c r="C3659" t="s">
        <v>77</v>
      </c>
      <c r="D3659" t="s">
        <v>1629</v>
      </c>
      <c r="E3659">
        <v>205.03</v>
      </c>
      <c r="F3659" t="s">
        <v>1578</v>
      </c>
      <c r="G3659" t="s">
        <v>1363</v>
      </c>
    </row>
    <row r="3660" spans="1:7">
      <c r="A3660" t="s">
        <v>5263</v>
      </c>
      <c r="B3660" s="2">
        <v>45874</v>
      </c>
      <c r="C3660" t="s">
        <v>79</v>
      </c>
      <c r="D3660" t="s">
        <v>1629</v>
      </c>
      <c r="E3660">
        <v>207.06</v>
      </c>
      <c r="F3660" t="s">
        <v>1578</v>
      </c>
      <c r="G3660" t="s">
        <v>1363</v>
      </c>
    </row>
    <row r="3661" spans="1:7">
      <c r="A3661" t="s">
        <v>5264</v>
      </c>
      <c r="B3661" s="2">
        <v>45874</v>
      </c>
      <c r="C3661" t="s">
        <v>81</v>
      </c>
      <c r="D3661" t="s">
        <v>1629</v>
      </c>
      <c r="E3661">
        <v>410.06</v>
      </c>
      <c r="F3661" t="s">
        <v>1578</v>
      </c>
      <c r="G3661" t="s">
        <v>1363</v>
      </c>
    </row>
    <row r="3662" spans="1:7">
      <c r="A3662" t="s">
        <v>5265</v>
      </c>
      <c r="B3662" s="2">
        <v>45874</v>
      </c>
      <c r="C3662" t="s">
        <v>108</v>
      </c>
      <c r="D3662" t="s">
        <v>1629</v>
      </c>
      <c r="E3662">
        <v>412.09</v>
      </c>
      <c r="F3662" t="s">
        <v>1578</v>
      </c>
      <c r="G3662" t="s">
        <v>1363</v>
      </c>
    </row>
    <row r="3663" spans="1:7">
      <c r="A3663" t="s">
        <v>5266</v>
      </c>
      <c r="B3663" s="2">
        <v>45874</v>
      </c>
      <c r="C3663" t="s">
        <v>110</v>
      </c>
      <c r="D3663" t="s">
        <v>1629</v>
      </c>
      <c r="E3663">
        <v>207.06</v>
      </c>
      <c r="F3663" t="s">
        <v>1578</v>
      </c>
      <c r="G3663" t="s">
        <v>1363</v>
      </c>
    </row>
    <row r="3664" spans="1:7">
      <c r="A3664" t="s">
        <v>5267</v>
      </c>
      <c r="B3664" s="2">
        <v>45874</v>
      </c>
      <c r="C3664" t="s">
        <v>114</v>
      </c>
      <c r="D3664" t="s">
        <v>1629</v>
      </c>
      <c r="E3664">
        <v>205.03</v>
      </c>
      <c r="F3664" t="s">
        <v>1578</v>
      </c>
      <c r="G3664" t="s">
        <v>1363</v>
      </c>
    </row>
    <row r="3665" spans="1:7">
      <c r="A3665" t="s">
        <v>5268</v>
      </c>
      <c r="B3665" s="2">
        <v>45874</v>
      </c>
      <c r="C3665" t="s">
        <v>117</v>
      </c>
      <c r="D3665" t="s">
        <v>1629</v>
      </c>
      <c r="E3665">
        <v>204.02</v>
      </c>
      <c r="F3665" t="s">
        <v>1578</v>
      </c>
      <c r="G3665" t="s">
        <v>1363</v>
      </c>
    </row>
    <row r="3666" spans="1:7">
      <c r="A3666" t="s">
        <v>5269</v>
      </c>
      <c r="B3666" s="2">
        <v>45874</v>
      </c>
      <c r="C3666" t="s">
        <v>119</v>
      </c>
      <c r="D3666" t="s">
        <v>1629</v>
      </c>
      <c r="E3666">
        <v>205.03</v>
      </c>
      <c r="F3666" t="s">
        <v>1578</v>
      </c>
      <c r="G3666" t="s">
        <v>1363</v>
      </c>
    </row>
    <row r="3667" spans="1:7">
      <c r="A3667" t="s">
        <v>5270</v>
      </c>
      <c r="B3667" s="2">
        <v>45874</v>
      </c>
      <c r="C3667" t="s">
        <v>87</v>
      </c>
      <c r="D3667" t="s">
        <v>1683</v>
      </c>
      <c r="E3667">
        <v>136</v>
      </c>
      <c r="F3667" t="s">
        <v>1578</v>
      </c>
      <c r="G3667" t="s">
        <v>772</v>
      </c>
    </row>
    <row r="3668" spans="1:7">
      <c r="A3668" t="s">
        <v>5271</v>
      </c>
      <c r="B3668" s="2">
        <v>45874</v>
      </c>
      <c r="C3668" t="s">
        <v>95</v>
      </c>
      <c r="D3668" t="s">
        <v>1683</v>
      </c>
      <c r="E3668">
        <v>167</v>
      </c>
      <c r="F3668" t="s">
        <v>1578</v>
      </c>
      <c r="G3668" t="s">
        <v>773</v>
      </c>
    </row>
    <row r="3669" spans="1:7">
      <c r="A3669" t="s">
        <v>5272</v>
      </c>
      <c r="B3669" s="2">
        <v>45874</v>
      </c>
      <c r="C3669" t="s">
        <v>95</v>
      </c>
      <c r="D3669" t="s">
        <v>1683</v>
      </c>
      <c r="E3669">
        <v>105</v>
      </c>
      <c r="F3669" t="s">
        <v>1578</v>
      </c>
      <c r="G3669" t="s">
        <v>774</v>
      </c>
    </row>
    <row r="3670" spans="1:7">
      <c r="A3670" t="s">
        <v>5273</v>
      </c>
      <c r="B3670" s="2">
        <v>45875</v>
      </c>
      <c r="C3670" t="s">
        <v>87</v>
      </c>
      <c r="D3670" t="s">
        <v>1683</v>
      </c>
      <c r="E3670">
        <v>209</v>
      </c>
      <c r="F3670" t="s">
        <v>1578</v>
      </c>
      <c r="G3670" t="s">
        <v>775</v>
      </c>
    </row>
    <row r="3671" spans="1:7">
      <c r="A3671" t="s">
        <v>5274</v>
      </c>
      <c r="B3671" s="2">
        <v>45876</v>
      </c>
      <c r="C3671" t="s">
        <v>61</v>
      </c>
      <c r="D3671" t="s">
        <v>1629</v>
      </c>
      <c r="E3671">
        <v>185.64</v>
      </c>
      <c r="F3671" t="s">
        <v>1578</v>
      </c>
      <c r="G3671" t="s">
        <v>1364</v>
      </c>
    </row>
    <row r="3672" spans="1:7">
      <c r="A3672" t="s">
        <v>5275</v>
      </c>
      <c r="B3672" s="2">
        <v>45876</v>
      </c>
      <c r="C3672" t="s">
        <v>65</v>
      </c>
      <c r="D3672" t="s">
        <v>1629</v>
      </c>
      <c r="E3672">
        <v>184.73</v>
      </c>
      <c r="F3672" t="s">
        <v>1578</v>
      </c>
      <c r="G3672" t="s">
        <v>1364</v>
      </c>
    </row>
    <row r="3673" spans="1:7">
      <c r="A3673" t="s">
        <v>5276</v>
      </c>
      <c r="B3673" s="2">
        <v>45876</v>
      </c>
      <c r="C3673" t="s">
        <v>68</v>
      </c>
      <c r="D3673" t="s">
        <v>1629</v>
      </c>
      <c r="E3673">
        <v>185.64</v>
      </c>
      <c r="F3673" t="s">
        <v>1578</v>
      </c>
      <c r="G3673" t="s">
        <v>1364</v>
      </c>
    </row>
    <row r="3674" spans="1:7">
      <c r="A3674" t="s">
        <v>5277</v>
      </c>
      <c r="B3674" s="2">
        <v>45876</v>
      </c>
      <c r="C3674" t="s">
        <v>70</v>
      </c>
      <c r="D3674" t="s">
        <v>1629</v>
      </c>
      <c r="E3674">
        <v>183.82</v>
      </c>
      <c r="F3674" t="s">
        <v>1578</v>
      </c>
      <c r="G3674" t="s">
        <v>1364</v>
      </c>
    </row>
    <row r="3675" spans="1:7">
      <c r="A3675" t="s">
        <v>5278</v>
      </c>
      <c r="B3675" s="2">
        <v>45876</v>
      </c>
      <c r="C3675" t="s">
        <v>75</v>
      </c>
      <c r="D3675" t="s">
        <v>1629</v>
      </c>
      <c r="E3675">
        <v>183.82</v>
      </c>
      <c r="F3675" t="s">
        <v>1578</v>
      </c>
      <c r="G3675" t="s">
        <v>1364</v>
      </c>
    </row>
    <row r="3676" spans="1:7">
      <c r="A3676" t="s">
        <v>5279</v>
      </c>
      <c r="B3676" s="2">
        <v>45876</v>
      </c>
      <c r="C3676" t="s">
        <v>77</v>
      </c>
      <c r="D3676" t="s">
        <v>1629</v>
      </c>
      <c r="E3676">
        <v>183.82</v>
      </c>
      <c r="F3676" t="s">
        <v>1578</v>
      </c>
      <c r="G3676" t="s">
        <v>1364</v>
      </c>
    </row>
    <row r="3677" spans="1:7">
      <c r="A3677" t="s">
        <v>5280</v>
      </c>
      <c r="B3677" s="2">
        <v>45876</v>
      </c>
      <c r="C3677" t="s">
        <v>79</v>
      </c>
      <c r="D3677" t="s">
        <v>1629</v>
      </c>
      <c r="E3677">
        <v>185.64</v>
      </c>
      <c r="F3677" t="s">
        <v>1578</v>
      </c>
      <c r="G3677" t="s">
        <v>1364</v>
      </c>
    </row>
    <row r="3678" spans="1:7">
      <c r="A3678" t="s">
        <v>5281</v>
      </c>
      <c r="B3678" s="2">
        <v>45876</v>
      </c>
      <c r="C3678" t="s">
        <v>81</v>
      </c>
      <c r="D3678" t="s">
        <v>1629</v>
      </c>
      <c r="E3678">
        <v>367.64</v>
      </c>
      <c r="F3678" t="s">
        <v>1578</v>
      </c>
      <c r="G3678" t="s">
        <v>1364</v>
      </c>
    </row>
    <row r="3679" spans="1:7">
      <c r="A3679" t="s">
        <v>5282</v>
      </c>
      <c r="B3679" s="2">
        <v>45876</v>
      </c>
      <c r="C3679" t="s">
        <v>108</v>
      </c>
      <c r="D3679" t="s">
        <v>1629</v>
      </c>
      <c r="E3679">
        <v>369.46</v>
      </c>
      <c r="F3679" t="s">
        <v>1578</v>
      </c>
      <c r="G3679" t="s">
        <v>1364</v>
      </c>
    </row>
    <row r="3680" spans="1:7">
      <c r="A3680" t="s">
        <v>5283</v>
      </c>
      <c r="B3680" s="2">
        <v>45876</v>
      </c>
      <c r="C3680" t="s">
        <v>110</v>
      </c>
      <c r="D3680" t="s">
        <v>1629</v>
      </c>
      <c r="E3680">
        <v>185.64</v>
      </c>
      <c r="F3680" t="s">
        <v>1578</v>
      </c>
      <c r="G3680" t="s">
        <v>1364</v>
      </c>
    </row>
    <row r="3681" spans="1:7">
      <c r="A3681" t="s">
        <v>5284</v>
      </c>
      <c r="B3681" s="2">
        <v>45876</v>
      </c>
      <c r="C3681" t="s">
        <v>114</v>
      </c>
      <c r="D3681" t="s">
        <v>1629</v>
      </c>
      <c r="E3681">
        <v>183.82</v>
      </c>
      <c r="F3681" t="s">
        <v>1578</v>
      </c>
      <c r="G3681" t="s">
        <v>1364</v>
      </c>
    </row>
    <row r="3682" spans="1:7">
      <c r="A3682" t="s">
        <v>5285</v>
      </c>
      <c r="B3682" s="2">
        <v>45876</v>
      </c>
      <c r="C3682" t="s">
        <v>117</v>
      </c>
      <c r="D3682" t="s">
        <v>1629</v>
      </c>
      <c r="E3682">
        <v>182.91</v>
      </c>
      <c r="F3682" t="s">
        <v>1578</v>
      </c>
      <c r="G3682" t="s">
        <v>1364</v>
      </c>
    </row>
    <row r="3683" spans="1:7">
      <c r="A3683" t="s">
        <v>5286</v>
      </c>
      <c r="B3683" s="2">
        <v>45876</v>
      </c>
      <c r="C3683" t="s">
        <v>119</v>
      </c>
      <c r="D3683" t="s">
        <v>1629</v>
      </c>
      <c r="E3683">
        <v>183.82</v>
      </c>
      <c r="F3683" t="s">
        <v>1578</v>
      </c>
      <c r="G3683" t="s">
        <v>1364</v>
      </c>
    </row>
    <row r="3684" spans="1:7">
      <c r="A3684" t="s">
        <v>5287</v>
      </c>
      <c r="B3684" s="2">
        <v>45876</v>
      </c>
      <c r="C3684" t="s">
        <v>61</v>
      </c>
      <c r="D3684" t="s">
        <v>1629</v>
      </c>
      <c r="E3684">
        <v>322.32</v>
      </c>
      <c r="F3684" t="s">
        <v>1578</v>
      </c>
      <c r="G3684" t="s">
        <v>1365</v>
      </c>
    </row>
    <row r="3685" spans="1:7">
      <c r="A3685" t="s">
        <v>5288</v>
      </c>
      <c r="B3685" s="2">
        <v>45876</v>
      </c>
      <c r="C3685" t="s">
        <v>65</v>
      </c>
      <c r="D3685" t="s">
        <v>1629</v>
      </c>
      <c r="E3685">
        <v>320.74</v>
      </c>
      <c r="F3685" t="s">
        <v>1578</v>
      </c>
      <c r="G3685" t="s">
        <v>1365</v>
      </c>
    </row>
    <row r="3686" spans="1:7">
      <c r="A3686" t="s">
        <v>5289</v>
      </c>
      <c r="B3686" s="2">
        <v>45876</v>
      </c>
      <c r="C3686" t="s">
        <v>68</v>
      </c>
      <c r="D3686" t="s">
        <v>1629</v>
      </c>
      <c r="E3686">
        <v>322.32</v>
      </c>
      <c r="F3686" t="s">
        <v>1578</v>
      </c>
      <c r="G3686" t="s">
        <v>1365</v>
      </c>
    </row>
    <row r="3687" spans="1:7">
      <c r="A3687" t="s">
        <v>5290</v>
      </c>
      <c r="B3687" s="2">
        <v>45876</v>
      </c>
      <c r="C3687" t="s">
        <v>75</v>
      </c>
      <c r="D3687" t="s">
        <v>1629</v>
      </c>
      <c r="E3687">
        <v>319.16000000000003</v>
      </c>
      <c r="F3687" t="s">
        <v>1578</v>
      </c>
      <c r="G3687" t="s">
        <v>1365</v>
      </c>
    </row>
    <row r="3688" spans="1:7">
      <c r="A3688" t="s">
        <v>5291</v>
      </c>
      <c r="B3688" s="2">
        <v>45876</v>
      </c>
      <c r="C3688" t="s">
        <v>79</v>
      </c>
      <c r="D3688" t="s">
        <v>1629</v>
      </c>
      <c r="E3688">
        <v>322.32</v>
      </c>
      <c r="F3688" t="s">
        <v>1578</v>
      </c>
      <c r="G3688" t="s">
        <v>1365</v>
      </c>
    </row>
    <row r="3689" spans="1:7">
      <c r="A3689" t="s">
        <v>5292</v>
      </c>
      <c r="B3689" s="2">
        <v>45876</v>
      </c>
      <c r="C3689" t="s">
        <v>81</v>
      </c>
      <c r="D3689" t="s">
        <v>1629</v>
      </c>
      <c r="E3689">
        <v>638.32000000000005</v>
      </c>
      <c r="F3689" t="s">
        <v>1578</v>
      </c>
      <c r="G3689" t="s">
        <v>1365</v>
      </c>
    </row>
    <row r="3690" spans="1:7">
      <c r="A3690" t="s">
        <v>5293</v>
      </c>
      <c r="B3690" s="2">
        <v>45876</v>
      </c>
      <c r="C3690" t="s">
        <v>110</v>
      </c>
      <c r="D3690" t="s">
        <v>1629</v>
      </c>
      <c r="E3690">
        <v>322.32</v>
      </c>
      <c r="F3690" t="s">
        <v>1578</v>
      </c>
      <c r="G3690" t="s">
        <v>1365</v>
      </c>
    </row>
    <row r="3691" spans="1:7">
      <c r="A3691" t="s">
        <v>5294</v>
      </c>
      <c r="B3691" s="2">
        <v>45876</v>
      </c>
      <c r="C3691" t="s">
        <v>114</v>
      </c>
      <c r="D3691" t="s">
        <v>1629</v>
      </c>
      <c r="E3691">
        <v>319.16000000000003</v>
      </c>
      <c r="F3691" t="s">
        <v>1578</v>
      </c>
      <c r="G3691" t="s">
        <v>1365</v>
      </c>
    </row>
    <row r="3692" spans="1:7">
      <c r="A3692" t="s">
        <v>5295</v>
      </c>
      <c r="B3692" s="2">
        <v>45876</v>
      </c>
      <c r="C3692" t="s">
        <v>117</v>
      </c>
      <c r="D3692" t="s">
        <v>1629</v>
      </c>
      <c r="E3692">
        <v>317.58</v>
      </c>
      <c r="F3692" t="s">
        <v>1578</v>
      </c>
      <c r="G3692" t="s">
        <v>1365</v>
      </c>
    </row>
    <row r="3693" spans="1:7">
      <c r="A3693" t="s">
        <v>5296</v>
      </c>
      <c r="B3693" s="2">
        <v>45876</v>
      </c>
      <c r="C3693" t="s">
        <v>119</v>
      </c>
      <c r="D3693" t="s">
        <v>1629</v>
      </c>
      <c r="E3693">
        <v>319.16000000000003</v>
      </c>
      <c r="F3693" t="s">
        <v>1578</v>
      </c>
      <c r="G3693" t="s">
        <v>1365</v>
      </c>
    </row>
    <row r="3694" spans="1:7">
      <c r="A3694" t="s">
        <v>5297</v>
      </c>
      <c r="B3694" s="2">
        <v>45876</v>
      </c>
      <c r="C3694" t="s">
        <v>79</v>
      </c>
      <c r="D3694" t="s">
        <v>1683</v>
      </c>
      <c r="E3694">
        <v>416</v>
      </c>
      <c r="F3694" t="s">
        <v>1578</v>
      </c>
      <c r="G3694" t="s">
        <v>776</v>
      </c>
    </row>
    <row r="3695" spans="1:7">
      <c r="A3695" t="s">
        <v>5298</v>
      </c>
      <c r="B3695" s="2">
        <v>45876</v>
      </c>
      <c r="C3695" t="s">
        <v>84</v>
      </c>
      <c r="D3695" t="s">
        <v>1683</v>
      </c>
      <c r="E3695">
        <v>395</v>
      </c>
      <c r="F3695" t="s">
        <v>1578</v>
      </c>
      <c r="G3695" t="s">
        <v>777</v>
      </c>
    </row>
    <row r="3696" spans="1:7">
      <c r="A3696" t="s">
        <v>5299</v>
      </c>
      <c r="B3696" s="2">
        <v>45877</v>
      </c>
      <c r="C3696" t="s">
        <v>61</v>
      </c>
      <c r="D3696" t="s">
        <v>1629</v>
      </c>
      <c r="E3696">
        <v>324.36</v>
      </c>
      <c r="F3696" t="s">
        <v>1578</v>
      </c>
      <c r="G3696" t="s">
        <v>1366</v>
      </c>
    </row>
    <row r="3697" spans="1:7">
      <c r="A3697" t="s">
        <v>5300</v>
      </c>
      <c r="B3697" s="2">
        <v>45877</v>
      </c>
      <c r="C3697" t="s">
        <v>65</v>
      </c>
      <c r="D3697" t="s">
        <v>1629</v>
      </c>
      <c r="E3697">
        <v>322.77</v>
      </c>
      <c r="F3697" t="s">
        <v>1578</v>
      </c>
      <c r="G3697" t="s">
        <v>1366</v>
      </c>
    </row>
    <row r="3698" spans="1:7">
      <c r="A3698" t="s">
        <v>5301</v>
      </c>
      <c r="B3698" s="2">
        <v>45877</v>
      </c>
      <c r="C3698" t="s">
        <v>68</v>
      </c>
      <c r="D3698" t="s">
        <v>1629</v>
      </c>
      <c r="E3698">
        <v>324.36</v>
      </c>
      <c r="F3698" t="s">
        <v>1578</v>
      </c>
      <c r="G3698" t="s">
        <v>1366</v>
      </c>
    </row>
    <row r="3699" spans="1:7">
      <c r="A3699" t="s">
        <v>5302</v>
      </c>
      <c r="B3699" s="2">
        <v>45877</v>
      </c>
      <c r="C3699" t="s">
        <v>75</v>
      </c>
      <c r="D3699" t="s">
        <v>1629</v>
      </c>
      <c r="E3699">
        <v>321.18</v>
      </c>
      <c r="F3699" t="s">
        <v>1578</v>
      </c>
      <c r="G3699" t="s">
        <v>1366</v>
      </c>
    </row>
    <row r="3700" spans="1:7">
      <c r="A3700" t="s">
        <v>5303</v>
      </c>
      <c r="B3700" s="2">
        <v>45877</v>
      </c>
      <c r="C3700" t="s">
        <v>79</v>
      </c>
      <c r="D3700" t="s">
        <v>1629</v>
      </c>
      <c r="E3700">
        <v>324.36</v>
      </c>
      <c r="F3700" t="s">
        <v>1578</v>
      </c>
      <c r="G3700" t="s">
        <v>1366</v>
      </c>
    </row>
    <row r="3701" spans="1:7">
      <c r="A3701" t="s">
        <v>5304</v>
      </c>
      <c r="B3701" s="2">
        <v>45877</v>
      </c>
      <c r="C3701" t="s">
        <v>81</v>
      </c>
      <c r="D3701" t="s">
        <v>1629</v>
      </c>
      <c r="E3701">
        <v>642.36</v>
      </c>
      <c r="F3701" t="s">
        <v>1578</v>
      </c>
      <c r="G3701" t="s">
        <v>1366</v>
      </c>
    </row>
    <row r="3702" spans="1:7">
      <c r="A3702" t="s">
        <v>5305</v>
      </c>
      <c r="B3702" s="2">
        <v>45877</v>
      </c>
      <c r="C3702" t="s">
        <v>97</v>
      </c>
      <c r="D3702" t="s">
        <v>1629</v>
      </c>
      <c r="E3702">
        <v>324.36</v>
      </c>
      <c r="F3702" t="s">
        <v>1578</v>
      </c>
      <c r="G3702" t="s">
        <v>1366</v>
      </c>
    </row>
    <row r="3703" spans="1:7">
      <c r="A3703" t="s">
        <v>5306</v>
      </c>
      <c r="B3703" s="2">
        <v>45877</v>
      </c>
      <c r="C3703" t="s">
        <v>110</v>
      </c>
      <c r="D3703" t="s">
        <v>1629</v>
      </c>
      <c r="E3703">
        <v>324.36</v>
      </c>
      <c r="F3703" t="s">
        <v>1578</v>
      </c>
      <c r="G3703" t="s">
        <v>1366</v>
      </c>
    </row>
    <row r="3704" spans="1:7">
      <c r="A3704" t="s">
        <v>5307</v>
      </c>
      <c r="B3704" s="2">
        <v>45877</v>
      </c>
      <c r="C3704" t="s">
        <v>114</v>
      </c>
      <c r="D3704" t="s">
        <v>1629</v>
      </c>
      <c r="E3704">
        <v>321.18</v>
      </c>
      <c r="F3704" t="s">
        <v>1578</v>
      </c>
      <c r="G3704" t="s">
        <v>1366</v>
      </c>
    </row>
    <row r="3705" spans="1:7">
      <c r="A3705" t="s">
        <v>5308</v>
      </c>
      <c r="B3705" s="2">
        <v>45877</v>
      </c>
      <c r="C3705" t="s">
        <v>117</v>
      </c>
      <c r="D3705" t="s">
        <v>1629</v>
      </c>
      <c r="E3705">
        <v>319.58999999999997</v>
      </c>
      <c r="F3705" t="s">
        <v>1578</v>
      </c>
      <c r="G3705" t="s">
        <v>1366</v>
      </c>
    </row>
    <row r="3706" spans="1:7">
      <c r="A3706" t="s">
        <v>5309</v>
      </c>
      <c r="B3706" s="2">
        <v>45877</v>
      </c>
      <c r="C3706" t="s">
        <v>119</v>
      </c>
      <c r="D3706" t="s">
        <v>1629</v>
      </c>
      <c r="E3706">
        <v>321.18</v>
      </c>
      <c r="F3706" t="s">
        <v>1578</v>
      </c>
      <c r="G3706" t="s">
        <v>1366</v>
      </c>
    </row>
    <row r="3707" spans="1:7">
      <c r="A3707" t="s">
        <v>5310</v>
      </c>
      <c r="B3707" s="2">
        <v>45877</v>
      </c>
      <c r="C3707" t="s">
        <v>61</v>
      </c>
      <c r="D3707" t="s">
        <v>1629</v>
      </c>
      <c r="E3707">
        <v>455.94</v>
      </c>
      <c r="F3707" t="s">
        <v>1578</v>
      </c>
      <c r="G3707" t="s">
        <v>1367</v>
      </c>
    </row>
    <row r="3708" spans="1:7">
      <c r="A3708" t="s">
        <v>5311</v>
      </c>
      <c r="B3708" s="2">
        <v>45877</v>
      </c>
      <c r="C3708" t="s">
        <v>65</v>
      </c>
      <c r="D3708" t="s">
        <v>1629</v>
      </c>
      <c r="E3708">
        <v>453.7</v>
      </c>
      <c r="F3708" t="s">
        <v>1578</v>
      </c>
      <c r="G3708" t="s">
        <v>1367</v>
      </c>
    </row>
    <row r="3709" spans="1:7">
      <c r="A3709" t="s">
        <v>5312</v>
      </c>
      <c r="B3709" s="2">
        <v>45877</v>
      </c>
      <c r="C3709" t="s">
        <v>68</v>
      </c>
      <c r="D3709" t="s">
        <v>1629</v>
      </c>
      <c r="E3709">
        <v>455.94</v>
      </c>
      <c r="F3709" t="s">
        <v>1578</v>
      </c>
      <c r="G3709" t="s">
        <v>1367</v>
      </c>
    </row>
    <row r="3710" spans="1:7">
      <c r="A3710" t="s">
        <v>5313</v>
      </c>
      <c r="B3710" s="2">
        <v>45877</v>
      </c>
      <c r="C3710" t="s">
        <v>75</v>
      </c>
      <c r="D3710" t="s">
        <v>1629</v>
      </c>
      <c r="E3710">
        <v>451.47</v>
      </c>
      <c r="F3710" t="s">
        <v>1578</v>
      </c>
      <c r="G3710" t="s">
        <v>1367</v>
      </c>
    </row>
    <row r="3711" spans="1:7">
      <c r="A3711" t="s">
        <v>5314</v>
      </c>
      <c r="B3711" s="2">
        <v>45877</v>
      </c>
      <c r="C3711" t="s">
        <v>79</v>
      </c>
      <c r="D3711" t="s">
        <v>1629</v>
      </c>
      <c r="E3711">
        <v>455.94</v>
      </c>
      <c r="F3711" t="s">
        <v>1578</v>
      </c>
      <c r="G3711" t="s">
        <v>1367</v>
      </c>
    </row>
    <row r="3712" spans="1:7">
      <c r="A3712" t="s">
        <v>5315</v>
      </c>
      <c r="B3712" s="2">
        <v>45877</v>
      </c>
      <c r="C3712" t="s">
        <v>81</v>
      </c>
      <c r="D3712" t="s">
        <v>1629</v>
      </c>
      <c r="E3712">
        <v>902.94</v>
      </c>
      <c r="F3712" t="s">
        <v>1578</v>
      </c>
      <c r="G3712" t="s">
        <v>1367</v>
      </c>
    </row>
    <row r="3713" spans="1:7">
      <c r="A3713" t="s">
        <v>5316</v>
      </c>
      <c r="B3713" s="2">
        <v>45877</v>
      </c>
      <c r="C3713" t="s">
        <v>110</v>
      </c>
      <c r="D3713" t="s">
        <v>1629</v>
      </c>
      <c r="E3713">
        <v>455.94</v>
      </c>
      <c r="F3713" t="s">
        <v>1578</v>
      </c>
      <c r="G3713" t="s">
        <v>1367</v>
      </c>
    </row>
    <row r="3714" spans="1:7">
      <c r="A3714" t="s">
        <v>5317</v>
      </c>
      <c r="B3714" s="2">
        <v>45877</v>
      </c>
      <c r="C3714" t="s">
        <v>114</v>
      </c>
      <c r="D3714" t="s">
        <v>1629</v>
      </c>
      <c r="E3714">
        <v>451.47</v>
      </c>
      <c r="F3714" t="s">
        <v>1578</v>
      </c>
      <c r="G3714" t="s">
        <v>1367</v>
      </c>
    </row>
    <row r="3715" spans="1:7">
      <c r="A3715" t="s">
        <v>5318</v>
      </c>
      <c r="B3715" s="2">
        <v>45877</v>
      </c>
      <c r="C3715" t="s">
        <v>117</v>
      </c>
      <c r="D3715" t="s">
        <v>1629</v>
      </c>
      <c r="E3715">
        <v>449.23</v>
      </c>
      <c r="F3715" t="s">
        <v>1578</v>
      </c>
      <c r="G3715" t="s">
        <v>1367</v>
      </c>
    </row>
    <row r="3716" spans="1:7">
      <c r="A3716" t="s">
        <v>5319</v>
      </c>
      <c r="B3716" s="2">
        <v>45877</v>
      </c>
      <c r="C3716" t="s">
        <v>119</v>
      </c>
      <c r="D3716" t="s">
        <v>1629</v>
      </c>
      <c r="E3716">
        <v>451.47</v>
      </c>
      <c r="F3716" t="s">
        <v>1578</v>
      </c>
      <c r="G3716" t="s">
        <v>1367</v>
      </c>
    </row>
    <row r="3717" spans="1:7">
      <c r="A3717" t="s">
        <v>5320</v>
      </c>
      <c r="B3717" s="2">
        <v>45877</v>
      </c>
      <c r="C3717" t="s">
        <v>75</v>
      </c>
      <c r="D3717" t="s">
        <v>1629</v>
      </c>
      <c r="E3717">
        <v>312.08999999999997</v>
      </c>
      <c r="F3717" t="s">
        <v>1578</v>
      </c>
      <c r="G3717" t="s">
        <v>1368</v>
      </c>
    </row>
    <row r="3718" spans="1:7">
      <c r="A3718" t="s">
        <v>5321</v>
      </c>
      <c r="B3718" s="2">
        <v>45877</v>
      </c>
      <c r="C3718" t="s">
        <v>91</v>
      </c>
      <c r="D3718" t="s">
        <v>1629</v>
      </c>
      <c r="E3718">
        <v>316.72000000000003</v>
      </c>
      <c r="F3718" t="s">
        <v>1578</v>
      </c>
      <c r="G3718" t="s">
        <v>1368</v>
      </c>
    </row>
    <row r="3719" spans="1:7">
      <c r="A3719" t="s">
        <v>5322</v>
      </c>
      <c r="B3719" s="2">
        <v>45877</v>
      </c>
      <c r="C3719" t="s">
        <v>93</v>
      </c>
      <c r="D3719" t="s">
        <v>1629</v>
      </c>
      <c r="E3719">
        <v>315.18</v>
      </c>
      <c r="F3719" t="s">
        <v>1578</v>
      </c>
      <c r="G3719" t="s">
        <v>1368</v>
      </c>
    </row>
    <row r="3720" spans="1:7">
      <c r="A3720" t="s">
        <v>5323</v>
      </c>
      <c r="B3720" s="2">
        <v>45877</v>
      </c>
      <c r="C3720" t="s">
        <v>95</v>
      </c>
      <c r="D3720" t="s">
        <v>1629</v>
      </c>
      <c r="E3720">
        <v>313.64</v>
      </c>
      <c r="F3720" t="s">
        <v>1578</v>
      </c>
      <c r="G3720" t="s">
        <v>1368</v>
      </c>
    </row>
    <row r="3721" spans="1:7">
      <c r="A3721" t="s">
        <v>5324</v>
      </c>
      <c r="B3721" s="2">
        <v>45877</v>
      </c>
      <c r="C3721" t="s">
        <v>97</v>
      </c>
      <c r="D3721" t="s">
        <v>1629</v>
      </c>
      <c r="E3721">
        <v>312.08999999999997</v>
      </c>
      <c r="F3721" t="s">
        <v>1578</v>
      </c>
      <c r="G3721" t="s">
        <v>1368</v>
      </c>
    </row>
    <row r="3722" spans="1:7">
      <c r="A3722" t="s">
        <v>5325</v>
      </c>
      <c r="B3722" s="2">
        <v>45877</v>
      </c>
      <c r="C3722" t="s">
        <v>99</v>
      </c>
      <c r="D3722" t="s">
        <v>1629</v>
      </c>
      <c r="E3722">
        <v>381.92</v>
      </c>
      <c r="F3722" t="s">
        <v>1578</v>
      </c>
      <c r="G3722" t="s">
        <v>1368</v>
      </c>
    </row>
    <row r="3723" spans="1:7">
      <c r="A3723" t="s">
        <v>5326</v>
      </c>
      <c r="B3723" s="2">
        <v>45877</v>
      </c>
      <c r="C3723" t="s">
        <v>102</v>
      </c>
      <c r="D3723" t="s">
        <v>1629</v>
      </c>
      <c r="E3723">
        <v>315.18</v>
      </c>
      <c r="F3723" t="s">
        <v>1578</v>
      </c>
      <c r="G3723" t="s">
        <v>1368</v>
      </c>
    </row>
    <row r="3724" spans="1:7">
      <c r="A3724" t="s">
        <v>5327</v>
      </c>
      <c r="B3724" s="2">
        <v>45877</v>
      </c>
      <c r="C3724" t="s">
        <v>108</v>
      </c>
      <c r="D3724" t="s">
        <v>1629</v>
      </c>
      <c r="E3724">
        <v>627.27</v>
      </c>
      <c r="F3724" t="s">
        <v>1578</v>
      </c>
      <c r="G3724" t="s">
        <v>1368</v>
      </c>
    </row>
    <row r="3725" spans="1:7">
      <c r="A3725" t="s">
        <v>5328</v>
      </c>
      <c r="B3725" s="2">
        <v>45877</v>
      </c>
      <c r="C3725" t="s">
        <v>110</v>
      </c>
      <c r="D3725" t="s">
        <v>1629</v>
      </c>
      <c r="E3725">
        <v>315.18</v>
      </c>
      <c r="F3725" t="s">
        <v>1578</v>
      </c>
      <c r="G3725" t="s">
        <v>1368</v>
      </c>
    </row>
    <row r="3726" spans="1:7">
      <c r="A3726" t="s">
        <v>5329</v>
      </c>
      <c r="B3726" s="2">
        <v>45877</v>
      </c>
      <c r="C3726" t="s">
        <v>114</v>
      </c>
      <c r="D3726" t="s">
        <v>1629</v>
      </c>
      <c r="E3726">
        <v>312.08999999999997</v>
      </c>
      <c r="F3726" t="s">
        <v>1578</v>
      </c>
      <c r="G3726" t="s">
        <v>1368</v>
      </c>
    </row>
    <row r="3727" spans="1:7">
      <c r="A3727" t="s">
        <v>5330</v>
      </c>
      <c r="B3727" s="2">
        <v>45877</v>
      </c>
      <c r="C3727" t="s">
        <v>117</v>
      </c>
      <c r="D3727" t="s">
        <v>1629</v>
      </c>
      <c r="E3727">
        <v>310.54000000000002</v>
      </c>
      <c r="F3727" t="s">
        <v>1578</v>
      </c>
      <c r="G3727" t="s">
        <v>1368</v>
      </c>
    </row>
    <row r="3728" spans="1:7">
      <c r="A3728" t="s">
        <v>5331</v>
      </c>
      <c r="B3728" s="2">
        <v>45877</v>
      </c>
      <c r="C3728" t="s">
        <v>119</v>
      </c>
      <c r="D3728" t="s">
        <v>1629</v>
      </c>
      <c r="E3728">
        <v>312.08999999999997</v>
      </c>
      <c r="F3728" t="s">
        <v>1578</v>
      </c>
      <c r="G3728" t="s">
        <v>1368</v>
      </c>
    </row>
    <row r="3729" spans="1:7">
      <c r="A3729" t="s">
        <v>5332</v>
      </c>
      <c r="B3729" s="2">
        <v>45877</v>
      </c>
      <c r="C3729" t="s">
        <v>61</v>
      </c>
      <c r="D3729" t="s">
        <v>1629</v>
      </c>
      <c r="E3729">
        <v>82.62</v>
      </c>
      <c r="F3729" t="s">
        <v>1578</v>
      </c>
      <c r="G3729" t="s">
        <v>1369</v>
      </c>
    </row>
    <row r="3730" spans="1:7">
      <c r="A3730" t="s">
        <v>5333</v>
      </c>
      <c r="B3730" s="2">
        <v>45877</v>
      </c>
      <c r="C3730" t="s">
        <v>65</v>
      </c>
      <c r="D3730" t="s">
        <v>1629</v>
      </c>
      <c r="E3730">
        <v>82.21</v>
      </c>
      <c r="F3730" t="s">
        <v>1578</v>
      </c>
      <c r="G3730" t="s">
        <v>1369</v>
      </c>
    </row>
    <row r="3731" spans="1:7">
      <c r="A3731" t="s">
        <v>5334</v>
      </c>
      <c r="B3731" s="2">
        <v>45877</v>
      </c>
      <c r="C3731" t="s">
        <v>68</v>
      </c>
      <c r="D3731" t="s">
        <v>1629</v>
      </c>
      <c r="E3731">
        <v>82.62</v>
      </c>
      <c r="F3731" t="s">
        <v>1578</v>
      </c>
      <c r="G3731" t="s">
        <v>1369</v>
      </c>
    </row>
    <row r="3732" spans="1:7">
      <c r="A3732" t="s">
        <v>5335</v>
      </c>
      <c r="B3732" s="2">
        <v>45877</v>
      </c>
      <c r="C3732" t="s">
        <v>75</v>
      </c>
      <c r="D3732" t="s">
        <v>1629</v>
      </c>
      <c r="E3732">
        <v>81.81</v>
      </c>
      <c r="F3732" t="s">
        <v>1578</v>
      </c>
      <c r="G3732" t="s">
        <v>1369</v>
      </c>
    </row>
    <row r="3733" spans="1:7">
      <c r="A3733" t="s">
        <v>5336</v>
      </c>
      <c r="B3733" s="2">
        <v>45877</v>
      </c>
      <c r="C3733" t="s">
        <v>79</v>
      </c>
      <c r="D3733" t="s">
        <v>1629</v>
      </c>
      <c r="E3733">
        <v>82.62</v>
      </c>
      <c r="F3733" t="s">
        <v>1578</v>
      </c>
      <c r="G3733" t="s">
        <v>1369</v>
      </c>
    </row>
    <row r="3734" spans="1:7">
      <c r="A3734" t="s">
        <v>5337</v>
      </c>
      <c r="B3734" s="2">
        <v>45877</v>
      </c>
      <c r="C3734" t="s">
        <v>81</v>
      </c>
      <c r="D3734" t="s">
        <v>1629</v>
      </c>
      <c r="E3734">
        <v>163.62</v>
      </c>
      <c r="F3734" t="s">
        <v>1578</v>
      </c>
      <c r="G3734" t="s">
        <v>1369</v>
      </c>
    </row>
    <row r="3735" spans="1:7">
      <c r="A3735" t="s">
        <v>5338</v>
      </c>
      <c r="B3735" s="2">
        <v>45877</v>
      </c>
      <c r="C3735" t="s">
        <v>97</v>
      </c>
      <c r="D3735" t="s">
        <v>1629</v>
      </c>
      <c r="E3735">
        <v>82.62</v>
      </c>
      <c r="F3735" t="s">
        <v>1578</v>
      </c>
      <c r="G3735" t="s">
        <v>1369</v>
      </c>
    </row>
    <row r="3736" spans="1:7">
      <c r="A3736" t="s">
        <v>5339</v>
      </c>
      <c r="B3736" s="2">
        <v>45877</v>
      </c>
      <c r="C3736" t="s">
        <v>110</v>
      </c>
      <c r="D3736" t="s">
        <v>1629</v>
      </c>
      <c r="E3736">
        <v>82.62</v>
      </c>
      <c r="F3736" t="s">
        <v>1578</v>
      </c>
      <c r="G3736" t="s">
        <v>1369</v>
      </c>
    </row>
    <row r="3737" spans="1:7">
      <c r="A3737" t="s">
        <v>5340</v>
      </c>
      <c r="B3737" s="2">
        <v>45877</v>
      </c>
      <c r="C3737" t="s">
        <v>114</v>
      </c>
      <c r="D3737" t="s">
        <v>1629</v>
      </c>
      <c r="E3737">
        <v>81.81</v>
      </c>
      <c r="F3737" t="s">
        <v>1578</v>
      </c>
      <c r="G3737" t="s">
        <v>1369</v>
      </c>
    </row>
    <row r="3738" spans="1:7">
      <c r="A3738" t="s">
        <v>5341</v>
      </c>
      <c r="B3738" s="2">
        <v>45877</v>
      </c>
      <c r="C3738" t="s">
        <v>117</v>
      </c>
      <c r="D3738" t="s">
        <v>1629</v>
      </c>
      <c r="E3738">
        <v>81.400000000000006</v>
      </c>
      <c r="F3738" t="s">
        <v>1578</v>
      </c>
      <c r="G3738" t="s">
        <v>1369</v>
      </c>
    </row>
    <row r="3739" spans="1:7">
      <c r="A3739" t="s">
        <v>5342</v>
      </c>
      <c r="B3739" s="2">
        <v>45877</v>
      </c>
      <c r="C3739" t="s">
        <v>119</v>
      </c>
      <c r="D3739" t="s">
        <v>1629</v>
      </c>
      <c r="E3739">
        <v>81.81</v>
      </c>
      <c r="F3739" t="s">
        <v>1578</v>
      </c>
      <c r="G3739" t="s">
        <v>1369</v>
      </c>
    </row>
    <row r="3740" spans="1:7">
      <c r="A3740" t="s">
        <v>5343</v>
      </c>
      <c r="B3740" s="2">
        <v>45877</v>
      </c>
      <c r="C3740" t="s">
        <v>61</v>
      </c>
      <c r="D3740" t="s">
        <v>1629</v>
      </c>
      <c r="E3740">
        <v>242.76</v>
      </c>
      <c r="F3740" t="s">
        <v>1578</v>
      </c>
      <c r="G3740" t="s">
        <v>1370</v>
      </c>
    </row>
    <row r="3741" spans="1:7">
      <c r="A3741" t="s">
        <v>5344</v>
      </c>
      <c r="B3741" s="2">
        <v>45877</v>
      </c>
      <c r="C3741" t="s">
        <v>65</v>
      </c>
      <c r="D3741" t="s">
        <v>1629</v>
      </c>
      <c r="E3741">
        <v>241.57</v>
      </c>
      <c r="F3741" t="s">
        <v>1578</v>
      </c>
      <c r="G3741" t="s">
        <v>1370</v>
      </c>
    </row>
    <row r="3742" spans="1:7">
      <c r="A3742" t="s">
        <v>5345</v>
      </c>
      <c r="B3742" s="2">
        <v>45877</v>
      </c>
      <c r="C3742" t="s">
        <v>68</v>
      </c>
      <c r="D3742" t="s">
        <v>1629</v>
      </c>
      <c r="E3742">
        <v>242.76</v>
      </c>
      <c r="F3742" t="s">
        <v>1578</v>
      </c>
      <c r="G3742" t="s">
        <v>1370</v>
      </c>
    </row>
    <row r="3743" spans="1:7">
      <c r="A3743" t="s">
        <v>5346</v>
      </c>
      <c r="B3743" s="2">
        <v>45877</v>
      </c>
      <c r="C3743" t="s">
        <v>70</v>
      </c>
      <c r="D3743" t="s">
        <v>1629</v>
      </c>
      <c r="E3743">
        <v>240.38</v>
      </c>
      <c r="F3743" t="s">
        <v>1578</v>
      </c>
      <c r="G3743" t="s">
        <v>1370</v>
      </c>
    </row>
    <row r="3744" spans="1:7">
      <c r="A3744" t="s">
        <v>5347</v>
      </c>
      <c r="B3744" s="2">
        <v>45877</v>
      </c>
      <c r="C3744" t="s">
        <v>75</v>
      </c>
      <c r="D3744" t="s">
        <v>1629</v>
      </c>
      <c r="E3744">
        <v>240.38</v>
      </c>
      <c r="F3744" t="s">
        <v>1578</v>
      </c>
      <c r="G3744" t="s">
        <v>1370</v>
      </c>
    </row>
    <row r="3745" spans="1:7">
      <c r="A3745" t="s">
        <v>5348</v>
      </c>
      <c r="B3745" s="2">
        <v>45877</v>
      </c>
      <c r="C3745" t="s">
        <v>77</v>
      </c>
      <c r="D3745" t="s">
        <v>1629</v>
      </c>
      <c r="E3745">
        <v>240.38</v>
      </c>
      <c r="F3745" t="s">
        <v>1578</v>
      </c>
      <c r="G3745" t="s">
        <v>1370</v>
      </c>
    </row>
    <row r="3746" spans="1:7">
      <c r="A3746" t="s">
        <v>5349</v>
      </c>
      <c r="B3746" s="2">
        <v>45877</v>
      </c>
      <c r="C3746" t="s">
        <v>79</v>
      </c>
      <c r="D3746" t="s">
        <v>1629</v>
      </c>
      <c r="E3746">
        <v>242.76</v>
      </c>
      <c r="F3746" t="s">
        <v>1578</v>
      </c>
      <c r="G3746" t="s">
        <v>1370</v>
      </c>
    </row>
    <row r="3747" spans="1:7">
      <c r="A3747" t="s">
        <v>5350</v>
      </c>
      <c r="B3747" s="2">
        <v>45877</v>
      </c>
      <c r="C3747" t="s">
        <v>81</v>
      </c>
      <c r="D3747" t="s">
        <v>1629</v>
      </c>
      <c r="E3747">
        <v>480.76</v>
      </c>
      <c r="F3747" t="s">
        <v>1578</v>
      </c>
      <c r="G3747" t="s">
        <v>1370</v>
      </c>
    </row>
    <row r="3748" spans="1:7">
      <c r="A3748" t="s">
        <v>5351</v>
      </c>
      <c r="B3748" s="2">
        <v>45877</v>
      </c>
      <c r="C3748" t="s">
        <v>110</v>
      </c>
      <c r="D3748" t="s">
        <v>1629</v>
      </c>
      <c r="E3748">
        <v>242.76</v>
      </c>
      <c r="F3748" t="s">
        <v>1578</v>
      </c>
      <c r="G3748" t="s">
        <v>1370</v>
      </c>
    </row>
    <row r="3749" spans="1:7">
      <c r="A3749" t="s">
        <v>5352</v>
      </c>
      <c r="B3749" s="2">
        <v>45877</v>
      </c>
      <c r="C3749" t="s">
        <v>114</v>
      </c>
      <c r="D3749" t="s">
        <v>1629</v>
      </c>
      <c r="E3749">
        <v>240.38</v>
      </c>
      <c r="F3749" t="s">
        <v>1578</v>
      </c>
      <c r="G3749" t="s">
        <v>1370</v>
      </c>
    </row>
    <row r="3750" spans="1:7">
      <c r="A3750" t="s">
        <v>5353</v>
      </c>
      <c r="B3750" s="2">
        <v>45877</v>
      </c>
      <c r="C3750" t="s">
        <v>117</v>
      </c>
      <c r="D3750" t="s">
        <v>1629</v>
      </c>
      <c r="E3750">
        <v>239.19</v>
      </c>
      <c r="F3750" t="s">
        <v>1578</v>
      </c>
      <c r="G3750" t="s">
        <v>1370</v>
      </c>
    </row>
    <row r="3751" spans="1:7">
      <c r="A3751" t="s">
        <v>5354</v>
      </c>
      <c r="B3751" s="2">
        <v>45877</v>
      </c>
      <c r="C3751" t="s">
        <v>119</v>
      </c>
      <c r="D3751" t="s">
        <v>1629</v>
      </c>
      <c r="E3751">
        <v>240.38</v>
      </c>
      <c r="F3751" t="s">
        <v>1578</v>
      </c>
      <c r="G3751" t="s">
        <v>1370</v>
      </c>
    </row>
    <row r="3752" spans="1:7">
      <c r="A3752" t="s">
        <v>5355</v>
      </c>
      <c r="B3752" s="2">
        <v>45877</v>
      </c>
      <c r="C3752" t="s">
        <v>61</v>
      </c>
      <c r="D3752" t="s">
        <v>1629</v>
      </c>
      <c r="E3752">
        <v>189.72</v>
      </c>
      <c r="F3752" t="s">
        <v>1578</v>
      </c>
      <c r="G3752" t="s">
        <v>1371</v>
      </c>
    </row>
    <row r="3753" spans="1:7">
      <c r="A3753" t="s">
        <v>5356</v>
      </c>
      <c r="B3753" s="2">
        <v>45877</v>
      </c>
      <c r="C3753" t="s">
        <v>65</v>
      </c>
      <c r="D3753" t="s">
        <v>1629</v>
      </c>
      <c r="E3753">
        <v>188.79</v>
      </c>
      <c r="F3753" t="s">
        <v>1578</v>
      </c>
      <c r="G3753" t="s">
        <v>1371</v>
      </c>
    </row>
    <row r="3754" spans="1:7">
      <c r="A3754" t="s">
        <v>5357</v>
      </c>
      <c r="B3754" s="2">
        <v>45877</v>
      </c>
      <c r="C3754" t="s">
        <v>68</v>
      </c>
      <c r="D3754" t="s">
        <v>1629</v>
      </c>
      <c r="E3754">
        <v>189.72</v>
      </c>
      <c r="F3754" t="s">
        <v>1578</v>
      </c>
      <c r="G3754" t="s">
        <v>1371</v>
      </c>
    </row>
    <row r="3755" spans="1:7">
      <c r="A3755" t="s">
        <v>5358</v>
      </c>
      <c r="B3755" s="2">
        <v>45877</v>
      </c>
      <c r="C3755" t="s">
        <v>70</v>
      </c>
      <c r="D3755" t="s">
        <v>1629</v>
      </c>
      <c r="E3755">
        <v>187.86</v>
      </c>
      <c r="F3755" t="s">
        <v>1578</v>
      </c>
      <c r="G3755" t="s">
        <v>1371</v>
      </c>
    </row>
    <row r="3756" spans="1:7">
      <c r="A3756" t="s">
        <v>5359</v>
      </c>
      <c r="B3756" s="2">
        <v>45877</v>
      </c>
      <c r="C3756" t="s">
        <v>75</v>
      </c>
      <c r="D3756" t="s">
        <v>1629</v>
      </c>
      <c r="E3756">
        <v>187.86</v>
      </c>
      <c r="F3756" t="s">
        <v>1578</v>
      </c>
      <c r="G3756" t="s">
        <v>1371</v>
      </c>
    </row>
    <row r="3757" spans="1:7">
      <c r="A3757" t="s">
        <v>5360</v>
      </c>
      <c r="B3757" s="2">
        <v>45877</v>
      </c>
      <c r="C3757" t="s">
        <v>77</v>
      </c>
      <c r="D3757" t="s">
        <v>1629</v>
      </c>
      <c r="E3757">
        <v>187.86</v>
      </c>
      <c r="F3757" t="s">
        <v>1578</v>
      </c>
      <c r="G3757" t="s">
        <v>1371</v>
      </c>
    </row>
    <row r="3758" spans="1:7">
      <c r="A3758" t="s">
        <v>5361</v>
      </c>
      <c r="B3758" s="2">
        <v>45877</v>
      </c>
      <c r="C3758" t="s">
        <v>79</v>
      </c>
      <c r="D3758" t="s">
        <v>1629</v>
      </c>
      <c r="E3758">
        <v>189.72</v>
      </c>
      <c r="F3758" t="s">
        <v>1578</v>
      </c>
      <c r="G3758" t="s">
        <v>1371</v>
      </c>
    </row>
    <row r="3759" spans="1:7">
      <c r="A3759" t="s">
        <v>5362</v>
      </c>
      <c r="B3759" s="2">
        <v>45877</v>
      </c>
      <c r="C3759" t="s">
        <v>81</v>
      </c>
      <c r="D3759" t="s">
        <v>1629</v>
      </c>
      <c r="E3759">
        <v>375.72</v>
      </c>
      <c r="F3759" t="s">
        <v>1578</v>
      </c>
      <c r="G3759" t="s">
        <v>1371</v>
      </c>
    </row>
    <row r="3760" spans="1:7">
      <c r="A3760" t="s">
        <v>5363</v>
      </c>
      <c r="B3760" s="2">
        <v>45877</v>
      </c>
      <c r="C3760" t="s">
        <v>110</v>
      </c>
      <c r="D3760" t="s">
        <v>1629</v>
      </c>
      <c r="E3760">
        <v>189.72</v>
      </c>
      <c r="F3760" t="s">
        <v>1578</v>
      </c>
      <c r="G3760" t="s">
        <v>1371</v>
      </c>
    </row>
    <row r="3761" spans="1:7">
      <c r="A3761" t="s">
        <v>5364</v>
      </c>
      <c r="B3761" s="2">
        <v>45877</v>
      </c>
      <c r="C3761" t="s">
        <v>114</v>
      </c>
      <c r="D3761" t="s">
        <v>1629</v>
      </c>
      <c r="E3761">
        <v>187.86</v>
      </c>
      <c r="F3761" t="s">
        <v>1578</v>
      </c>
      <c r="G3761" t="s">
        <v>1371</v>
      </c>
    </row>
    <row r="3762" spans="1:7">
      <c r="A3762" t="s">
        <v>5365</v>
      </c>
      <c r="B3762" s="2">
        <v>45877</v>
      </c>
      <c r="C3762" t="s">
        <v>117</v>
      </c>
      <c r="D3762" t="s">
        <v>1629</v>
      </c>
      <c r="E3762">
        <v>186.93</v>
      </c>
      <c r="F3762" t="s">
        <v>1578</v>
      </c>
      <c r="G3762" t="s">
        <v>1371</v>
      </c>
    </row>
    <row r="3763" spans="1:7">
      <c r="A3763" t="s">
        <v>5366</v>
      </c>
      <c r="B3763" s="2">
        <v>45877</v>
      </c>
      <c r="C3763" t="s">
        <v>119</v>
      </c>
      <c r="D3763" t="s">
        <v>1629</v>
      </c>
      <c r="E3763">
        <v>187.86</v>
      </c>
      <c r="F3763" t="s">
        <v>1578</v>
      </c>
      <c r="G3763" t="s">
        <v>1371</v>
      </c>
    </row>
    <row r="3764" spans="1:7">
      <c r="A3764" t="s">
        <v>5367</v>
      </c>
      <c r="B3764" s="2">
        <v>45877</v>
      </c>
      <c r="C3764" t="s">
        <v>73</v>
      </c>
      <c r="D3764" t="s">
        <v>1683</v>
      </c>
      <c r="E3764">
        <v>217</v>
      </c>
      <c r="F3764" t="s">
        <v>1578</v>
      </c>
      <c r="G3764" t="s">
        <v>778</v>
      </c>
    </row>
    <row r="3765" spans="1:7">
      <c r="A3765" t="s">
        <v>5368</v>
      </c>
      <c r="B3765" s="2">
        <v>45877</v>
      </c>
      <c r="C3765" t="s">
        <v>65</v>
      </c>
      <c r="D3765" t="s">
        <v>1683</v>
      </c>
      <c r="E3765">
        <v>125</v>
      </c>
      <c r="F3765" t="s">
        <v>1578</v>
      </c>
      <c r="G3765" t="s">
        <v>779</v>
      </c>
    </row>
    <row r="3766" spans="1:7">
      <c r="A3766" t="s">
        <v>5369</v>
      </c>
      <c r="B3766" s="2">
        <v>45877</v>
      </c>
      <c r="C3766" t="s">
        <v>70</v>
      </c>
      <c r="D3766" t="s">
        <v>1683</v>
      </c>
      <c r="E3766">
        <v>245</v>
      </c>
      <c r="F3766" t="s">
        <v>1578</v>
      </c>
      <c r="G3766" t="s">
        <v>780</v>
      </c>
    </row>
    <row r="3767" spans="1:7">
      <c r="A3767" t="s">
        <v>5370</v>
      </c>
      <c r="B3767" s="2">
        <v>45877</v>
      </c>
      <c r="C3767" t="s">
        <v>61</v>
      </c>
      <c r="D3767" t="s">
        <v>1683</v>
      </c>
      <c r="E3767">
        <v>693</v>
      </c>
      <c r="F3767" t="s">
        <v>1578</v>
      </c>
      <c r="G3767" t="s">
        <v>781</v>
      </c>
    </row>
    <row r="3768" spans="1:7">
      <c r="A3768" t="s">
        <v>5371</v>
      </c>
      <c r="B3768" s="2">
        <v>45878</v>
      </c>
      <c r="C3768" t="s">
        <v>75</v>
      </c>
      <c r="D3768" t="s">
        <v>1629</v>
      </c>
      <c r="E3768">
        <v>124.23</v>
      </c>
      <c r="F3768" t="s">
        <v>1578</v>
      </c>
      <c r="G3768" t="s">
        <v>1372</v>
      </c>
    </row>
    <row r="3769" spans="1:7">
      <c r="A3769" t="s">
        <v>5372</v>
      </c>
      <c r="B3769" s="2">
        <v>45878</v>
      </c>
      <c r="C3769" t="s">
        <v>91</v>
      </c>
      <c r="D3769" t="s">
        <v>1629</v>
      </c>
      <c r="E3769">
        <v>126.07</v>
      </c>
      <c r="F3769" t="s">
        <v>1578</v>
      </c>
      <c r="G3769" t="s">
        <v>1372</v>
      </c>
    </row>
    <row r="3770" spans="1:7">
      <c r="A3770" t="s">
        <v>5373</v>
      </c>
      <c r="B3770" s="2">
        <v>45878</v>
      </c>
      <c r="C3770" t="s">
        <v>93</v>
      </c>
      <c r="D3770" t="s">
        <v>1629</v>
      </c>
      <c r="E3770">
        <v>125.46</v>
      </c>
      <c r="F3770" t="s">
        <v>1578</v>
      </c>
      <c r="G3770" t="s">
        <v>1372</v>
      </c>
    </row>
    <row r="3771" spans="1:7">
      <c r="A3771" t="s">
        <v>5374</v>
      </c>
      <c r="B3771" s="2">
        <v>45878</v>
      </c>
      <c r="C3771" t="s">
        <v>95</v>
      </c>
      <c r="D3771" t="s">
        <v>1629</v>
      </c>
      <c r="E3771">
        <v>124.84</v>
      </c>
      <c r="F3771" t="s">
        <v>1578</v>
      </c>
      <c r="G3771" t="s">
        <v>1372</v>
      </c>
    </row>
    <row r="3772" spans="1:7">
      <c r="A3772" t="s">
        <v>5375</v>
      </c>
      <c r="B3772" s="2">
        <v>45878</v>
      </c>
      <c r="C3772" t="s">
        <v>97</v>
      </c>
      <c r="D3772" t="s">
        <v>1629</v>
      </c>
      <c r="E3772">
        <v>124.23</v>
      </c>
      <c r="F3772" t="s">
        <v>1578</v>
      </c>
      <c r="G3772" t="s">
        <v>1372</v>
      </c>
    </row>
    <row r="3773" spans="1:7">
      <c r="A3773" t="s">
        <v>5376</v>
      </c>
      <c r="B3773" s="2">
        <v>45878</v>
      </c>
      <c r="C3773" t="s">
        <v>99</v>
      </c>
      <c r="D3773" t="s">
        <v>1629</v>
      </c>
      <c r="E3773">
        <v>152.03</v>
      </c>
      <c r="F3773" t="s">
        <v>1578</v>
      </c>
      <c r="G3773" t="s">
        <v>1372</v>
      </c>
    </row>
    <row r="3774" spans="1:7">
      <c r="A3774" t="s">
        <v>5377</v>
      </c>
      <c r="B3774" s="2">
        <v>45878</v>
      </c>
      <c r="C3774" t="s">
        <v>102</v>
      </c>
      <c r="D3774" t="s">
        <v>1629</v>
      </c>
      <c r="E3774">
        <v>125.46</v>
      </c>
      <c r="F3774" t="s">
        <v>1578</v>
      </c>
      <c r="G3774" t="s">
        <v>1372</v>
      </c>
    </row>
    <row r="3775" spans="1:7">
      <c r="A3775" t="s">
        <v>5378</v>
      </c>
      <c r="B3775" s="2">
        <v>45878</v>
      </c>
      <c r="C3775" t="s">
        <v>108</v>
      </c>
      <c r="D3775" t="s">
        <v>1629</v>
      </c>
      <c r="E3775">
        <v>249.69</v>
      </c>
      <c r="F3775" t="s">
        <v>1578</v>
      </c>
      <c r="G3775" t="s">
        <v>1372</v>
      </c>
    </row>
    <row r="3776" spans="1:7">
      <c r="A3776" t="s">
        <v>5379</v>
      </c>
      <c r="B3776" s="2">
        <v>45878</v>
      </c>
      <c r="C3776" t="s">
        <v>110</v>
      </c>
      <c r="D3776" t="s">
        <v>1629</v>
      </c>
      <c r="E3776">
        <v>125.46</v>
      </c>
      <c r="F3776" t="s">
        <v>1578</v>
      </c>
      <c r="G3776" t="s">
        <v>1372</v>
      </c>
    </row>
    <row r="3777" spans="1:7">
      <c r="A3777" t="s">
        <v>5380</v>
      </c>
      <c r="B3777" s="2">
        <v>45878</v>
      </c>
      <c r="C3777" t="s">
        <v>114</v>
      </c>
      <c r="D3777" t="s">
        <v>1629</v>
      </c>
      <c r="E3777">
        <v>124.23</v>
      </c>
      <c r="F3777" t="s">
        <v>1578</v>
      </c>
      <c r="G3777" t="s">
        <v>1372</v>
      </c>
    </row>
    <row r="3778" spans="1:7">
      <c r="A3778" t="s">
        <v>5381</v>
      </c>
      <c r="B3778" s="2">
        <v>45878</v>
      </c>
      <c r="C3778" t="s">
        <v>117</v>
      </c>
      <c r="D3778" t="s">
        <v>1629</v>
      </c>
      <c r="E3778">
        <v>123.61</v>
      </c>
      <c r="F3778" t="s">
        <v>1578</v>
      </c>
      <c r="G3778" t="s">
        <v>1372</v>
      </c>
    </row>
    <row r="3779" spans="1:7">
      <c r="A3779" t="s">
        <v>5382</v>
      </c>
      <c r="B3779" s="2">
        <v>45878</v>
      </c>
      <c r="C3779" t="s">
        <v>119</v>
      </c>
      <c r="D3779" t="s">
        <v>1629</v>
      </c>
      <c r="E3779">
        <v>124.23</v>
      </c>
      <c r="F3779" t="s">
        <v>1578</v>
      </c>
      <c r="G3779" t="s">
        <v>1372</v>
      </c>
    </row>
    <row r="3780" spans="1:7">
      <c r="A3780" t="s">
        <v>5383</v>
      </c>
      <c r="B3780" s="2">
        <v>45878</v>
      </c>
      <c r="C3780" t="s">
        <v>87</v>
      </c>
      <c r="D3780" t="s">
        <v>1683</v>
      </c>
      <c r="E3780">
        <v>176</v>
      </c>
      <c r="F3780" t="s">
        <v>1578</v>
      </c>
      <c r="G3780" t="s">
        <v>782</v>
      </c>
    </row>
    <row r="3781" spans="1:7">
      <c r="A3781" t="s">
        <v>5384</v>
      </c>
      <c r="B3781" s="2">
        <v>45879</v>
      </c>
      <c r="C3781" t="s">
        <v>61</v>
      </c>
      <c r="D3781" t="s">
        <v>1629</v>
      </c>
      <c r="E3781">
        <v>87.72</v>
      </c>
      <c r="F3781" t="s">
        <v>1578</v>
      </c>
      <c r="G3781" t="s">
        <v>1373</v>
      </c>
    </row>
    <row r="3782" spans="1:7">
      <c r="A3782" t="s">
        <v>5385</v>
      </c>
      <c r="B3782" s="2">
        <v>45879</v>
      </c>
      <c r="C3782" t="s">
        <v>65</v>
      </c>
      <c r="D3782" t="s">
        <v>1629</v>
      </c>
      <c r="E3782">
        <v>87.29</v>
      </c>
      <c r="F3782" t="s">
        <v>1578</v>
      </c>
      <c r="G3782" t="s">
        <v>1373</v>
      </c>
    </row>
    <row r="3783" spans="1:7">
      <c r="A3783" t="s">
        <v>5386</v>
      </c>
      <c r="B3783" s="2">
        <v>45879</v>
      </c>
      <c r="C3783" t="s">
        <v>68</v>
      </c>
      <c r="D3783" t="s">
        <v>1629</v>
      </c>
      <c r="E3783">
        <v>87.72</v>
      </c>
      <c r="F3783" t="s">
        <v>1578</v>
      </c>
      <c r="G3783" t="s">
        <v>1373</v>
      </c>
    </row>
    <row r="3784" spans="1:7">
      <c r="A3784" t="s">
        <v>5387</v>
      </c>
      <c r="B3784" s="2">
        <v>45879</v>
      </c>
      <c r="C3784" t="s">
        <v>75</v>
      </c>
      <c r="D3784" t="s">
        <v>1629</v>
      </c>
      <c r="E3784">
        <v>86.86</v>
      </c>
      <c r="F3784" t="s">
        <v>1578</v>
      </c>
      <c r="G3784" t="s">
        <v>1373</v>
      </c>
    </row>
    <row r="3785" spans="1:7">
      <c r="A3785" t="s">
        <v>5388</v>
      </c>
      <c r="B3785" s="2">
        <v>45879</v>
      </c>
      <c r="C3785" t="s">
        <v>79</v>
      </c>
      <c r="D3785" t="s">
        <v>1629</v>
      </c>
      <c r="E3785">
        <v>87.72</v>
      </c>
      <c r="F3785" t="s">
        <v>1578</v>
      </c>
      <c r="G3785" t="s">
        <v>1373</v>
      </c>
    </row>
    <row r="3786" spans="1:7">
      <c r="A3786" t="s">
        <v>5389</v>
      </c>
      <c r="B3786" s="2">
        <v>45879</v>
      </c>
      <c r="C3786" t="s">
        <v>81</v>
      </c>
      <c r="D3786" t="s">
        <v>1629</v>
      </c>
      <c r="E3786">
        <v>173.72</v>
      </c>
      <c r="F3786" t="s">
        <v>1578</v>
      </c>
      <c r="G3786" t="s">
        <v>1373</v>
      </c>
    </row>
    <row r="3787" spans="1:7">
      <c r="A3787" t="s">
        <v>5390</v>
      </c>
      <c r="B3787" s="2">
        <v>45879</v>
      </c>
      <c r="C3787" t="s">
        <v>97</v>
      </c>
      <c r="D3787" t="s">
        <v>1629</v>
      </c>
      <c r="E3787">
        <v>87.72</v>
      </c>
      <c r="F3787" t="s">
        <v>1578</v>
      </c>
      <c r="G3787" t="s">
        <v>1373</v>
      </c>
    </row>
    <row r="3788" spans="1:7">
      <c r="A3788" t="s">
        <v>5391</v>
      </c>
      <c r="B3788" s="2">
        <v>45879</v>
      </c>
      <c r="C3788" t="s">
        <v>110</v>
      </c>
      <c r="D3788" t="s">
        <v>1629</v>
      </c>
      <c r="E3788">
        <v>87.72</v>
      </c>
      <c r="F3788" t="s">
        <v>1578</v>
      </c>
      <c r="G3788" t="s">
        <v>1373</v>
      </c>
    </row>
    <row r="3789" spans="1:7">
      <c r="A3789" t="s">
        <v>5392</v>
      </c>
      <c r="B3789" s="2">
        <v>45879</v>
      </c>
      <c r="C3789" t="s">
        <v>114</v>
      </c>
      <c r="D3789" t="s">
        <v>1629</v>
      </c>
      <c r="E3789">
        <v>86.86</v>
      </c>
      <c r="F3789" t="s">
        <v>1578</v>
      </c>
      <c r="G3789" t="s">
        <v>1373</v>
      </c>
    </row>
    <row r="3790" spans="1:7">
      <c r="A3790" t="s">
        <v>5393</v>
      </c>
      <c r="B3790" s="2">
        <v>45879</v>
      </c>
      <c r="C3790" t="s">
        <v>117</v>
      </c>
      <c r="D3790" t="s">
        <v>1629</v>
      </c>
      <c r="E3790">
        <v>86.43</v>
      </c>
      <c r="F3790" t="s">
        <v>1578</v>
      </c>
      <c r="G3790" t="s">
        <v>1373</v>
      </c>
    </row>
    <row r="3791" spans="1:7">
      <c r="A3791" t="s">
        <v>5394</v>
      </c>
      <c r="B3791" s="2">
        <v>45879</v>
      </c>
      <c r="C3791" t="s">
        <v>119</v>
      </c>
      <c r="D3791" t="s">
        <v>1629</v>
      </c>
      <c r="E3791">
        <v>86.86</v>
      </c>
      <c r="F3791" t="s">
        <v>1578</v>
      </c>
      <c r="G3791" t="s">
        <v>1373</v>
      </c>
    </row>
    <row r="3792" spans="1:7">
      <c r="A3792" t="s">
        <v>5395</v>
      </c>
      <c r="B3792" s="2">
        <v>45879</v>
      </c>
      <c r="C3792" t="s">
        <v>73</v>
      </c>
      <c r="D3792" t="s">
        <v>1683</v>
      </c>
      <c r="E3792">
        <v>157</v>
      </c>
      <c r="F3792" t="s">
        <v>1578</v>
      </c>
      <c r="G3792" t="s">
        <v>783</v>
      </c>
    </row>
    <row r="3793" spans="1:7">
      <c r="A3793" t="s">
        <v>5396</v>
      </c>
      <c r="B3793" s="2">
        <v>45879</v>
      </c>
      <c r="C3793" t="s">
        <v>99</v>
      </c>
      <c r="D3793" t="s">
        <v>1683</v>
      </c>
      <c r="E3793">
        <v>53</v>
      </c>
      <c r="F3793" t="s">
        <v>1578</v>
      </c>
      <c r="G3793" t="s">
        <v>784</v>
      </c>
    </row>
    <row r="3794" spans="1:7">
      <c r="A3794" t="s">
        <v>5397</v>
      </c>
      <c r="B3794" s="2">
        <v>45880</v>
      </c>
      <c r="C3794" t="s">
        <v>61</v>
      </c>
      <c r="D3794" t="s">
        <v>1629</v>
      </c>
      <c r="E3794">
        <v>87.72</v>
      </c>
      <c r="F3794" t="s">
        <v>1578</v>
      </c>
      <c r="G3794" t="s">
        <v>1374</v>
      </c>
    </row>
    <row r="3795" spans="1:7">
      <c r="A3795" t="s">
        <v>5398</v>
      </c>
      <c r="B3795" s="2">
        <v>45880</v>
      </c>
      <c r="C3795" t="s">
        <v>65</v>
      </c>
      <c r="D3795" t="s">
        <v>1629</v>
      </c>
      <c r="E3795">
        <v>87.29</v>
      </c>
      <c r="F3795" t="s">
        <v>1578</v>
      </c>
      <c r="G3795" t="s">
        <v>1374</v>
      </c>
    </row>
    <row r="3796" spans="1:7">
      <c r="A3796" t="s">
        <v>5399</v>
      </c>
      <c r="B3796" s="2">
        <v>45880</v>
      </c>
      <c r="C3796" t="s">
        <v>68</v>
      </c>
      <c r="D3796" t="s">
        <v>1629</v>
      </c>
      <c r="E3796">
        <v>87.72</v>
      </c>
      <c r="F3796" t="s">
        <v>1578</v>
      </c>
      <c r="G3796" t="s">
        <v>1374</v>
      </c>
    </row>
    <row r="3797" spans="1:7">
      <c r="A3797" t="s">
        <v>5400</v>
      </c>
      <c r="B3797" s="2">
        <v>45880</v>
      </c>
      <c r="C3797" t="s">
        <v>75</v>
      </c>
      <c r="D3797" t="s">
        <v>1629</v>
      </c>
      <c r="E3797">
        <v>86.86</v>
      </c>
      <c r="F3797" t="s">
        <v>1578</v>
      </c>
      <c r="G3797" t="s">
        <v>1374</v>
      </c>
    </row>
    <row r="3798" spans="1:7">
      <c r="A3798" t="s">
        <v>5401</v>
      </c>
      <c r="B3798" s="2">
        <v>45880</v>
      </c>
      <c r="C3798" t="s">
        <v>79</v>
      </c>
      <c r="D3798" t="s">
        <v>1629</v>
      </c>
      <c r="E3798">
        <v>87.72</v>
      </c>
      <c r="F3798" t="s">
        <v>1578</v>
      </c>
      <c r="G3798" t="s">
        <v>1374</v>
      </c>
    </row>
    <row r="3799" spans="1:7">
      <c r="A3799" t="s">
        <v>5402</v>
      </c>
      <c r="B3799" s="2">
        <v>45880</v>
      </c>
      <c r="C3799" t="s">
        <v>81</v>
      </c>
      <c r="D3799" t="s">
        <v>1629</v>
      </c>
      <c r="E3799">
        <v>173.72</v>
      </c>
      <c r="F3799" t="s">
        <v>1578</v>
      </c>
      <c r="G3799" t="s">
        <v>1374</v>
      </c>
    </row>
    <row r="3800" spans="1:7">
      <c r="A3800" t="s">
        <v>5403</v>
      </c>
      <c r="B3800" s="2">
        <v>45880</v>
      </c>
      <c r="C3800" t="s">
        <v>97</v>
      </c>
      <c r="D3800" t="s">
        <v>1629</v>
      </c>
      <c r="E3800">
        <v>87.72</v>
      </c>
      <c r="F3800" t="s">
        <v>1578</v>
      </c>
      <c r="G3800" t="s">
        <v>1374</v>
      </c>
    </row>
    <row r="3801" spans="1:7">
      <c r="A3801" t="s">
        <v>5404</v>
      </c>
      <c r="B3801" s="2">
        <v>45880</v>
      </c>
      <c r="C3801" t="s">
        <v>110</v>
      </c>
      <c r="D3801" t="s">
        <v>1629</v>
      </c>
      <c r="E3801">
        <v>87.72</v>
      </c>
      <c r="F3801" t="s">
        <v>1578</v>
      </c>
      <c r="G3801" t="s">
        <v>1374</v>
      </c>
    </row>
    <row r="3802" spans="1:7">
      <c r="A3802" t="s">
        <v>5405</v>
      </c>
      <c r="B3802" s="2">
        <v>45880</v>
      </c>
      <c r="C3802" t="s">
        <v>114</v>
      </c>
      <c r="D3802" t="s">
        <v>1629</v>
      </c>
      <c r="E3802">
        <v>86.86</v>
      </c>
      <c r="F3802" t="s">
        <v>1578</v>
      </c>
      <c r="G3802" t="s">
        <v>1374</v>
      </c>
    </row>
    <row r="3803" spans="1:7">
      <c r="A3803" t="s">
        <v>5406</v>
      </c>
      <c r="B3803" s="2">
        <v>45880</v>
      </c>
      <c r="C3803" t="s">
        <v>117</v>
      </c>
      <c r="D3803" t="s">
        <v>1629</v>
      </c>
      <c r="E3803">
        <v>86.43</v>
      </c>
      <c r="F3803" t="s">
        <v>1578</v>
      </c>
      <c r="G3803" t="s">
        <v>1374</v>
      </c>
    </row>
    <row r="3804" spans="1:7">
      <c r="A3804" t="s">
        <v>5407</v>
      </c>
      <c r="B3804" s="2">
        <v>45880</v>
      </c>
      <c r="C3804" t="s">
        <v>119</v>
      </c>
      <c r="D3804" t="s">
        <v>1629</v>
      </c>
      <c r="E3804">
        <v>86.86</v>
      </c>
      <c r="F3804" t="s">
        <v>1578</v>
      </c>
      <c r="G3804" t="s">
        <v>1374</v>
      </c>
    </row>
    <row r="3805" spans="1:7">
      <c r="A3805" t="s">
        <v>5408</v>
      </c>
      <c r="B3805" s="2">
        <v>45880</v>
      </c>
      <c r="C3805" t="s">
        <v>75</v>
      </c>
      <c r="D3805" t="s">
        <v>1629</v>
      </c>
      <c r="E3805">
        <v>427.23</v>
      </c>
      <c r="F3805" t="s">
        <v>1578</v>
      </c>
      <c r="G3805" t="s">
        <v>1375</v>
      </c>
    </row>
    <row r="3806" spans="1:7">
      <c r="A3806" t="s">
        <v>5409</v>
      </c>
      <c r="B3806" s="2">
        <v>45880</v>
      </c>
      <c r="C3806" t="s">
        <v>91</v>
      </c>
      <c r="D3806" t="s">
        <v>1629</v>
      </c>
      <c r="E3806">
        <v>433.58</v>
      </c>
      <c r="F3806" t="s">
        <v>1578</v>
      </c>
      <c r="G3806" t="s">
        <v>1375</v>
      </c>
    </row>
    <row r="3807" spans="1:7">
      <c r="A3807" t="s">
        <v>5410</v>
      </c>
      <c r="B3807" s="2">
        <v>45880</v>
      </c>
      <c r="C3807" t="s">
        <v>93</v>
      </c>
      <c r="D3807" t="s">
        <v>1629</v>
      </c>
      <c r="E3807">
        <v>431.46</v>
      </c>
      <c r="F3807" t="s">
        <v>1578</v>
      </c>
      <c r="G3807" t="s">
        <v>1375</v>
      </c>
    </row>
    <row r="3808" spans="1:7">
      <c r="A3808" t="s">
        <v>5411</v>
      </c>
      <c r="B3808" s="2">
        <v>45880</v>
      </c>
      <c r="C3808" t="s">
        <v>95</v>
      </c>
      <c r="D3808" t="s">
        <v>1629</v>
      </c>
      <c r="E3808">
        <v>429.34</v>
      </c>
      <c r="F3808" t="s">
        <v>1578</v>
      </c>
      <c r="G3808" t="s">
        <v>1375</v>
      </c>
    </row>
    <row r="3809" spans="1:7">
      <c r="A3809" t="s">
        <v>5412</v>
      </c>
      <c r="B3809" s="2">
        <v>45880</v>
      </c>
      <c r="C3809" t="s">
        <v>97</v>
      </c>
      <c r="D3809" t="s">
        <v>1629</v>
      </c>
      <c r="E3809">
        <v>427.23</v>
      </c>
      <c r="F3809" t="s">
        <v>1578</v>
      </c>
      <c r="G3809" t="s">
        <v>1375</v>
      </c>
    </row>
    <row r="3810" spans="1:7">
      <c r="A3810" t="s">
        <v>5413</v>
      </c>
      <c r="B3810" s="2">
        <v>45880</v>
      </c>
      <c r="C3810" t="s">
        <v>99</v>
      </c>
      <c r="D3810" t="s">
        <v>1629</v>
      </c>
      <c r="E3810">
        <v>217.84</v>
      </c>
      <c r="F3810" t="s">
        <v>1578</v>
      </c>
      <c r="G3810" t="s">
        <v>1375</v>
      </c>
    </row>
    <row r="3811" spans="1:7">
      <c r="A3811" t="s">
        <v>5414</v>
      </c>
      <c r="B3811" s="2">
        <v>45880</v>
      </c>
      <c r="C3811" t="s">
        <v>102</v>
      </c>
      <c r="D3811" t="s">
        <v>1629</v>
      </c>
      <c r="E3811">
        <v>431.46</v>
      </c>
      <c r="F3811" t="s">
        <v>1578</v>
      </c>
      <c r="G3811" t="s">
        <v>1375</v>
      </c>
    </row>
    <row r="3812" spans="1:7">
      <c r="A3812" t="s">
        <v>5415</v>
      </c>
      <c r="B3812" s="2">
        <v>45880</v>
      </c>
      <c r="C3812" t="s">
        <v>108</v>
      </c>
      <c r="D3812" t="s">
        <v>1629</v>
      </c>
      <c r="E3812">
        <v>858.69</v>
      </c>
      <c r="F3812" t="s">
        <v>1578</v>
      </c>
      <c r="G3812" t="s">
        <v>1375</v>
      </c>
    </row>
    <row r="3813" spans="1:7">
      <c r="A3813" t="s">
        <v>5416</v>
      </c>
      <c r="B3813" s="2">
        <v>45880</v>
      </c>
      <c r="C3813" t="s">
        <v>110</v>
      </c>
      <c r="D3813" t="s">
        <v>1629</v>
      </c>
      <c r="E3813">
        <v>431.46</v>
      </c>
      <c r="F3813" t="s">
        <v>1578</v>
      </c>
      <c r="G3813" t="s">
        <v>1375</v>
      </c>
    </row>
    <row r="3814" spans="1:7">
      <c r="A3814" t="s">
        <v>5417</v>
      </c>
      <c r="B3814" s="2">
        <v>45880</v>
      </c>
      <c r="C3814" t="s">
        <v>114</v>
      </c>
      <c r="D3814" t="s">
        <v>1629</v>
      </c>
      <c r="E3814">
        <v>427.23</v>
      </c>
      <c r="F3814" t="s">
        <v>1578</v>
      </c>
      <c r="G3814" t="s">
        <v>1375</v>
      </c>
    </row>
    <row r="3815" spans="1:7">
      <c r="A3815" t="s">
        <v>5418</v>
      </c>
      <c r="B3815" s="2">
        <v>45880</v>
      </c>
      <c r="C3815" t="s">
        <v>117</v>
      </c>
      <c r="D3815" t="s">
        <v>1629</v>
      </c>
      <c r="E3815">
        <v>425.11</v>
      </c>
      <c r="F3815" t="s">
        <v>1578</v>
      </c>
      <c r="G3815" t="s">
        <v>1375</v>
      </c>
    </row>
    <row r="3816" spans="1:7">
      <c r="A3816" t="s">
        <v>5419</v>
      </c>
      <c r="B3816" s="2">
        <v>45880</v>
      </c>
      <c r="C3816" t="s">
        <v>119</v>
      </c>
      <c r="D3816" t="s">
        <v>1629</v>
      </c>
      <c r="E3816">
        <v>427.23</v>
      </c>
      <c r="F3816" t="s">
        <v>1578</v>
      </c>
      <c r="G3816" t="s">
        <v>1375</v>
      </c>
    </row>
    <row r="3817" spans="1:7">
      <c r="A3817" t="s">
        <v>5420</v>
      </c>
      <c r="B3817" s="2">
        <v>45880</v>
      </c>
      <c r="C3817" t="s">
        <v>117</v>
      </c>
      <c r="D3817" t="s">
        <v>1683</v>
      </c>
      <c r="E3817">
        <v>348</v>
      </c>
      <c r="F3817" t="s">
        <v>1578</v>
      </c>
      <c r="G3817" t="s">
        <v>785</v>
      </c>
    </row>
    <row r="3818" spans="1:7">
      <c r="A3818" t="s">
        <v>5421</v>
      </c>
      <c r="B3818" s="2">
        <v>45881</v>
      </c>
      <c r="C3818" t="s">
        <v>61</v>
      </c>
      <c r="D3818" t="s">
        <v>1629</v>
      </c>
      <c r="E3818">
        <v>426.36</v>
      </c>
      <c r="F3818" t="s">
        <v>1578</v>
      </c>
      <c r="G3818" t="s">
        <v>1376</v>
      </c>
    </row>
    <row r="3819" spans="1:7">
      <c r="A3819" t="s">
        <v>5422</v>
      </c>
      <c r="B3819" s="2">
        <v>45881</v>
      </c>
      <c r="C3819" t="s">
        <v>65</v>
      </c>
      <c r="D3819" t="s">
        <v>1629</v>
      </c>
      <c r="E3819">
        <v>424.27</v>
      </c>
      <c r="F3819" t="s">
        <v>1578</v>
      </c>
      <c r="G3819" t="s">
        <v>1376</v>
      </c>
    </row>
    <row r="3820" spans="1:7">
      <c r="A3820" t="s">
        <v>5423</v>
      </c>
      <c r="B3820" s="2">
        <v>45881</v>
      </c>
      <c r="C3820" t="s">
        <v>68</v>
      </c>
      <c r="D3820" t="s">
        <v>1629</v>
      </c>
      <c r="E3820">
        <v>426.36</v>
      </c>
      <c r="F3820" t="s">
        <v>1578</v>
      </c>
      <c r="G3820" t="s">
        <v>1376</v>
      </c>
    </row>
    <row r="3821" spans="1:7">
      <c r="A3821" t="s">
        <v>5424</v>
      </c>
      <c r="B3821" s="2">
        <v>45881</v>
      </c>
      <c r="C3821" t="s">
        <v>70</v>
      </c>
      <c r="D3821" t="s">
        <v>1629</v>
      </c>
      <c r="E3821">
        <v>422.18</v>
      </c>
      <c r="F3821" t="s">
        <v>1578</v>
      </c>
      <c r="G3821" t="s">
        <v>1376</v>
      </c>
    </row>
    <row r="3822" spans="1:7">
      <c r="A3822" t="s">
        <v>5425</v>
      </c>
      <c r="B3822" s="2">
        <v>45881</v>
      </c>
      <c r="C3822" t="s">
        <v>75</v>
      </c>
      <c r="D3822" t="s">
        <v>1629</v>
      </c>
      <c r="E3822">
        <v>422.18</v>
      </c>
      <c r="F3822" t="s">
        <v>1578</v>
      </c>
      <c r="G3822" t="s">
        <v>1376</v>
      </c>
    </row>
    <row r="3823" spans="1:7">
      <c r="A3823" t="s">
        <v>5426</v>
      </c>
      <c r="B3823" s="2">
        <v>45881</v>
      </c>
      <c r="C3823" t="s">
        <v>77</v>
      </c>
      <c r="D3823" t="s">
        <v>1629</v>
      </c>
      <c r="E3823">
        <v>422.18</v>
      </c>
      <c r="F3823" t="s">
        <v>1578</v>
      </c>
      <c r="G3823" t="s">
        <v>1376</v>
      </c>
    </row>
    <row r="3824" spans="1:7">
      <c r="A3824" t="s">
        <v>5427</v>
      </c>
      <c r="B3824" s="2">
        <v>45881</v>
      </c>
      <c r="C3824" t="s">
        <v>79</v>
      </c>
      <c r="D3824" t="s">
        <v>1629</v>
      </c>
      <c r="E3824">
        <v>426.36</v>
      </c>
      <c r="F3824" t="s">
        <v>1578</v>
      </c>
      <c r="G3824" t="s">
        <v>1376</v>
      </c>
    </row>
    <row r="3825" spans="1:7">
      <c r="A3825" t="s">
        <v>5428</v>
      </c>
      <c r="B3825" s="2">
        <v>45881</v>
      </c>
      <c r="C3825" t="s">
        <v>81</v>
      </c>
      <c r="D3825" t="s">
        <v>1629</v>
      </c>
      <c r="E3825">
        <v>844.36</v>
      </c>
      <c r="F3825" t="s">
        <v>1578</v>
      </c>
      <c r="G3825" t="s">
        <v>1376</v>
      </c>
    </row>
    <row r="3826" spans="1:7">
      <c r="A3826" t="s">
        <v>5429</v>
      </c>
      <c r="B3826" s="2">
        <v>45881</v>
      </c>
      <c r="C3826" t="s">
        <v>110</v>
      </c>
      <c r="D3826" t="s">
        <v>1629</v>
      </c>
      <c r="E3826">
        <v>426.36</v>
      </c>
      <c r="F3826" t="s">
        <v>1578</v>
      </c>
      <c r="G3826" t="s">
        <v>1376</v>
      </c>
    </row>
    <row r="3827" spans="1:7">
      <c r="A3827" t="s">
        <v>5430</v>
      </c>
      <c r="B3827" s="2">
        <v>45881</v>
      </c>
      <c r="C3827" t="s">
        <v>114</v>
      </c>
      <c r="D3827" t="s">
        <v>1629</v>
      </c>
      <c r="E3827">
        <v>422.18</v>
      </c>
      <c r="F3827" t="s">
        <v>1578</v>
      </c>
      <c r="G3827" t="s">
        <v>1376</v>
      </c>
    </row>
    <row r="3828" spans="1:7">
      <c r="A3828" t="s">
        <v>5431</v>
      </c>
      <c r="B3828" s="2">
        <v>45881</v>
      </c>
      <c r="C3828" t="s">
        <v>117</v>
      </c>
      <c r="D3828" t="s">
        <v>1629</v>
      </c>
      <c r="E3828">
        <v>420.09</v>
      </c>
      <c r="F3828" t="s">
        <v>1578</v>
      </c>
      <c r="G3828" t="s">
        <v>1376</v>
      </c>
    </row>
    <row r="3829" spans="1:7">
      <c r="A3829" t="s">
        <v>5432</v>
      </c>
      <c r="B3829" s="2">
        <v>45881</v>
      </c>
      <c r="C3829" t="s">
        <v>119</v>
      </c>
      <c r="D3829" t="s">
        <v>1629</v>
      </c>
      <c r="E3829">
        <v>422.18</v>
      </c>
      <c r="F3829" t="s">
        <v>1578</v>
      </c>
      <c r="G3829" t="s">
        <v>1376</v>
      </c>
    </row>
    <row r="3830" spans="1:7">
      <c r="A3830" t="s">
        <v>5433</v>
      </c>
      <c r="B3830" s="2">
        <v>45881</v>
      </c>
      <c r="C3830" t="s">
        <v>61</v>
      </c>
      <c r="D3830" t="s">
        <v>1629</v>
      </c>
      <c r="E3830">
        <v>260.10000000000002</v>
      </c>
      <c r="F3830" t="s">
        <v>1578</v>
      </c>
      <c r="G3830" t="s">
        <v>1377</v>
      </c>
    </row>
    <row r="3831" spans="1:7">
      <c r="A3831" t="s">
        <v>5434</v>
      </c>
      <c r="B3831" s="2">
        <v>45881</v>
      </c>
      <c r="C3831" t="s">
        <v>65</v>
      </c>
      <c r="D3831" t="s">
        <v>1629</v>
      </c>
      <c r="E3831">
        <v>258.82</v>
      </c>
      <c r="F3831" t="s">
        <v>1578</v>
      </c>
      <c r="G3831" t="s">
        <v>1377</v>
      </c>
    </row>
    <row r="3832" spans="1:7">
      <c r="A3832" t="s">
        <v>5435</v>
      </c>
      <c r="B3832" s="2">
        <v>45881</v>
      </c>
      <c r="C3832" t="s">
        <v>68</v>
      </c>
      <c r="D3832" t="s">
        <v>1629</v>
      </c>
      <c r="E3832">
        <v>260.10000000000002</v>
      </c>
      <c r="F3832" t="s">
        <v>1578</v>
      </c>
      <c r="G3832" t="s">
        <v>1377</v>
      </c>
    </row>
    <row r="3833" spans="1:7">
      <c r="A3833" t="s">
        <v>5436</v>
      </c>
      <c r="B3833" s="2">
        <v>45881</v>
      </c>
      <c r="C3833" t="s">
        <v>70</v>
      </c>
      <c r="D3833" t="s">
        <v>1629</v>
      </c>
      <c r="E3833">
        <v>257.55</v>
      </c>
      <c r="F3833" t="s">
        <v>1578</v>
      </c>
      <c r="G3833" t="s">
        <v>1377</v>
      </c>
    </row>
    <row r="3834" spans="1:7">
      <c r="A3834" t="s">
        <v>5437</v>
      </c>
      <c r="B3834" s="2">
        <v>45881</v>
      </c>
      <c r="C3834" t="s">
        <v>75</v>
      </c>
      <c r="D3834" t="s">
        <v>1629</v>
      </c>
      <c r="E3834">
        <v>257.55</v>
      </c>
      <c r="F3834" t="s">
        <v>1578</v>
      </c>
      <c r="G3834" t="s">
        <v>1377</v>
      </c>
    </row>
    <row r="3835" spans="1:7">
      <c r="A3835" t="s">
        <v>5438</v>
      </c>
      <c r="B3835" s="2">
        <v>45881</v>
      </c>
      <c r="C3835" t="s">
        <v>77</v>
      </c>
      <c r="D3835" t="s">
        <v>1629</v>
      </c>
      <c r="E3835">
        <v>257.55</v>
      </c>
      <c r="F3835" t="s">
        <v>1578</v>
      </c>
      <c r="G3835" t="s">
        <v>1377</v>
      </c>
    </row>
    <row r="3836" spans="1:7">
      <c r="A3836" t="s">
        <v>5439</v>
      </c>
      <c r="B3836" s="2">
        <v>45881</v>
      </c>
      <c r="C3836" t="s">
        <v>79</v>
      </c>
      <c r="D3836" t="s">
        <v>1629</v>
      </c>
      <c r="E3836">
        <v>260.10000000000002</v>
      </c>
      <c r="F3836" t="s">
        <v>1578</v>
      </c>
      <c r="G3836" t="s">
        <v>1377</v>
      </c>
    </row>
    <row r="3837" spans="1:7">
      <c r="A3837" t="s">
        <v>5440</v>
      </c>
      <c r="B3837" s="2">
        <v>45881</v>
      </c>
      <c r="C3837" t="s">
        <v>81</v>
      </c>
      <c r="D3837" t="s">
        <v>1629</v>
      </c>
      <c r="E3837">
        <v>515.1</v>
      </c>
      <c r="F3837" t="s">
        <v>1578</v>
      </c>
      <c r="G3837" t="s">
        <v>1377</v>
      </c>
    </row>
    <row r="3838" spans="1:7">
      <c r="A3838" t="s">
        <v>5441</v>
      </c>
      <c r="B3838" s="2">
        <v>45881</v>
      </c>
      <c r="C3838" t="s">
        <v>110</v>
      </c>
      <c r="D3838" t="s">
        <v>1629</v>
      </c>
      <c r="E3838">
        <v>260.10000000000002</v>
      </c>
      <c r="F3838" t="s">
        <v>1578</v>
      </c>
      <c r="G3838" t="s">
        <v>1377</v>
      </c>
    </row>
    <row r="3839" spans="1:7">
      <c r="A3839" t="s">
        <v>5442</v>
      </c>
      <c r="B3839" s="2">
        <v>45881</v>
      </c>
      <c r="C3839" t="s">
        <v>114</v>
      </c>
      <c r="D3839" t="s">
        <v>1629</v>
      </c>
      <c r="E3839">
        <v>257.55</v>
      </c>
      <c r="F3839" t="s">
        <v>1578</v>
      </c>
      <c r="G3839" t="s">
        <v>1377</v>
      </c>
    </row>
    <row r="3840" spans="1:7">
      <c r="A3840" t="s">
        <v>5443</v>
      </c>
      <c r="B3840" s="2">
        <v>45881</v>
      </c>
      <c r="C3840" t="s">
        <v>117</v>
      </c>
      <c r="D3840" t="s">
        <v>1629</v>
      </c>
      <c r="E3840">
        <v>256.27</v>
      </c>
      <c r="F3840" t="s">
        <v>1578</v>
      </c>
      <c r="G3840" t="s">
        <v>1377</v>
      </c>
    </row>
    <row r="3841" spans="1:7">
      <c r="A3841" t="s">
        <v>5444</v>
      </c>
      <c r="B3841" s="2">
        <v>45881</v>
      </c>
      <c r="C3841" t="s">
        <v>119</v>
      </c>
      <c r="D3841" t="s">
        <v>1629</v>
      </c>
      <c r="E3841">
        <v>257.55</v>
      </c>
      <c r="F3841" t="s">
        <v>1578</v>
      </c>
      <c r="G3841" t="s">
        <v>1377</v>
      </c>
    </row>
    <row r="3842" spans="1:7">
      <c r="A3842" t="s">
        <v>5445</v>
      </c>
      <c r="B3842" s="2">
        <v>45881</v>
      </c>
      <c r="C3842" t="s">
        <v>104</v>
      </c>
      <c r="D3842" t="s">
        <v>1683</v>
      </c>
      <c r="E3842">
        <v>337</v>
      </c>
      <c r="F3842" t="s">
        <v>1578</v>
      </c>
      <c r="G3842" t="s">
        <v>787</v>
      </c>
    </row>
    <row r="3843" spans="1:7">
      <c r="A3843" t="s">
        <v>5446</v>
      </c>
      <c r="B3843" s="2">
        <v>45882</v>
      </c>
      <c r="C3843" t="s">
        <v>61</v>
      </c>
      <c r="D3843" t="s">
        <v>1629</v>
      </c>
      <c r="E3843">
        <v>133.62</v>
      </c>
      <c r="F3843" t="s">
        <v>1578</v>
      </c>
      <c r="G3843" t="s">
        <v>1378</v>
      </c>
    </row>
    <row r="3844" spans="1:7">
      <c r="A3844" t="s">
        <v>5447</v>
      </c>
      <c r="B3844" s="2">
        <v>45882</v>
      </c>
      <c r="C3844" t="s">
        <v>65</v>
      </c>
      <c r="D3844" t="s">
        <v>1629</v>
      </c>
      <c r="E3844">
        <v>132.96</v>
      </c>
      <c r="F3844" t="s">
        <v>1578</v>
      </c>
      <c r="G3844" t="s">
        <v>1378</v>
      </c>
    </row>
    <row r="3845" spans="1:7">
      <c r="A3845" t="s">
        <v>5448</v>
      </c>
      <c r="B3845" s="2">
        <v>45882</v>
      </c>
      <c r="C3845" t="s">
        <v>68</v>
      </c>
      <c r="D3845" t="s">
        <v>1629</v>
      </c>
      <c r="E3845">
        <v>133.62</v>
      </c>
      <c r="F3845" t="s">
        <v>1578</v>
      </c>
      <c r="G3845" t="s">
        <v>1378</v>
      </c>
    </row>
    <row r="3846" spans="1:7">
      <c r="A3846" t="s">
        <v>5449</v>
      </c>
      <c r="B3846" s="2">
        <v>45882</v>
      </c>
      <c r="C3846" t="s">
        <v>70</v>
      </c>
      <c r="D3846" t="s">
        <v>1629</v>
      </c>
      <c r="E3846">
        <v>132.31</v>
      </c>
      <c r="F3846" t="s">
        <v>1578</v>
      </c>
      <c r="G3846" t="s">
        <v>1378</v>
      </c>
    </row>
    <row r="3847" spans="1:7">
      <c r="A3847" t="s">
        <v>5450</v>
      </c>
      <c r="B3847" s="2">
        <v>45882</v>
      </c>
      <c r="C3847" t="s">
        <v>73</v>
      </c>
      <c r="D3847" t="s">
        <v>1629</v>
      </c>
      <c r="E3847">
        <v>133.62</v>
      </c>
      <c r="F3847" t="s">
        <v>1578</v>
      </c>
      <c r="G3847" t="s">
        <v>1378</v>
      </c>
    </row>
    <row r="3848" spans="1:7">
      <c r="A3848" t="s">
        <v>5451</v>
      </c>
      <c r="B3848" s="2">
        <v>45882</v>
      </c>
      <c r="C3848" t="s">
        <v>75</v>
      </c>
      <c r="D3848" t="s">
        <v>1629</v>
      </c>
      <c r="E3848">
        <v>132.31</v>
      </c>
      <c r="F3848" t="s">
        <v>1578</v>
      </c>
      <c r="G3848" t="s">
        <v>1378</v>
      </c>
    </row>
    <row r="3849" spans="1:7">
      <c r="A3849" t="s">
        <v>5452</v>
      </c>
      <c r="B3849" s="2">
        <v>45882</v>
      </c>
      <c r="C3849" t="s">
        <v>77</v>
      </c>
      <c r="D3849" t="s">
        <v>1629</v>
      </c>
      <c r="E3849">
        <v>132.31</v>
      </c>
      <c r="F3849" t="s">
        <v>1578</v>
      </c>
      <c r="G3849" t="s">
        <v>1378</v>
      </c>
    </row>
    <row r="3850" spans="1:7">
      <c r="A3850" t="s">
        <v>5453</v>
      </c>
      <c r="B3850" s="2">
        <v>45882</v>
      </c>
      <c r="C3850" t="s">
        <v>79</v>
      </c>
      <c r="D3850" t="s">
        <v>1629</v>
      </c>
      <c r="E3850">
        <v>133.62</v>
      </c>
      <c r="F3850" t="s">
        <v>1578</v>
      </c>
      <c r="G3850" t="s">
        <v>1378</v>
      </c>
    </row>
    <row r="3851" spans="1:7">
      <c r="A3851" t="s">
        <v>5454</v>
      </c>
      <c r="B3851" s="2">
        <v>45882</v>
      </c>
      <c r="C3851" t="s">
        <v>81</v>
      </c>
      <c r="D3851" t="s">
        <v>1629</v>
      </c>
      <c r="E3851">
        <v>264.62</v>
      </c>
      <c r="F3851" t="s">
        <v>1578</v>
      </c>
      <c r="G3851" t="s">
        <v>1378</v>
      </c>
    </row>
    <row r="3852" spans="1:7">
      <c r="A3852" t="s">
        <v>5455</v>
      </c>
      <c r="B3852" s="2">
        <v>45882</v>
      </c>
      <c r="C3852" t="s">
        <v>108</v>
      </c>
      <c r="D3852" t="s">
        <v>1629</v>
      </c>
      <c r="E3852">
        <v>265.93</v>
      </c>
      <c r="F3852" t="s">
        <v>1578</v>
      </c>
      <c r="G3852" t="s">
        <v>1378</v>
      </c>
    </row>
    <row r="3853" spans="1:7">
      <c r="A3853" t="s">
        <v>5456</v>
      </c>
      <c r="B3853" s="2">
        <v>45882</v>
      </c>
      <c r="C3853" t="s">
        <v>110</v>
      </c>
      <c r="D3853" t="s">
        <v>1629</v>
      </c>
      <c r="E3853">
        <v>133.62</v>
      </c>
      <c r="F3853" t="s">
        <v>1578</v>
      </c>
      <c r="G3853" t="s">
        <v>1378</v>
      </c>
    </row>
    <row r="3854" spans="1:7">
      <c r="A3854" t="s">
        <v>5457</v>
      </c>
      <c r="B3854" s="2">
        <v>45882</v>
      </c>
      <c r="C3854" t="s">
        <v>114</v>
      </c>
      <c r="D3854" t="s">
        <v>1629</v>
      </c>
      <c r="E3854">
        <v>132.31</v>
      </c>
      <c r="F3854" t="s">
        <v>1578</v>
      </c>
      <c r="G3854" t="s">
        <v>1378</v>
      </c>
    </row>
    <row r="3855" spans="1:7">
      <c r="A3855" t="s">
        <v>5458</v>
      </c>
      <c r="B3855" s="2">
        <v>45882</v>
      </c>
      <c r="C3855" t="s">
        <v>117</v>
      </c>
      <c r="D3855" t="s">
        <v>1629</v>
      </c>
      <c r="E3855">
        <v>131.65</v>
      </c>
      <c r="F3855" t="s">
        <v>1578</v>
      </c>
      <c r="G3855" t="s">
        <v>1378</v>
      </c>
    </row>
    <row r="3856" spans="1:7">
      <c r="A3856" t="s">
        <v>5459</v>
      </c>
      <c r="B3856" s="2">
        <v>45882</v>
      </c>
      <c r="C3856" t="s">
        <v>119</v>
      </c>
      <c r="D3856" t="s">
        <v>1629</v>
      </c>
      <c r="E3856">
        <v>132.31</v>
      </c>
      <c r="F3856" t="s">
        <v>1578</v>
      </c>
      <c r="G3856" t="s">
        <v>1378</v>
      </c>
    </row>
    <row r="3857" spans="1:7">
      <c r="A3857" t="s">
        <v>5460</v>
      </c>
      <c r="B3857" s="2">
        <v>45883</v>
      </c>
      <c r="C3857" t="s">
        <v>61</v>
      </c>
      <c r="D3857" t="s">
        <v>1629</v>
      </c>
      <c r="E3857">
        <v>153</v>
      </c>
      <c r="F3857" t="s">
        <v>1578</v>
      </c>
      <c r="G3857" t="s">
        <v>1379</v>
      </c>
    </row>
    <row r="3858" spans="1:7">
      <c r="A3858" t="s">
        <v>5461</v>
      </c>
      <c r="B3858" s="2">
        <v>45883</v>
      </c>
      <c r="C3858" t="s">
        <v>65</v>
      </c>
      <c r="D3858" t="s">
        <v>1629</v>
      </c>
      <c r="E3858">
        <v>152.25</v>
      </c>
      <c r="F3858" t="s">
        <v>1578</v>
      </c>
      <c r="G3858" t="s">
        <v>1379</v>
      </c>
    </row>
    <row r="3859" spans="1:7">
      <c r="A3859" t="s">
        <v>5462</v>
      </c>
      <c r="B3859" s="2">
        <v>45883</v>
      </c>
      <c r="C3859" t="s">
        <v>68</v>
      </c>
      <c r="D3859" t="s">
        <v>1629</v>
      </c>
      <c r="E3859">
        <v>153</v>
      </c>
      <c r="F3859" t="s">
        <v>1578</v>
      </c>
      <c r="G3859" t="s">
        <v>1379</v>
      </c>
    </row>
    <row r="3860" spans="1:7">
      <c r="A3860" t="s">
        <v>5463</v>
      </c>
      <c r="B3860" s="2">
        <v>45883</v>
      </c>
      <c r="C3860" t="s">
        <v>75</v>
      </c>
      <c r="D3860" t="s">
        <v>1629</v>
      </c>
      <c r="E3860">
        <v>151.5</v>
      </c>
      <c r="F3860" t="s">
        <v>1578</v>
      </c>
      <c r="G3860" t="s">
        <v>1379</v>
      </c>
    </row>
    <row r="3861" spans="1:7">
      <c r="A3861" t="s">
        <v>5464</v>
      </c>
      <c r="B3861" s="2">
        <v>45883</v>
      </c>
      <c r="C3861" t="s">
        <v>79</v>
      </c>
      <c r="D3861" t="s">
        <v>1629</v>
      </c>
      <c r="E3861">
        <v>153</v>
      </c>
      <c r="F3861" t="s">
        <v>1578</v>
      </c>
      <c r="G3861" t="s">
        <v>1379</v>
      </c>
    </row>
    <row r="3862" spans="1:7">
      <c r="A3862" t="s">
        <v>5465</v>
      </c>
      <c r="B3862" s="2">
        <v>45883</v>
      </c>
      <c r="C3862" t="s">
        <v>81</v>
      </c>
      <c r="D3862" t="s">
        <v>1629</v>
      </c>
      <c r="E3862">
        <v>303</v>
      </c>
      <c r="F3862" t="s">
        <v>1578</v>
      </c>
      <c r="G3862" t="s">
        <v>1379</v>
      </c>
    </row>
    <row r="3863" spans="1:7">
      <c r="A3863" t="s">
        <v>5466</v>
      </c>
      <c r="B3863" s="2">
        <v>45883</v>
      </c>
      <c r="C3863" t="s">
        <v>97</v>
      </c>
      <c r="D3863" t="s">
        <v>1629</v>
      </c>
      <c r="E3863">
        <v>153</v>
      </c>
      <c r="F3863" t="s">
        <v>1578</v>
      </c>
      <c r="G3863" t="s">
        <v>1379</v>
      </c>
    </row>
    <row r="3864" spans="1:7">
      <c r="A3864" t="s">
        <v>5467</v>
      </c>
      <c r="B3864" s="2">
        <v>45883</v>
      </c>
      <c r="C3864" t="s">
        <v>110</v>
      </c>
      <c r="D3864" t="s">
        <v>1629</v>
      </c>
      <c r="E3864">
        <v>153</v>
      </c>
      <c r="F3864" t="s">
        <v>1578</v>
      </c>
      <c r="G3864" t="s">
        <v>1379</v>
      </c>
    </row>
    <row r="3865" spans="1:7">
      <c r="A3865" t="s">
        <v>5468</v>
      </c>
      <c r="B3865" s="2">
        <v>45883</v>
      </c>
      <c r="C3865" t="s">
        <v>114</v>
      </c>
      <c r="D3865" t="s">
        <v>1629</v>
      </c>
      <c r="E3865">
        <v>151.5</v>
      </c>
      <c r="F3865" t="s">
        <v>1578</v>
      </c>
      <c r="G3865" t="s">
        <v>1379</v>
      </c>
    </row>
    <row r="3866" spans="1:7">
      <c r="A3866" t="s">
        <v>5469</v>
      </c>
      <c r="B3866" s="2">
        <v>45883</v>
      </c>
      <c r="C3866" t="s">
        <v>117</v>
      </c>
      <c r="D3866" t="s">
        <v>1629</v>
      </c>
      <c r="E3866">
        <v>150.75</v>
      </c>
      <c r="F3866" t="s">
        <v>1578</v>
      </c>
      <c r="G3866" t="s">
        <v>1379</v>
      </c>
    </row>
    <row r="3867" spans="1:7">
      <c r="A3867" t="s">
        <v>5470</v>
      </c>
      <c r="B3867" s="2">
        <v>45883</v>
      </c>
      <c r="C3867" t="s">
        <v>119</v>
      </c>
      <c r="D3867" t="s">
        <v>1629</v>
      </c>
      <c r="E3867">
        <v>151.5</v>
      </c>
      <c r="F3867" t="s">
        <v>1578</v>
      </c>
      <c r="G3867" t="s">
        <v>1379</v>
      </c>
    </row>
    <row r="3868" spans="1:7">
      <c r="A3868" t="s">
        <v>5471</v>
      </c>
      <c r="B3868" s="2">
        <v>45883</v>
      </c>
      <c r="C3868" t="s">
        <v>61</v>
      </c>
      <c r="D3868" t="s">
        <v>1629</v>
      </c>
      <c r="E3868">
        <v>259.08</v>
      </c>
      <c r="F3868" t="s">
        <v>1578</v>
      </c>
      <c r="G3868" t="s">
        <v>1380</v>
      </c>
    </row>
    <row r="3869" spans="1:7">
      <c r="A3869" t="s">
        <v>5472</v>
      </c>
      <c r="B3869" s="2">
        <v>45883</v>
      </c>
      <c r="C3869" t="s">
        <v>65</v>
      </c>
      <c r="D3869" t="s">
        <v>1629</v>
      </c>
      <c r="E3869">
        <v>257.81</v>
      </c>
      <c r="F3869" t="s">
        <v>1578</v>
      </c>
      <c r="G3869" t="s">
        <v>1380</v>
      </c>
    </row>
    <row r="3870" spans="1:7">
      <c r="A3870" t="s">
        <v>5473</v>
      </c>
      <c r="B3870" s="2">
        <v>45883</v>
      </c>
      <c r="C3870" t="s">
        <v>68</v>
      </c>
      <c r="D3870" t="s">
        <v>1629</v>
      </c>
      <c r="E3870">
        <v>259.08</v>
      </c>
      <c r="F3870" t="s">
        <v>1578</v>
      </c>
      <c r="G3870" t="s">
        <v>1380</v>
      </c>
    </row>
    <row r="3871" spans="1:7">
      <c r="A3871" t="s">
        <v>5474</v>
      </c>
      <c r="B3871" s="2">
        <v>45883</v>
      </c>
      <c r="C3871" t="s">
        <v>70</v>
      </c>
      <c r="D3871" t="s">
        <v>1629</v>
      </c>
      <c r="E3871">
        <v>256.54000000000002</v>
      </c>
      <c r="F3871" t="s">
        <v>1578</v>
      </c>
      <c r="G3871" t="s">
        <v>1380</v>
      </c>
    </row>
    <row r="3872" spans="1:7">
      <c r="A3872" t="s">
        <v>5475</v>
      </c>
      <c r="B3872" s="2">
        <v>45883</v>
      </c>
      <c r="C3872" t="s">
        <v>75</v>
      </c>
      <c r="D3872" t="s">
        <v>1629</v>
      </c>
      <c r="E3872">
        <v>256.54000000000002</v>
      </c>
      <c r="F3872" t="s">
        <v>1578</v>
      </c>
      <c r="G3872" t="s">
        <v>1380</v>
      </c>
    </row>
    <row r="3873" spans="1:7">
      <c r="A3873" t="s">
        <v>5476</v>
      </c>
      <c r="B3873" s="2">
        <v>45883</v>
      </c>
      <c r="C3873" t="s">
        <v>77</v>
      </c>
      <c r="D3873" t="s">
        <v>1629</v>
      </c>
      <c r="E3873">
        <v>256.54000000000002</v>
      </c>
      <c r="F3873" t="s">
        <v>1578</v>
      </c>
      <c r="G3873" t="s">
        <v>1380</v>
      </c>
    </row>
    <row r="3874" spans="1:7">
      <c r="A3874" t="s">
        <v>5477</v>
      </c>
      <c r="B3874" s="2">
        <v>45883</v>
      </c>
      <c r="C3874" t="s">
        <v>79</v>
      </c>
      <c r="D3874" t="s">
        <v>1629</v>
      </c>
      <c r="E3874">
        <v>259.08</v>
      </c>
      <c r="F3874" t="s">
        <v>1578</v>
      </c>
      <c r="G3874" t="s">
        <v>1380</v>
      </c>
    </row>
    <row r="3875" spans="1:7">
      <c r="A3875" t="s">
        <v>5478</v>
      </c>
      <c r="B3875" s="2">
        <v>45883</v>
      </c>
      <c r="C3875" t="s">
        <v>81</v>
      </c>
      <c r="D3875" t="s">
        <v>1629</v>
      </c>
      <c r="E3875">
        <v>513.08000000000004</v>
      </c>
      <c r="F3875" t="s">
        <v>1578</v>
      </c>
      <c r="G3875" t="s">
        <v>1380</v>
      </c>
    </row>
    <row r="3876" spans="1:7">
      <c r="A3876" t="s">
        <v>5479</v>
      </c>
      <c r="B3876" s="2">
        <v>45883</v>
      </c>
      <c r="C3876" t="s">
        <v>110</v>
      </c>
      <c r="D3876" t="s">
        <v>1629</v>
      </c>
      <c r="E3876">
        <v>259.08</v>
      </c>
      <c r="F3876" t="s">
        <v>1578</v>
      </c>
      <c r="G3876" t="s">
        <v>1380</v>
      </c>
    </row>
    <row r="3877" spans="1:7">
      <c r="A3877" t="s">
        <v>5480</v>
      </c>
      <c r="B3877" s="2">
        <v>45883</v>
      </c>
      <c r="C3877" t="s">
        <v>114</v>
      </c>
      <c r="D3877" t="s">
        <v>1629</v>
      </c>
      <c r="E3877">
        <v>256.54000000000002</v>
      </c>
      <c r="F3877" t="s">
        <v>1578</v>
      </c>
      <c r="G3877" t="s">
        <v>1380</v>
      </c>
    </row>
    <row r="3878" spans="1:7">
      <c r="A3878" t="s">
        <v>5481</v>
      </c>
      <c r="B3878" s="2">
        <v>45883</v>
      </c>
      <c r="C3878" t="s">
        <v>117</v>
      </c>
      <c r="D3878" t="s">
        <v>1629</v>
      </c>
      <c r="E3878">
        <v>255.27</v>
      </c>
      <c r="F3878" t="s">
        <v>1578</v>
      </c>
      <c r="G3878" t="s">
        <v>1380</v>
      </c>
    </row>
    <row r="3879" spans="1:7">
      <c r="A3879" t="s">
        <v>5482</v>
      </c>
      <c r="B3879" s="2">
        <v>45883</v>
      </c>
      <c r="C3879" t="s">
        <v>119</v>
      </c>
      <c r="D3879" t="s">
        <v>1629</v>
      </c>
      <c r="E3879">
        <v>256.54000000000002</v>
      </c>
      <c r="F3879" t="s">
        <v>1578</v>
      </c>
      <c r="G3879" t="s">
        <v>1380</v>
      </c>
    </row>
    <row r="3880" spans="1:7">
      <c r="A3880" t="s">
        <v>5483</v>
      </c>
      <c r="B3880" s="2">
        <v>45883</v>
      </c>
      <c r="C3880" t="s">
        <v>99</v>
      </c>
      <c r="D3880" t="s">
        <v>1683</v>
      </c>
      <c r="E3880">
        <v>431</v>
      </c>
      <c r="F3880" t="s">
        <v>1578</v>
      </c>
      <c r="G3880" t="s">
        <v>788</v>
      </c>
    </row>
    <row r="3881" spans="1:7">
      <c r="A3881" t="s">
        <v>5484</v>
      </c>
      <c r="B3881" s="2">
        <v>45883</v>
      </c>
      <c r="C3881" t="s">
        <v>93</v>
      </c>
      <c r="D3881" t="s">
        <v>1683</v>
      </c>
      <c r="E3881">
        <v>139</v>
      </c>
      <c r="F3881" t="s">
        <v>1578</v>
      </c>
      <c r="G3881" t="s">
        <v>789</v>
      </c>
    </row>
    <row r="3882" spans="1:7">
      <c r="A3882" t="s">
        <v>5485</v>
      </c>
      <c r="B3882" s="2">
        <v>45884</v>
      </c>
      <c r="C3882" t="s">
        <v>61</v>
      </c>
      <c r="D3882" t="s">
        <v>1629</v>
      </c>
      <c r="E3882">
        <v>235.62</v>
      </c>
      <c r="F3882" t="s">
        <v>1578</v>
      </c>
      <c r="G3882" t="s">
        <v>1381</v>
      </c>
    </row>
    <row r="3883" spans="1:7">
      <c r="A3883" t="s">
        <v>5486</v>
      </c>
      <c r="B3883" s="2">
        <v>45884</v>
      </c>
      <c r="C3883" t="s">
        <v>65</v>
      </c>
      <c r="D3883" t="s">
        <v>1629</v>
      </c>
      <c r="E3883">
        <v>234.46</v>
      </c>
      <c r="F3883" t="s">
        <v>1578</v>
      </c>
      <c r="G3883" t="s">
        <v>1381</v>
      </c>
    </row>
    <row r="3884" spans="1:7">
      <c r="A3884" t="s">
        <v>5487</v>
      </c>
      <c r="B3884" s="2">
        <v>45884</v>
      </c>
      <c r="C3884" t="s">
        <v>68</v>
      </c>
      <c r="D3884" t="s">
        <v>1629</v>
      </c>
      <c r="E3884">
        <v>235.62</v>
      </c>
      <c r="F3884" t="s">
        <v>1578</v>
      </c>
      <c r="G3884" t="s">
        <v>1381</v>
      </c>
    </row>
    <row r="3885" spans="1:7">
      <c r="A3885" t="s">
        <v>5488</v>
      </c>
      <c r="B3885" s="2">
        <v>45884</v>
      </c>
      <c r="C3885" t="s">
        <v>70</v>
      </c>
      <c r="D3885" t="s">
        <v>1629</v>
      </c>
      <c r="E3885">
        <v>233.31</v>
      </c>
      <c r="F3885" t="s">
        <v>1578</v>
      </c>
      <c r="G3885" t="s">
        <v>1381</v>
      </c>
    </row>
    <row r="3886" spans="1:7">
      <c r="A3886" t="s">
        <v>5489</v>
      </c>
      <c r="B3886" s="2">
        <v>45884</v>
      </c>
      <c r="C3886" t="s">
        <v>75</v>
      </c>
      <c r="D3886" t="s">
        <v>1629</v>
      </c>
      <c r="E3886">
        <v>233.31</v>
      </c>
      <c r="F3886" t="s">
        <v>1578</v>
      </c>
      <c r="G3886" t="s">
        <v>1381</v>
      </c>
    </row>
    <row r="3887" spans="1:7">
      <c r="A3887" t="s">
        <v>5490</v>
      </c>
      <c r="B3887" s="2">
        <v>45884</v>
      </c>
      <c r="C3887" t="s">
        <v>77</v>
      </c>
      <c r="D3887" t="s">
        <v>1629</v>
      </c>
      <c r="E3887">
        <v>233.31</v>
      </c>
      <c r="F3887" t="s">
        <v>1578</v>
      </c>
      <c r="G3887" t="s">
        <v>1381</v>
      </c>
    </row>
    <row r="3888" spans="1:7">
      <c r="A3888" t="s">
        <v>5491</v>
      </c>
      <c r="B3888" s="2">
        <v>45884</v>
      </c>
      <c r="C3888" t="s">
        <v>79</v>
      </c>
      <c r="D3888" t="s">
        <v>1629</v>
      </c>
      <c r="E3888">
        <v>235.62</v>
      </c>
      <c r="F3888" t="s">
        <v>1578</v>
      </c>
      <c r="G3888" t="s">
        <v>1381</v>
      </c>
    </row>
    <row r="3889" spans="1:7">
      <c r="A3889" t="s">
        <v>5492</v>
      </c>
      <c r="B3889" s="2">
        <v>45884</v>
      </c>
      <c r="C3889" t="s">
        <v>81</v>
      </c>
      <c r="D3889" t="s">
        <v>1629</v>
      </c>
      <c r="E3889">
        <v>466.62</v>
      </c>
      <c r="F3889" t="s">
        <v>1578</v>
      </c>
      <c r="G3889" t="s">
        <v>1381</v>
      </c>
    </row>
    <row r="3890" spans="1:7">
      <c r="A3890" t="s">
        <v>5493</v>
      </c>
      <c r="B3890" s="2">
        <v>45884</v>
      </c>
      <c r="C3890" t="s">
        <v>110</v>
      </c>
      <c r="D3890" t="s">
        <v>1629</v>
      </c>
      <c r="E3890">
        <v>235.62</v>
      </c>
      <c r="F3890" t="s">
        <v>1578</v>
      </c>
      <c r="G3890" t="s">
        <v>1381</v>
      </c>
    </row>
    <row r="3891" spans="1:7">
      <c r="A3891" t="s">
        <v>5494</v>
      </c>
      <c r="B3891" s="2">
        <v>45884</v>
      </c>
      <c r="C3891" t="s">
        <v>114</v>
      </c>
      <c r="D3891" t="s">
        <v>1629</v>
      </c>
      <c r="E3891">
        <v>233.31</v>
      </c>
      <c r="F3891" t="s">
        <v>1578</v>
      </c>
      <c r="G3891" t="s">
        <v>1381</v>
      </c>
    </row>
    <row r="3892" spans="1:7">
      <c r="A3892" t="s">
        <v>5495</v>
      </c>
      <c r="B3892" s="2">
        <v>45884</v>
      </c>
      <c r="C3892" t="s">
        <v>117</v>
      </c>
      <c r="D3892" t="s">
        <v>1629</v>
      </c>
      <c r="E3892">
        <v>232.15</v>
      </c>
      <c r="F3892" t="s">
        <v>1578</v>
      </c>
      <c r="G3892" t="s">
        <v>1381</v>
      </c>
    </row>
    <row r="3893" spans="1:7">
      <c r="A3893" t="s">
        <v>5496</v>
      </c>
      <c r="B3893" s="2">
        <v>45884</v>
      </c>
      <c r="C3893" t="s">
        <v>119</v>
      </c>
      <c r="D3893" t="s">
        <v>1629</v>
      </c>
      <c r="E3893">
        <v>233.31</v>
      </c>
      <c r="F3893" t="s">
        <v>1578</v>
      </c>
      <c r="G3893" t="s">
        <v>1381</v>
      </c>
    </row>
    <row r="3894" spans="1:7">
      <c r="A3894" t="s">
        <v>5497</v>
      </c>
      <c r="B3894" s="2">
        <v>45884</v>
      </c>
      <c r="C3894" t="s">
        <v>61</v>
      </c>
      <c r="D3894" t="s">
        <v>1629</v>
      </c>
      <c r="E3894">
        <v>148.91999999999999</v>
      </c>
      <c r="F3894" t="s">
        <v>1578</v>
      </c>
      <c r="G3894" t="s">
        <v>1382</v>
      </c>
    </row>
    <row r="3895" spans="1:7">
      <c r="A3895" t="s">
        <v>5498</v>
      </c>
      <c r="B3895" s="2">
        <v>45884</v>
      </c>
      <c r="C3895" t="s">
        <v>65</v>
      </c>
      <c r="D3895" t="s">
        <v>1629</v>
      </c>
      <c r="E3895">
        <v>148.19</v>
      </c>
      <c r="F3895" t="s">
        <v>1578</v>
      </c>
      <c r="G3895" t="s">
        <v>1382</v>
      </c>
    </row>
    <row r="3896" spans="1:7">
      <c r="A3896" t="s">
        <v>5499</v>
      </c>
      <c r="B3896" s="2">
        <v>45884</v>
      </c>
      <c r="C3896" t="s">
        <v>68</v>
      </c>
      <c r="D3896" t="s">
        <v>1629</v>
      </c>
      <c r="E3896">
        <v>148.91999999999999</v>
      </c>
      <c r="F3896" t="s">
        <v>1578</v>
      </c>
      <c r="G3896" t="s">
        <v>1382</v>
      </c>
    </row>
    <row r="3897" spans="1:7">
      <c r="A3897" t="s">
        <v>5500</v>
      </c>
      <c r="B3897" s="2">
        <v>45884</v>
      </c>
      <c r="C3897" t="s">
        <v>70</v>
      </c>
      <c r="D3897" t="s">
        <v>1629</v>
      </c>
      <c r="E3897">
        <v>147.46</v>
      </c>
      <c r="F3897" t="s">
        <v>1578</v>
      </c>
      <c r="G3897" t="s">
        <v>1382</v>
      </c>
    </row>
    <row r="3898" spans="1:7">
      <c r="A3898" t="s">
        <v>5501</v>
      </c>
      <c r="B3898" s="2">
        <v>45884</v>
      </c>
      <c r="C3898" t="s">
        <v>75</v>
      </c>
      <c r="D3898" t="s">
        <v>1629</v>
      </c>
      <c r="E3898">
        <v>147.46</v>
      </c>
      <c r="F3898" t="s">
        <v>1578</v>
      </c>
      <c r="G3898" t="s">
        <v>1382</v>
      </c>
    </row>
    <row r="3899" spans="1:7">
      <c r="A3899" t="s">
        <v>5502</v>
      </c>
      <c r="B3899" s="2">
        <v>45884</v>
      </c>
      <c r="C3899" t="s">
        <v>77</v>
      </c>
      <c r="D3899" t="s">
        <v>1629</v>
      </c>
      <c r="E3899">
        <v>147.46</v>
      </c>
      <c r="F3899" t="s">
        <v>1578</v>
      </c>
      <c r="G3899" t="s">
        <v>1382</v>
      </c>
    </row>
    <row r="3900" spans="1:7">
      <c r="A3900" t="s">
        <v>5503</v>
      </c>
      <c r="B3900" s="2">
        <v>45884</v>
      </c>
      <c r="C3900" t="s">
        <v>79</v>
      </c>
      <c r="D3900" t="s">
        <v>1629</v>
      </c>
      <c r="E3900">
        <v>148.91999999999999</v>
      </c>
      <c r="F3900" t="s">
        <v>1578</v>
      </c>
      <c r="G3900" t="s">
        <v>1382</v>
      </c>
    </row>
    <row r="3901" spans="1:7">
      <c r="A3901" t="s">
        <v>5504</v>
      </c>
      <c r="B3901" s="2">
        <v>45884</v>
      </c>
      <c r="C3901" t="s">
        <v>81</v>
      </c>
      <c r="D3901" t="s">
        <v>1629</v>
      </c>
      <c r="E3901">
        <v>294.92</v>
      </c>
      <c r="F3901" t="s">
        <v>1578</v>
      </c>
      <c r="G3901" t="s">
        <v>1382</v>
      </c>
    </row>
    <row r="3902" spans="1:7">
      <c r="A3902" t="s">
        <v>5505</v>
      </c>
      <c r="B3902" s="2">
        <v>45884</v>
      </c>
      <c r="C3902" t="s">
        <v>108</v>
      </c>
      <c r="D3902" t="s">
        <v>1629</v>
      </c>
      <c r="E3902">
        <v>296.38</v>
      </c>
      <c r="F3902" t="s">
        <v>1578</v>
      </c>
      <c r="G3902" t="s">
        <v>1382</v>
      </c>
    </row>
    <row r="3903" spans="1:7">
      <c r="A3903" t="s">
        <v>5506</v>
      </c>
      <c r="B3903" s="2">
        <v>45884</v>
      </c>
      <c r="C3903" t="s">
        <v>110</v>
      </c>
      <c r="D3903" t="s">
        <v>1629</v>
      </c>
      <c r="E3903">
        <v>148.91999999999999</v>
      </c>
      <c r="F3903" t="s">
        <v>1578</v>
      </c>
      <c r="G3903" t="s">
        <v>1382</v>
      </c>
    </row>
    <row r="3904" spans="1:7">
      <c r="A3904" t="s">
        <v>5507</v>
      </c>
      <c r="B3904" s="2">
        <v>45884</v>
      </c>
      <c r="C3904" t="s">
        <v>114</v>
      </c>
      <c r="D3904" t="s">
        <v>1629</v>
      </c>
      <c r="E3904">
        <v>147.46</v>
      </c>
      <c r="F3904" t="s">
        <v>1578</v>
      </c>
      <c r="G3904" t="s">
        <v>1382</v>
      </c>
    </row>
    <row r="3905" spans="1:7">
      <c r="A3905" t="s">
        <v>5508</v>
      </c>
      <c r="B3905" s="2">
        <v>45884</v>
      </c>
      <c r="C3905" t="s">
        <v>117</v>
      </c>
      <c r="D3905" t="s">
        <v>1629</v>
      </c>
      <c r="E3905">
        <v>146.72999999999999</v>
      </c>
      <c r="F3905" t="s">
        <v>1578</v>
      </c>
      <c r="G3905" t="s">
        <v>1382</v>
      </c>
    </row>
    <row r="3906" spans="1:7">
      <c r="A3906" t="s">
        <v>5509</v>
      </c>
      <c r="B3906" s="2">
        <v>45884</v>
      </c>
      <c r="C3906" t="s">
        <v>119</v>
      </c>
      <c r="D3906" t="s">
        <v>1629</v>
      </c>
      <c r="E3906">
        <v>147.46</v>
      </c>
      <c r="F3906" t="s">
        <v>1578</v>
      </c>
      <c r="G3906" t="s">
        <v>1382</v>
      </c>
    </row>
    <row r="3907" spans="1:7">
      <c r="A3907" t="s">
        <v>5510</v>
      </c>
      <c r="B3907" s="2">
        <v>45884</v>
      </c>
      <c r="C3907" t="s">
        <v>70</v>
      </c>
      <c r="D3907" t="s">
        <v>1683</v>
      </c>
      <c r="E3907">
        <v>438</v>
      </c>
      <c r="F3907" t="s">
        <v>1578</v>
      </c>
      <c r="G3907" t="s">
        <v>791</v>
      </c>
    </row>
    <row r="3908" spans="1:7">
      <c r="A3908" t="s">
        <v>5511</v>
      </c>
      <c r="B3908" s="2">
        <v>45885</v>
      </c>
      <c r="C3908" t="s">
        <v>61</v>
      </c>
      <c r="D3908" t="s">
        <v>1629</v>
      </c>
      <c r="E3908">
        <v>100.98</v>
      </c>
      <c r="F3908" t="s">
        <v>1578</v>
      </c>
      <c r="G3908" t="s">
        <v>1383</v>
      </c>
    </row>
    <row r="3909" spans="1:7">
      <c r="A3909" t="s">
        <v>5512</v>
      </c>
      <c r="B3909" s="2">
        <v>45885</v>
      </c>
      <c r="C3909" t="s">
        <v>65</v>
      </c>
      <c r="D3909" t="s">
        <v>1629</v>
      </c>
      <c r="E3909">
        <v>100.48</v>
      </c>
      <c r="F3909" t="s">
        <v>1578</v>
      </c>
      <c r="G3909" t="s">
        <v>1383</v>
      </c>
    </row>
    <row r="3910" spans="1:7">
      <c r="A3910" t="s">
        <v>5513</v>
      </c>
      <c r="B3910" s="2">
        <v>45885</v>
      </c>
      <c r="C3910" t="s">
        <v>68</v>
      </c>
      <c r="D3910" t="s">
        <v>1629</v>
      </c>
      <c r="E3910">
        <v>100.98</v>
      </c>
      <c r="F3910" t="s">
        <v>1578</v>
      </c>
      <c r="G3910" t="s">
        <v>1383</v>
      </c>
    </row>
    <row r="3911" spans="1:7">
      <c r="A3911" t="s">
        <v>5514</v>
      </c>
      <c r="B3911" s="2">
        <v>45885</v>
      </c>
      <c r="C3911" t="s">
        <v>70</v>
      </c>
      <c r="D3911" t="s">
        <v>1629</v>
      </c>
      <c r="E3911">
        <v>99.99</v>
      </c>
      <c r="F3911" t="s">
        <v>1578</v>
      </c>
      <c r="G3911" t="s">
        <v>1383</v>
      </c>
    </row>
    <row r="3912" spans="1:7">
      <c r="A3912" t="s">
        <v>5515</v>
      </c>
      <c r="B3912" s="2">
        <v>45885</v>
      </c>
      <c r="C3912" t="s">
        <v>75</v>
      </c>
      <c r="D3912" t="s">
        <v>1629</v>
      </c>
      <c r="E3912">
        <v>99.99</v>
      </c>
      <c r="F3912" t="s">
        <v>1578</v>
      </c>
      <c r="G3912" t="s">
        <v>1383</v>
      </c>
    </row>
    <row r="3913" spans="1:7">
      <c r="A3913" t="s">
        <v>5516</v>
      </c>
      <c r="B3913" s="2">
        <v>45885</v>
      </c>
      <c r="C3913" t="s">
        <v>77</v>
      </c>
      <c r="D3913" t="s">
        <v>1629</v>
      </c>
      <c r="E3913">
        <v>99.99</v>
      </c>
      <c r="F3913" t="s">
        <v>1578</v>
      </c>
      <c r="G3913" t="s">
        <v>1383</v>
      </c>
    </row>
    <row r="3914" spans="1:7">
      <c r="A3914" t="s">
        <v>5517</v>
      </c>
      <c r="B3914" s="2">
        <v>45885</v>
      </c>
      <c r="C3914" t="s">
        <v>79</v>
      </c>
      <c r="D3914" t="s">
        <v>1629</v>
      </c>
      <c r="E3914">
        <v>100.98</v>
      </c>
      <c r="F3914" t="s">
        <v>1578</v>
      </c>
      <c r="G3914" t="s">
        <v>1383</v>
      </c>
    </row>
    <row r="3915" spans="1:7">
      <c r="A3915" t="s">
        <v>5518</v>
      </c>
      <c r="B3915" s="2">
        <v>45885</v>
      </c>
      <c r="C3915" t="s">
        <v>81</v>
      </c>
      <c r="D3915" t="s">
        <v>1629</v>
      </c>
      <c r="E3915">
        <v>199.98</v>
      </c>
      <c r="F3915" t="s">
        <v>1578</v>
      </c>
      <c r="G3915" t="s">
        <v>1383</v>
      </c>
    </row>
    <row r="3916" spans="1:7">
      <c r="A3916" t="s">
        <v>5519</v>
      </c>
      <c r="B3916" s="2">
        <v>45885</v>
      </c>
      <c r="C3916" t="s">
        <v>110</v>
      </c>
      <c r="D3916" t="s">
        <v>1629</v>
      </c>
      <c r="E3916">
        <v>100.98</v>
      </c>
      <c r="F3916" t="s">
        <v>1578</v>
      </c>
      <c r="G3916" t="s">
        <v>1383</v>
      </c>
    </row>
    <row r="3917" spans="1:7">
      <c r="A3917" t="s">
        <v>5520</v>
      </c>
      <c r="B3917" s="2">
        <v>45885</v>
      </c>
      <c r="C3917" t="s">
        <v>114</v>
      </c>
      <c r="D3917" t="s">
        <v>1629</v>
      </c>
      <c r="E3917">
        <v>99.99</v>
      </c>
      <c r="F3917" t="s">
        <v>1578</v>
      </c>
      <c r="G3917" t="s">
        <v>1383</v>
      </c>
    </row>
    <row r="3918" spans="1:7">
      <c r="A3918" t="s">
        <v>5521</v>
      </c>
      <c r="B3918" s="2">
        <v>45885</v>
      </c>
      <c r="C3918" t="s">
        <v>117</v>
      </c>
      <c r="D3918" t="s">
        <v>1629</v>
      </c>
      <c r="E3918">
        <v>99.49</v>
      </c>
      <c r="F3918" t="s">
        <v>1578</v>
      </c>
      <c r="G3918" t="s">
        <v>1383</v>
      </c>
    </row>
    <row r="3919" spans="1:7">
      <c r="A3919" t="s">
        <v>5522</v>
      </c>
      <c r="B3919" s="2">
        <v>45885</v>
      </c>
      <c r="C3919" t="s">
        <v>119</v>
      </c>
      <c r="D3919" t="s">
        <v>1629</v>
      </c>
      <c r="E3919">
        <v>99.99</v>
      </c>
      <c r="F3919" t="s">
        <v>1578</v>
      </c>
      <c r="G3919" t="s">
        <v>1383</v>
      </c>
    </row>
    <row r="3920" spans="1:7">
      <c r="A3920" t="s">
        <v>5523</v>
      </c>
      <c r="B3920" s="2">
        <v>45885</v>
      </c>
      <c r="C3920" t="s">
        <v>75</v>
      </c>
      <c r="D3920" t="s">
        <v>1629</v>
      </c>
      <c r="E3920">
        <v>381.78</v>
      </c>
      <c r="F3920" t="s">
        <v>1578</v>
      </c>
      <c r="G3920" t="s">
        <v>1384</v>
      </c>
    </row>
    <row r="3921" spans="1:7">
      <c r="A3921" t="s">
        <v>5524</v>
      </c>
      <c r="B3921" s="2">
        <v>45885</v>
      </c>
      <c r="C3921" t="s">
        <v>104</v>
      </c>
      <c r="D3921" t="s">
        <v>1629</v>
      </c>
      <c r="E3921">
        <v>778.68</v>
      </c>
      <c r="F3921" t="s">
        <v>1578</v>
      </c>
      <c r="G3921" t="s">
        <v>1384</v>
      </c>
    </row>
    <row r="3922" spans="1:7">
      <c r="A3922" t="s">
        <v>5525</v>
      </c>
      <c r="B3922" s="2">
        <v>45885</v>
      </c>
      <c r="C3922" t="s">
        <v>108</v>
      </c>
      <c r="D3922" t="s">
        <v>1629</v>
      </c>
      <c r="E3922">
        <v>767.34</v>
      </c>
      <c r="F3922" t="s">
        <v>1578</v>
      </c>
      <c r="G3922" t="s">
        <v>1384</v>
      </c>
    </row>
    <row r="3923" spans="1:7">
      <c r="A3923" t="s">
        <v>5526</v>
      </c>
      <c r="B3923" s="2">
        <v>45885</v>
      </c>
      <c r="C3923" t="s">
        <v>110</v>
      </c>
      <c r="D3923" t="s">
        <v>1629</v>
      </c>
      <c r="E3923">
        <v>385.56</v>
      </c>
      <c r="F3923" t="s">
        <v>1578</v>
      </c>
      <c r="G3923" t="s">
        <v>1384</v>
      </c>
    </row>
    <row r="3924" spans="1:7">
      <c r="A3924" t="s">
        <v>5527</v>
      </c>
      <c r="B3924" s="2">
        <v>45885</v>
      </c>
      <c r="C3924" t="s">
        <v>114</v>
      </c>
      <c r="D3924" t="s">
        <v>1629</v>
      </c>
      <c r="E3924">
        <v>381.78</v>
      </c>
      <c r="F3924" t="s">
        <v>1578</v>
      </c>
      <c r="G3924" t="s">
        <v>1384</v>
      </c>
    </row>
    <row r="3925" spans="1:7">
      <c r="A3925" t="s">
        <v>5528</v>
      </c>
      <c r="B3925" s="2">
        <v>45885</v>
      </c>
      <c r="C3925" t="s">
        <v>117</v>
      </c>
      <c r="D3925" t="s">
        <v>1629</v>
      </c>
      <c r="E3925">
        <v>379.89</v>
      </c>
      <c r="F3925" t="s">
        <v>1578</v>
      </c>
      <c r="G3925" t="s">
        <v>1384</v>
      </c>
    </row>
    <row r="3926" spans="1:7">
      <c r="A3926" t="s">
        <v>5529</v>
      </c>
      <c r="B3926" s="2">
        <v>45885</v>
      </c>
      <c r="C3926" t="s">
        <v>119</v>
      </c>
      <c r="D3926" t="s">
        <v>1629</v>
      </c>
      <c r="E3926">
        <v>381.78</v>
      </c>
      <c r="F3926" t="s">
        <v>1578</v>
      </c>
      <c r="G3926" t="s">
        <v>1384</v>
      </c>
    </row>
    <row r="3927" spans="1:7">
      <c r="A3927" t="s">
        <v>5530</v>
      </c>
      <c r="B3927" s="2">
        <v>45886</v>
      </c>
      <c r="C3927" t="s">
        <v>61</v>
      </c>
      <c r="D3927" t="s">
        <v>1629</v>
      </c>
      <c r="E3927">
        <v>434.52</v>
      </c>
      <c r="F3927" t="s">
        <v>1578</v>
      </c>
      <c r="G3927" t="s">
        <v>1385</v>
      </c>
    </row>
    <row r="3928" spans="1:7">
      <c r="A3928" t="s">
        <v>5531</v>
      </c>
      <c r="B3928" s="2">
        <v>45886</v>
      </c>
      <c r="C3928" t="s">
        <v>65</v>
      </c>
      <c r="D3928" t="s">
        <v>1629</v>
      </c>
      <c r="E3928">
        <v>432.39</v>
      </c>
      <c r="F3928" t="s">
        <v>1578</v>
      </c>
      <c r="G3928" t="s">
        <v>1385</v>
      </c>
    </row>
    <row r="3929" spans="1:7">
      <c r="A3929" t="s">
        <v>5532</v>
      </c>
      <c r="B3929" s="2">
        <v>45886</v>
      </c>
      <c r="C3929" t="s">
        <v>68</v>
      </c>
      <c r="D3929" t="s">
        <v>1629</v>
      </c>
      <c r="E3929">
        <v>434.52</v>
      </c>
      <c r="F3929" t="s">
        <v>1578</v>
      </c>
      <c r="G3929" t="s">
        <v>1385</v>
      </c>
    </row>
    <row r="3930" spans="1:7">
      <c r="A3930" t="s">
        <v>5533</v>
      </c>
      <c r="B3930" s="2">
        <v>45886</v>
      </c>
      <c r="C3930" t="s">
        <v>75</v>
      </c>
      <c r="D3930" t="s">
        <v>1629</v>
      </c>
      <c r="E3930">
        <v>430.26</v>
      </c>
      <c r="F3930" t="s">
        <v>1578</v>
      </c>
      <c r="G3930" t="s">
        <v>1385</v>
      </c>
    </row>
    <row r="3931" spans="1:7">
      <c r="A3931" t="s">
        <v>5534</v>
      </c>
      <c r="B3931" s="2">
        <v>45886</v>
      </c>
      <c r="C3931" t="s">
        <v>79</v>
      </c>
      <c r="D3931" t="s">
        <v>1629</v>
      </c>
      <c r="E3931">
        <v>434.52</v>
      </c>
      <c r="F3931" t="s">
        <v>1578</v>
      </c>
      <c r="G3931" t="s">
        <v>1385</v>
      </c>
    </row>
    <row r="3932" spans="1:7">
      <c r="A3932" t="s">
        <v>5535</v>
      </c>
      <c r="B3932" s="2">
        <v>45886</v>
      </c>
      <c r="C3932" t="s">
        <v>81</v>
      </c>
      <c r="D3932" t="s">
        <v>1629</v>
      </c>
      <c r="E3932">
        <v>860.52</v>
      </c>
      <c r="F3932" t="s">
        <v>1578</v>
      </c>
      <c r="G3932" t="s">
        <v>1385</v>
      </c>
    </row>
    <row r="3933" spans="1:7">
      <c r="A3933" t="s">
        <v>5536</v>
      </c>
      <c r="B3933" s="2">
        <v>45886</v>
      </c>
      <c r="C3933" t="s">
        <v>110</v>
      </c>
      <c r="D3933" t="s">
        <v>1629</v>
      </c>
      <c r="E3933">
        <v>434.52</v>
      </c>
      <c r="F3933" t="s">
        <v>1578</v>
      </c>
      <c r="G3933" t="s">
        <v>1385</v>
      </c>
    </row>
    <row r="3934" spans="1:7">
      <c r="A3934" t="s">
        <v>5537</v>
      </c>
      <c r="B3934" s="2">
        <v>45886</v>
      </c>
      <c r="C3934" t="s">
        <v>114</v>
      </c>
      <c r="D3934" t="s">
        <v>1629</v>
      </c>
      <c r="E3934">
        <v>430.26</v>
      </c>
      <c r="F3934" t="s">
        <v>1578</v>
      </c>
      <c r="G3934" t="s">
        <v>1385</v>
      </c>
    </row>
    <row r="3935" spans="1:7">
      <c r="A3935" t="s">
        <v>5538</v>
      </c>
      <c r="B3935" s="2">
        <v>45886</v>
      </c>
      <c r="C3935" t="s">
        <v>117</v>
      </c>
      <c r="D3935" t="s">
        <v>1629</v>
      </c>
      <c r="E3935">
        <v>428.13</v>
      </c>
      <c r="F3935" t="s">
        <v>1578</v>
      </c>
      <c r="G3935" t="s">
        <v>1385</v>
      </c>
    </row>
    <row r="3936" spans="1:7">
      <c r="A3936" t="s">
        <v>5539</v>
      </c>
      <c r="B3936" s="2">
        <v>45886</v>
      </c>
      <c r="C3936" t="s">
        <v>119</v>
      </c>
      <c r="D3936" t="s">
        <v>1629</v>
      </c>
      <c r="E3936">
        <v>430.26</v>
      </c>
      <c r="F3936" t="s">
        <v>1578</v>
      </c>
      <c r="G3936" t="s">
        <v>1385</v>
      </c>
    </row>
    <row r="3937" spans="1:7">
      <c r="A3937" t="s">
        <v>5540</v>
      </c>
      <c r="B3937" s="2">
        <v>45886</v>
      </c>
      <c r="C3937" t="s">
        <v>75</v>
      </c>
      <c r="D3937" t="s">
        <v>1629</v>
      </c>
      <c r="E3937">
        <v>493.89</v>
      </c>
      <c r="F3937" t="s">
        <v>1578</v>
      </c>
      <c r="G3937" t="s">
        <v>1386</v>
      </c>
    </row>
    <row r="3938" spans="1:7">
      <c r="A3938" t="s">
        <v>5541</v>
      </c>
      <c r="B3938" s="2">
        <v>45886</v>
      </c>
      <c r="C3938" t="s">
        <v>106</v>
      </c>
      <c r="D3938" t="s">
        <v>1629</v>
      </c>
      <c r="E3938">
        <v>503.67</v>
      </c>
      <c r="F3938" t="s">
        <v>1578</v>
      </c>
      <c r="G3938" t="s">
        <v>1386</v>
      </c>
    </row>
    <row r="3939" spans="1:7">
      <c r="A3939" t="s">
        <v>5542</v>
      </c>
      <c r="B3939" s="2">
        <v>45886</v>
      </c>
      <c r="C3939" t="s">
        <v>108</v>
      </c>
      <c r="D3939" t="s">
        <v>1629</v>
      </c>
      <c r="E3939">
        <v>992.67</v>
      </c>
      <c r="F3939" t="s">
        <v>1578</v>
      </c>
      <c r="G3939" t="s">
        <v>1386</v>
      </c>
    </row>
    <row r="3940" spans="1:7">
      <c r="A3940" t="s">
        <v>5543</v>
      </c>
      <c r="B3940" s="2">
        <v>45886</v>
      </c>
      <c r="C3940" t="s">
        <v>110</v>
      </c>
      <c r="D3940" t="s">
        <v>1629</v>
      </c>
      <c r="E3940">
        <v>498.78</v>
      </c>
      <c r="F3940" t="s">
        <v>1578</v>
      </c>
      <c r="G3940" t="s">
        <v>1386</v>
      </c>
    </row>
    <row r="3941" spans="1:7">
      <c r="A3941" t="s">
        <v>5544</v>
      </c>
      <c r="B3941" s="2">
        <v>45886</v>
      </c>
      <c r="C3941" t="s">
        <v>114</v>
      </c>
      <c r="D3941" t="s">
        <v>1629</v>
      </c>
      <c r="E3941">
        <v>493.89</v>
      </c>
      <c r="F3941" t="s">
        <v>1578</v>
      </c>
      <c r="G3941" t="s">
        <v>1386</v>
      </c>
    </row>
    <row r="3942" spans="1:7">
      <c r="A3942" t="s">
        <v>5545</v>
      </c>
      <c r="B3942" s="2">
        <v>45886</v>
      </c>
      <c r="C3942" t="s">
        <v>117</v>
      </c>
      <c r="D3942" t="s">
        <v>1629</v>
      </c>
      <c r="E3942">
        <v>491.44</v>
      </c>
      <c r="F3942" t="s">
        <v>1578</v>
      </c>
      <c r="G3942" t="s">
        <v>1386</v>
      </c>
    </row>
    <row r="3943" spans="1:7">
      <c r="A3943" t="s">
        <v>5546</v>
      </c>
      <c r="B3943" s="2">
        <v>45886</v>
      </c>
      <c r="C3943" t="s">
        <v>119</v>
      </c>
      <c r="D3943" t="s">
        <v>1629</v>
      </c>
      <c r="E3943">
        <v>493.89</v>
      </c>
      <c r="F3943" t="s">
        <v>1578</v>
      </c>
      <c r="G3943" t="s">
        <v>1386</v>
      </c>
    </row>
    <row r="3944" spans="1:7">
      <c r="A3944" t="s">
        <v>5547</v>
      </c>
      <c r="B3944" s="2">
        <v>45886</v>
      </c>
      <c r="C3944" t="s">
        <v>61</v>
      </c>
      <c r="D3944" t="s">
        <v>1629</v>
      </c>
      <c r="E3944">
        <v>186.66</v>
      </c>
      <c r="F3944" t="s">
        <v>1578</v>
      </c>
      <c r="G3944" t="s">
        <v>1387</v>
      </c>
    </row>
    <row r="3945" spans="1:7">
      <c r="A3945" t="s">
        <v>5548</v>
      </c>
      <c r="B3945" s="2">
        <v>45886</v>
      </c>
      <c r="C3945" t="s">
        <v>65</v>
      </c>
      <c r="D3945" t="s">
        <v>1629</v>
      </c>
      <c r="E3945">
        <v>185.74</v>
      </c>
      <c r="F3945" t="s">
        <v>1578</v>
      </c>
      <c r="G3945" t="s">
        <v>1387</v>
      </c>
    </row>
    <row r="3946" spans="1:7">
      <c r="A3946" t="s">
        <v>5549</v>
      </c>
      <c r="B3946" s="2">
        <v>45886</v>
      </c>
      <c r="C3946" t="s">
        <v>68</v>
      </c>
      <c r="D3946" t="s">
        <v>1629</v>
      </c>
      <c r="E3946">
        <v>186.66</v>
      </c>
      <c r="F3946" t="s">
        <v>1578</v>
      </c>
      <c r="G3946" t="s">
        <v>1387</v>
      </c>
    </row>
    <row r="3947" spans="1:7">
      <c r="A3947" t="s">
        <v>5550</v>
      </c>
      <c r="B3947" s="2">
        <v>45886</v>
      </c>
      <c r="C3947" t="s">
        <v>70</v>
      </c>
      <c r="D3947" t="s">
        <v>1629</v>
      </c>
      <c r="E3947">
        <v>184.83</v>
      </c>
      <c r="F3947" t="s">
        <v>1578</v>
      </c>
      <c r="G3947" t="s">
        <v>1387</v>
      </c>
    </row>
    <row r="3948" spans="1:7">
      <c r="A3948" t="s">
        <v>5551</v>
      </c>
      <c r="B3948" s="2">
        <v>45886</v>
      </c>
      <c r="C3948" t="s">
        <v>75</v>
      </c>
      <c r="D3948" t="s">
        <v>1629</v>
      </c>
      <c r="E3948">
        <v>184.83</v>
      </c>
      <c r="F3948" t="s">
        <v>1578</v>
      </c>
      <c r="G3948" t="s">
        <v>1387</v>
      </c>
    </row>
    <row r="3949" spans="1:7">
      <c r="A3949" t="s">
        <v>5552</v>
      </c>
      <c r="B3949" s="2">
        <v>45886</v>
      </c>
      <c r="C3949" t="s">
        <v>77</v>
      </c>
      <c r="D3949" t="s">
        <v>1629</v>
      </c>
      <c r="E3949">
        <v>184.83</v>
      </c>
      <c r="F3949" t="s">
        <v>1578</v>
      </c>
      <c r="G3949" t="s">
        <v>1387</v>
      </c>
    </row>
    <row r="3950" spans="1:7">
      <c r="A3950" t="s">
        <v>5553</v>
      </c>
      <c r="B3950" s="2">
        <v>45886</v>
      </c>
      <c r="C3950" t="s">
        <v>79</v>
      </c>
      <c r="D3950" t="s">
        <v>1629</v>
      </c>
      <c r="E3950">
        <v>186.66</v>
      </c>
      <c r="F3950" t="s">
        <v>1578</v>
      </c>
      <c r="G3950" t="s">
        <v>1387</v>
      </c>
    </row>
    <row r="3951" spans="1:7">
      <c r="A3951" t="s">
        <v>5554</v>
      </c>
      <c r="B3951" s="2">
        <v>45886</v>
      </c>
      <c r="C3951" t="s">
        <v>81</v>
      </c>
      <c r="D3951" t="s">
        <v>1629</v>
      </c>
      <c r="E3951">
        <v>369.66</v>
      </c>
      <c r="F3951" t="s">
        <v>1578</v>
      </c>
      <c r="G3951" t="s">
        <v>1387</v>
      </c>
    </row>
    <row r="3952" spans="1:7">
      <c r="A3952" t="s">
        <v>5555</v>
      </c>
      <c r="B3952" s="2">
        <v>45886</v>
      </c>
      <c r="C3952" t="s">
        <v>110</v>
      </c>
      <c r="D3952" t="s">
        <v>1629</v>
      </c>
      <c r="E3952">
        <v>186.66</v>
      </c>
      <c r="F3952" t="s">
        <v>1578</v>
      </c>
      <c r="G3952" t="s">
        <v>1387</v>
      </c>
    </row>
    <row r="3953" spans="1:7">
      <c r="A3953" t="s">
        <v>5556</v>
      </c>
      <c r="B3953" s="2">
        <v>45886</v>
      </c>
      <c r="C3953" t="s">
        <v>114</v>
      </c>
      <c r="D3953" t="s">
        <v>1629</v>
      </c>
      <c r="E3953">
        <v>184.83</v>
      </c>
      <c r="F3953" t="s">
        <v>1578</v>
      </c>
      <c r="G3953" t="s">
        <v>1387</v>
      </c>
    </row>
    <row r="3954" spans="1:7">
      <c r="A3954" t="s">
        <v>5557</v>
      </c>
      <c r="B3954" s="2">
        <v>45886</v>
      </c>
      <c r="C3954" t="s">
        <v>117</v>
      </c>
      <c r="D3954" t="s">
        <v>1629</v>
      </c>
      <c r="E3954">
        <v>183.92</v>
      </c>
      <c r="F3954" t="s">
        <v>1578</v>
      </c>
      <c r="G3954" t="s">
        <v>1387</v>
      </c>
    </row>
    <row r="3955" spans="1:7">
      <c r="A3955" t="s">
        <v>5558</v>
      </c>
      <c r="B3955" s="2">
        <v>45886</v>
      </c>
      <c r="C3955" t="s">
        <v>119</v>
      </c>
      <c r="D3955" t="s">
        <v>1629</v>
      </c>
      <c r="E3955">
        <v>184.83</v>
      </c>
      <c r="F3955" t="s">
        <v>1578</v>
      </c>
      <c r="G3955" t="s">
        <v>1387</v>
      </c>
    </row>
    <row r="3956" spans="1:7">
      <c r="A3956" t="s">
        <v>5559</v>
      </c>
      <c r="B3956" s="2">
        <v>45887</v>
      </c>
      <c r="C3956" t="s">
        <v>61</v>
      </c>
      <c r="D3956" t="s">
        <v>1629</v>
      </c>
      <c r="E3956">
        <v>423.3</v>
      </c>
      <c r="F3956" t="s">
        <v>1578</v>
      </c>
      <c r="G3956" t="s">
        <v>1388</v>
      </c>
    </row>
    <row r="3957" spans="1:7">
      <c r="A3957" t="s">
        <v>5560</v>
      </c>
      <c r="B3957" s="2">
        <v>45887</v>
      </c>
      <c r="C3957" t="s">
        <v>65</v>
      </c>
      <c r="D3957" t="s">
        <v>1629</v>
      </c>
      <c r="E3957">
        <v>421.22</v>
      </c>
      <c r="F3957" t="s">
        <v>1578</v>
      </c>
      <c r="G3957" t="s">
        <v>1388</v>
      </c>
    </row>
    <row r="3958" spans="1:7">
      <c r="A3958" t="s">
        <v>5561</v>
      </c>
      <c r="B3958" s="2">
        <v>45887</v>
      </c>
      <c r="C3958" t="s">
        <v>68</v>
      </c>
      <c r="D3958" t="s">
        <v>1629</v>
      </c>
      <c r="E3958">
        <v>423.3</v>
      </c>
      <c r="F3958" t="s">
        <v>1578</v>
      </c>
      <c r="G3958" t="s">
        <v>1388</v>
      </c>
    </row>
    <row r="3959" spans="1:7">
      <c r="A3959" t="s">
        <v>5562</v>
      </c>
      <c r="B3959" s="2">
        <v>45887</v>
      </c>
      <c r="C3959" t="s">
        <v>70</v>
      </c>
      <c r="D3959" t="s">
        <v>1629</v>
      </c>
      <c r="E3959">
        <v>419.15</v>
      </c>
      <c r="F3959" t="s">
        <v>1578</v>
      </c>
      <c r="G3959" t="s">
        <v>1388</v>
      </c>
    </row>
    <row r="3960" spans="1:7">
      <c r="A3960" t="s">
        <v>5563</v>
      </c>
      <c r="B3960" s="2">
        <v>45887</v>
      </c>
      <c r="C3960" t="s">
        <v>73</v>
      </c>
      <c r="D3960" t="s">
        <v>1629</v>
      </c>
      <c r="E3960">
        <v>423.3</v>
      </c>
      <c r="F3960" t="s">
        <v>1578</v>
      </c>
      <c r="G3960" t="s">
        <v>1388</v>
      </c>
    </row>
    <row r="3961" spans="1:7">
      <c r="A3961" t="s">
        <v>5564</v>
      </c>
      <c r="B3961" s="2">
        <v>45887</v>
      </c>
      <c r="C3961" t="s">
        <v>75</v>
      </c>
      <c r="D3961" t="s">
        <v>1629</v>
      </c>
      <c r="E3961">
        <v>419.15</v>
      </c>
      <c r="F3961" t="s">
        <v>1578</v>
      </c>
      <c r="G3961" t="s">
        <v>1388</v>
      </c>
    </row>
    <row r="3962" spans="1:7">
      <c r="A3962" t="s">
        <v>5565</v>
      </c>
      <c r="B3962" s="2">
        <v>45887</v>
      </c>
      <c r="C3962" t="s">
        <v>77</v>
      </c>
      <c r="D3962" t="s">
        <v>1629</v>
      </c>
      <c r="E3962">
        <v>419.15</v>
      </c>
      <c r="F3962" t="s">
        <v>1578</v>
      </c>
      <c r="G3962" t="s">
        <v>1388</v>
      </c>
    </row>
    <row r="3963" spans="1:7">
      <c r="A3963" t="s">
        <v>5566</v>
      </c>
      <c r="B3963" s="2">
        <v>45887</v>
      </c>
      <c r="C3963" t="s">
        <v>79</v>
      </c>
      <c r="D3963" t="s">
        <v>1629</v>
      </c>
      <c r="E3963">
        <v>423.3</v>
      </c>
      <c r="F3963" t="s">
        <v>1578</v>
      </c>
      <c r="G3963" t="s">
        <v>1388</v>
      </c>
    </row>
    <row r="3964" spans="1:7">
      <c r="A3964" t="s">
        <v>5567</v>
      </c>
      <c r="B3964" s="2">
        <v>45887</v>
      </c>
      <c r="C3964" t="s">
        <v>81</v>
      </c>
      <c r="D3964" t="s">
        <v>1629</v>
      </c>
      <c r="E3964">
        <v>838.3</v>
      </c>
      <c r="F3964" t="s">
        <v>1578</v>
      </c>
      <c r="G3964" t="s">
        <v>1388</v>
      </c>
    </row>
    <row r="3965" spans="1:7">
      <c r="A3965" t="s">
        <v>5568</v>
      </c>
      <c r="B3965" s="2">
        <v>45887</v>
      </c>
      <c r="C3965" t="s">
        <v>108</v>
      </c>
      <c r="D3965" t="s">
        <v>1629</v>
      </c>
      <c r="E3965">
        <v>842.45</v>
      </c>
      <c r="F3965" t="s">
        <v>1578</v>
      </c>
      <c r="G3965" t="s">
        <v>1388</v>
      </c>
    </row>
    <row r="3966" spans="1:7">
      <c r="A3966" t="s">
        <v>5569</v>
      </c>
      <c r="B3966" s="2">
        <v>45887</v>
      </c>
      <c r="C3966" t="s">
        <v>110</v>
      </c>
      <c r="D3966" t="s">
        <v>1629</v>
      </c>
      <c r="E3966">
        <v>423.3</v>
      </c>
      <c r="F3966" t="s">
        <v>1578</v>
      </c>
      <c r="G3966" t="s">
        <v>1388</v>
      </c>
    </row>
    <row r="3967" spans="1:7">
      <c r="A3967" t="s">
        <v>5570</v>
      </c>
      <c r="B3967" s="2">
        <v>45887</v>
      </c>
      <c r="C3967" t="s">
        <v>114</v>
      </c>
      <c r="D3967" t="s">
        <v>1629</v>
      </c>
      <c r="E3967">
        <v>419.15</v>
      </c>
      <c r="F3967" t="s">
        <v>1578</v>
      </c>
      <c r="G3967" t="s">
        <v>1388</v>
      </c>
    </row>
    <row r="3968" spans="1:7">
      <c r="A3968" t="s">
        <v>5571</v>
      </c>
      <c r="B3968" s="2">
        <v>45887</v>
      </c>
      <c r="C3968" t="s">
        <v>117</v>
      </c>
      <c r="D3968" t="s">
        <v>1629</v>
      </c>
      <c r="E3968">
        <v>417.07</v>
      </c>
      <c r="F3968" t="s">
        <v>1578</v>
      </c>
      <c r="G3968" t="s">
        <v>1388</v>
      </c>
    </row>
    <row r="3969" spans="1:7">
      <c r="A3969" t="s">
        <v>5572</v>
      </c>
      <c r="B3969" s="2">
        <v>45887</v>
      </c>
      <c r="C3969" t="s">
        <v>119</v>
      </c>
      <c r="D3969" t="s">
        <v>1629</v>
      </c>
      <c r="E3969">
        <v>419.15</v>
      </c>
      <c r="F3969" t="s">
        <v>1578</v>
      </c>
      <c r="G3969" t="s">
        <v>1388</v>
      </c>
    </row>
    <row r="3970" spans="1:7">
      <c r="A3970" t="s">
        <v>5573</v>
      </c>
      <c r="B3970" s="2">
        <v>45887</v>
      </c>
      <c r="C3970" t="s">
        <v>61</v>
      </c>
      <c r="D3970" t="s">
        <v>1629</v>
      </c>
      <c r="E3970">
        <v>138.72</v>
      </c>
      <c r="F3970" t="s">
        <v>1578</v>
      </c>
      <c r="G3970" t="s">
        <v>1389</v>
      </c>
    </row>
    <row r="3971" spans="1:7">
      <c r="A3971" t="s">
        <v>5574</v>
      </c>
      <c r="B3971" s="2">
        <v>45887</v>
      </c>
      <c r="C3971" t="s">
        <v>65</v>
      </c>
      <c r="D3971" t="s">
        <v>1629</v>
      </c>
      <c r="E3971">
        <v>138.04</v>
      </c>
      <c r="F3971" t="s">
        <v>1578</v>
      </c>
      <c r="G3971" t="s">
        <v>1389</v>
      </c>
    </row>
    <row r="3972" spans="1:7">
      <c r="A3972" t="s">
        <v>5575</v>
      </c>
      <c r="B3972" s="2">
        <v>45887</v>
      </c>
      <c r="C3972" t="s">
        <v>68</v>
      </c>
      <c r="D3972" t="s">
        <v>1629</v>
      </c>
      <c r="E3972">
        <v>138.72</v>
      </c>
      <c r="F3972" t="s">
        <v>1578</v>
      </c>
      <c r="G3972" t="s">
        <v>1389</v>
      </c>
    </row>
    <row r="3973" spans="1:7">
      <c r="A3973" t="s">
        <v>5576</v>
      </c>
      <c r="B3973" s="2">
        <v>45887</v>
      </c>
      <c r="C3973" t="s">
        <v>70</v>
      </c>
      <c r="D3973" t="s">
        <v>1629</v>
      </c>
      <c r="E3973">
        <v>137.36000000000001</v>
      </c>
      <c r="F3973" t="s">
        <v>1578</v>
      </c>
      <c r="G3973" t="s">
        <v>1389</v>
      </c>
    </row>
    <row r="3974" spans="1:7">
      <c r="A3974" t="s">
        <v>5577</v>
      </c>
      <c r="B3974" s="2">
        <v>45887</v>
      </c>
      <c r="C3974" t="s">
        <v>75</v>
      </c>
      <c r="D3974" t="s">
        <v>1629</v>
      </c>
      <c r="E3974">
        <v>137.36000000000001</v>
      </c>
      <c r="F3974" t="s">
        <v>1578</v>
      </c>
      <c r="G3974" t="s">
        <v>1389</v>
      </c>
    </row>
    <row r="3975" spans="1:7">
      <c r="A3975" t="s">
        <v>5578</v>
      </c>
      <c r="B3975" s="2">
        <v>45887</v>
      </c>
      <c r="C3975" t="s">
        <v>77</v>
      </c>
      <c r="D3975" t="s">
        <v>1629</v>
      </c>
      <c r="E3975">
        <v>137.36000000000001</v>
      </c>
      <c r="F3975" t="s">
        <v>1578</v>
      </c>
      <c r="G3975" t="s">
        <v>1389</v>
      </c>
    </row>
    <row r="3976" spans="1:7">
      <c r="A3976" t="s">
        <v>5579</v>
      </c>
      <c r="B3976" s="2">
        <v>45887</v>
      </c>
      <c r="C3976" t="s">
        <v>79</v>
      </c>
      <c r="D3976" t="s">
        <v>1629</v>
      </c>
      <c r="E3976">
        <v>138.72</v>
      </c>
      <c r="F3976" t="s">
        <v>1578</v>
      </c>
      <c r="G3976" t="s">
        <v>1389</v>
      </c>
    </row>
    <row r="3977" spans="1:7">
      <c r="A3977" t="s">
        <v>5580</v>
      </c>
      <c r="B3977" s="2">
        <v>45887</v>
      </c>
      <c r="C3977" t="s">
        <v>81</v>
      </c>
      <c r="D3977" t="s">
        <v>1629</v>
      </c>
      <c r="E3977">
        <v>274.72000000000003</v>
      </c>
      <c r="F3977" t="s">
        <v>1578</v>
      </c>
      <c r="G3977" t="s">
        <v>1389</v>
      </c>
    </row>
    <row r="3978" spans="1:7">
      <c r="A3978" t="s">
        <v>5581</v>
      </c>
      <c r="B3978" s="2">
        <v>45887</v>
      </c>
      <c r="C3978" t="s">
        <v>110</v>
      </c>
      <c r="D3978" t="s">
        <v>1629</v>
      </c>
      <c r="E3978">
        <v>138.72</v>
      </c>
      <c r="F3978" t="s">
        <v>1578</v>
      </c>
      <c r="G3978" t="s">
        <v>1389</v>
      </c>
    </row>
    <row r="3979" spans="1:7">
      <c r="A3979" t="s">
        <v>5582</v>
      </c>
      <c r="B3979" s="2">
        <v>45887</v>
      </c>
      <c r="C3979" t="s">
        <v>114</v>
      </c>
      <c r="D3979" t="s">
        <v>1629</v>
      </c>
      <c r="E3979">
        <v>137.36000000000001</v>
      </c>
      <c r="F3979" t="s">
        <v>1578</v>
      </c>
      <c r="G3979" t="s">
        <v>1389</v>
      </c>
    </row>
    <row r="3980" spans="1:7">
      <c r="A3980" t="s">
        <v>5583</v>
      </c>
      <c r="B3980" s="2">
        <v>45887</v>
      </c>
      <c r="C3980" t="s">
        <v>117</v>
      </c>
      <c r="D3980" t="s">
        <v>1629</v>
      </c>
      <c r="E3980">
        <v>136.68</v>
      </c>
      <c r="F3980" t="s">
        <v>1578</v>
      </c>
      <c r="G3980" t="s">
        <v>1389</v>
      </c>
    </row>
    <row r="3981" spans="1:7">
      <c r="A3981" t="s">
        <v>5584</v>
      </c>
      <c r="B3981" s="2">
        <v>45887</v>
      </c>
      <c r="C3981" t="s">
        <v>119</v>
      </c>
      <c r="D3981" t="s">
        <v>1629</v>
      </c>
      <c r="E3981">
        <v>137.36000000000001</v>
      </c>
      <c r="F3981" t="s">
        <v>1578</v>
      </c>
      <c r="G3981" t="s">
        <v>1389</v>
      </c>
    </row>
    <row r="3982" spans="1:7">
      <c r="A3982" t="s">
        <v>5585</v>
      </c>
      <c r="B3982" s="2">
        <v>45887</v>
      </c>
      <c r="C3982" t="s">
        <v>95</v>
      </c>
      <c r="D3982" t="s">
        <v>1683</v>
      </c>
      <c r="E3982">
        <v>240</v>
      </c>
      <c r="F3982" t="s">
        <v>1578</v>
      </c>
      <c r="G3982" t="s">
        <v>792</v>
      </c>
    </row>
    <row r="3983" spans="1:7">
      <c r="A3983" t="s">
        <v>5586</v>
      </c>
      <c r="B3983" s="2">
        <v>45887</v>
      </c>
      <c r="C3983" t="s">
        <v>91</v>
      </c>
      <c r="D3983" t="s">
        <v>1683</v>
      </c>
      <c r="E3983">
        <v>139</v>
      </c>
      <c r="F3983" t="s">
        <v>1578</v>
      </c>
      <c r="G3983" t="s">
        <v>793</v>
      </c>
    </row>
    <row r="3984" spans="1:7">
      <c r="A3984" t="s">
        <v>5587</v>
      </c>
      <c r="B3984" s="2">
        <v>45887</v>
      </c>
      <c r="C3984" t="s">
        <v>117</v>
      </c>
      <c r="D3984" t="s">
        <v>1683</v>
      </c>
      <c r="E3984">
        <v>275</v>
      </c>
      <c r="F3984" t="s">
        <v>1578</v>
      </c>
      <c r="G3984" t="s">
        <v>795</v>
      </c>
    </row>
    <row r="3985" spans="1:7">
      <c r="A3985" t="s">
        <v>5588</v>
      </c>
      <c r="B3985" s="2">
        <v>45888</v>
      </c>
      <c r="C3985" t="s">
        <v>61</v>
      </c>
      <c r="D3985" t="s">
        <v>1629</v>
      </c>
      <c r="E3985">
        <v>324.36</v>
      </c>
      <c r="F3985" t="s">
        <v>1578</v>
      </c>
      <c r="G3985" t="s">
        <v>1390</v>
      </c>
    </row>
    <row r="3986" spans="1:7">
      <c r="A3986" t="s">
        <v>5589</v>
      </c>
      <c r="B3986" s="2">
        <v>45888</v>
      </c>
      <c r="C3986" t="s">
        <v>65</v>
      </c>
      <c r="D3986" t="s">
        <v>1629</v>
      </c>
      <c r="E3986">
        <v>322.77</v>
      </c>
      <c r="F3986" t="s">
        <v>1578</v>
      </c>
      <c r="G3986" t="s">
        <v>1390</v>
      </c>
    </row>
    <row r="3987" spans="1:7">
      <c r="A3987" t="s">
        <v>5590</v>
      </c>
      <c r="B3987" s="2">
        <v>45888</v>
      </c>
      <c r="C3987" t="s">
        <v>68</v>
      </c>
      <c r="D3987" t="s">
        <v>1629</v>
      </c>
      <c r="E3987">
        <v>324.36</v>
      </c>
      <c r="F3987" t="s">
        <v>1578</v>
      </c>
      <c r="G3987" t="s">
        <v>1390</v>
      </c>
    </row>
    <row r="3988" spans="1:7">
      <c r="A3988" t="s">
        <v>5591</v>
      </c>
      <c r="B3988" s="2">
        <v>45888</v>
      </c>
      <c r="C3988" t="s">
        <v>70</v>
      </c>
      <c r="D3988" t="s">
        <v>1629</v>
      </c>
      <c r="E3988">
        <v>321.18</v>
      </c>
      <c r="F3988" t="s">
        <v>1578</v>
      </c>
      <c r="G3988" t="s">
        <v>1390</v>
      </c>
    </row>
    <row r="3989" spans="1:7">
      <c r="A3989" t="s">
        <v>5592</v>
      </c>
      <c r="B3989" s="2">
        <v>45888</v>
      </c>
      <c r="C3989" t="s">
        <v>73</v>
      </c>
      <c r="D3989" t="s">
        <v>1629</v>
      </c>
      <c r="E3989">
        <v>324.36</v>
      </c>
      <c r="F3989" t="s">
        <v>1578</v>
      </c>
      <c r="G3989" t="s">
        <v>1390</v>
      </c>
    </row>
    <row r="3990" spans="1:7">
      <c r="A3990" t="s">
        <v>5593</v>
      </c>
      <c r="B3990" s="2">
        <v>45888</v>
      </c>
      <c r="C3990" t="s">
        <v>75</v>
      </c>
      <c r="D3990" t="s">
        <v>1629</v>
      </c>
      <c r="E3990">
        <v>321.18</v>
      </c>
      <c r="F3990" t="s">
        <v>1578</v>
      </c>
      <c r="G3990" t="s">
        <v>1390</v>
      </c>
    </row>
    <row r="3991" spans="1:7">
      <c r="A3991" t="s">
        <v>5594</v>
      </c>
      <c r="B3991" s="2">
        <v>45888</v>
      </c>
      <c r="C3991" t="s">
        <v>77</v>
      </c>
      <c r="D3991" t="s">
        <v>1629</v>
      </c>
      <c r="E3991">
        <v>321.18</v>
      </c>
      <c r="F3991" t="s">
        <v>1578</v>
      </c>
      <c r="G3991" t="s">
        <v>1390</v>
      </c>
    </row>
    <row r="3992" spans="1:7">
      <c r="A3992" t="s">
        <v>5595</v>
      </c>
      <c r="B3992" s="2">
        <v>45888</v>
      </c>
      <c r="C3992" t="s">
        <v>79</v>
      </c>
      <c r="D3992" t="s">
        <v>1629</v>
      </c>
      <c r="E3992">
        <v>324.36</v>
      </c>
      <c r="F3992" t="s">
        <v>1578</v>
      </c>
      <c r="G3992" t="s">
        <v>1390</v>
      </c>
    </row>
    <row r="3993" spans="1:7">
      <c r="A3993" t="s">
        <v>5596</v>
      </c>
      <c r="B3993" s="2">
        <v>45888</v>
      </c>
      <c r="C3993" t="s">
        <v>81</v>
      </c>
      <c r="D3993" t="s">
        <v>1629</v>
      </c>
      <c r="E3993">
        <v>642.36</v>
      </c>
      <c r="F3993" t="s">
        <v>1578</v>
      </c>
      <c r="G3993" t="s">
        <v>1390</v>
      </c>
    </row>
    <row r="3994" spans="1:7">
      <c r="A3994" t="s">
        <v>5597</v>
      </c>
      <c r="B3994" s="2">
        <v>45888</v>
      </c>
      <c r="C3994" t="s">
        <v>108</v>
      </c>
      <c r="D3994" t="s">
        <v>1629</v>
      </c>
      <c r="E3994">
        <v>645.54</v>
      </c>
      <c r="F3994" t="s">
        <v>1578</v>
      </c>
      <c r="G3994" t="s">
        <v>1390</v>
      </c>
    </row>
    <row r="3995" spans="1:7">
      <c r="A3995" t="s">
        <v>5598</v>
      </c>
      <c r="B3995" s="2">
        <v>45888</v>
      </c>
      <c r="C3995" t="s">
        <v>110</v>
      </c>
      <c r="D3995" t="s">
        <v>1629</v>
      </c>
      <c r="E3995">
        <v>324.36</v>
      </c>
      <c r="F3995" t="s">
        <v>1578</v>
      </c>
      <c r="G3995" t="s">
        <v>1390</v>
      </c>
    </row>
    <row r="3996" spans="1:7">
      <c r="A3996" t="s">
        <v>5599</v>
      </c>
      <c r="B3996" s="2">
        <v>45888</v>
      </c>
      <c r="C3996" t="s">
        <v>114</v>
      </c>
      <c r="D3996" t="s">
        <v>1629</v>
      </c>
      <c r="E3996">
        <v>321.18</v>
      </c>
      <c r="F3996" t="s">
        <v>1578</v>
      </c>
      <c r="G3996" t="s">
        <v>1390</v>
      </c>
    </row>
    <row r="3997" spans="1:7">
      <c r="A3997" t="s">
        <v>5600</v>
      </c>
      <c r="B3997" s="2">
        <v>45888</v>
      </c>
      <c r="C3997" t="s">
        <v>117</v>
      </c>
      <c r="D3997" t="s">
        <v>1629</v>
      </c>
      <c r="E3997">
        <v>319.58999999999997</v>
      </c>
      <c r="F3997" t="s">
        <v>1578</v>
      </c>
      <c r="G3997" t="s">
        <v>1390</v>
      </c>
    </row>
    <row r="3998" spans="1:7">
      <c r="A3998" t="s">
        <v>5601</v>
      </c>
      <c r="B3998" s="2">
        <v>45888</v>
      </c>
      <c r="C3998" t="s">
        <v>119</v>
      </c>
      <c r="D3998" t="s">
        <v>1629</v>
      </c>
      <c r="E3998">
        <v>321.18</v>
      </c>
      <c r="F3998" t="s">
        <v>1578</v>
      </c>
      <c r="G3998" t="s">
        <v>1390</v>
      </c>
    </row>
    <row r="3999" spans="1:7">
      <c r="A3999" t="s">
        <v>5602</v>
      </c>
      <c r="B3999" s="2">
        <v>45888</v>
      </c>
      <c r="C3999" t="s">
        <v>114</v>
      </c>
      <c r="D3999" t="s">
        <v>1683</v>
      </c>
      <c r="E3999">
        <v>241</v>
      </c>
      <c r="F3999" t="s">
        <v>1578</v>
      </c>
      <c r="G3999" t="s">
        <v>796</v>
      </c>
    </row>
    <row r="4000" spans="1:7">
      <c r="A4000" t="s">
        <v>5603</v>
      </c>
      <c r="B4000" s="2">
        <v>45888</v>
      </c>
      <c r="C4000" t="s">
        <v>91</v>
      </c>
      <c r="D4000" t="s">
        <v>1683</v>
      </c>
      <c r="E4000">
        <v>223</v>
      </c>
      <c r="F4000" t="s">
        <v>1578</v>
      </c>
      <c r="G4000" t="s">
        <v>797</v>
      </c>
    </row>
    <row r="4001" spans="1:7">
      <c r="A4001" t="s">
        <v>5604</v>
      </c>
      <c r="B4001" s="2">
        <v>45889</v>
      </c>
      <c r="C4001" t="s">
        <v>75</v>
      </c>
      <c r="D4001" t="s">
        <v>1629</v>
      </c>
      <c r="E4001">
        <v>375.72</v>
      </c>
      <c r="F4001" t="s">
        <v>1578</v>
      </c>
      <c r="G4001" t="s">
        <v>1391</v>
      </c>
    </row>
    <row r="4002" spans="1:7">
      <c r="A4002" t="s">
        <v>5605</v>
      </c>
      <c r="B4002" s="2">
        <v>45889</v>
      </c>
      <c r="C4002" t="s">
        <v>91</v>
      </c>
      <c r="D4002" t="s">
        <v>1629</v>
      </c>
      <c r="E4002">
        <v>381.3</v>
      </c>
      <c r="F4002" t="s">
        <v>1578</v>
      </c>
      <c r="G4002" t="s">
        <v>1391</v>
      </c>
    </row>
    <row r="4003" spans="1:7">
      <c r="A4003" t="s">
        <v>5606</v>
      </c>
      <c r="B4003" s="2">
        <v>45889</v>
      </c>
      <c r="C4003" t="s">
        <v>93</v>
      </c>
      <c r="D4003" t="s">
        <v>1629</v>
      </c>
      <c r="E4003">
        <v>379.44</v>
      </c>
      <c r="F4003" t="s">
        <v>1578</v>
      </c>
      <c r="G4003" t="s">
        <v>1391</v>
      </c>
    </row>
    <row r="4004" spans="1:7">
      <c r="A4004" t="s">
        <v>5607</v>
      </c>
      <c r="B4004" s="2">
        <v>45889</v>
      </c>
      <c r="C4004" t="s">
        <v>95</v>
      </c>
      <c r="D4004" t="s">
        <v>1629</v>
      </c>
      <c r="E4004">
        <v>377.58</v>
      </c>
      <c r="F4004" t="s">
        <v>1578</v>
      </c>
      <c r="G4004" t="s">
        <v>1391</v>
      </c>
    </row>
    <row r="4005" spans="1:7">
      <c r="A4005" t="s">
        <v>5608</v>
      </c>
      <c r="B4005" s="2">
        <v>45889</v>
      </c>
      <c r="C4005" t="s">
        <v>97</v>
      </c>
      <c r="D4005" t="s">
        <v>1629</v>
      </c>
      <c r="E4005">
        <v>375.72</v>
      </c>
      <c r="F4005" t="s">
        <v>1578</v>
      </c>
      <c r="G4005" t="s">
        <v>1391</v>
      </c>
    </row>
    <row r="4006" spans="1:7">
      <c r="A4006" t="s">
        <v>5609</v>
      </c>
      <c r="B4006" s="2">
        <v>45889</v>
      </c>
      <c r="C4006" t="s">
        <v>99</v>
      </c>
      <c r="D4006" t="s">
        <v>1629</v>
      </c>
      <c r="E4006">
        <v>191.58</v>
      </c>
      <c r="F4006" t="s">
        <v>1578</v>
      </c>
      <c r="G4006" t="s">
        <v>1391</v>
      </c>
    </row>
    <row r="4007" spans="1:7">
      <c r="A4007" t="s">
        <v>5610</v>
      </c>
      <c r="B4007" s="2">
        <v>45889</v>
      </c>
      <c r="C4007" t="s">
        <v>102</v>
      </c>
      <c r="D4007" t="s">
        <v>1629</v>
      </c>
      <c r="E4007">
        <v>379.44</v>
      </c>
      <c r="F4007" t="s">
        <v>1578</v>
      </c>
      <c r="G4007" t="s">
        <v>1391</v>
      </c>
    </row>
    <row r="4008" spans="1:7">
      <c r="A4008" t="s">
        <v>5611</v>
      </c>
      <c r="B4008" s="2">
        <v>45889</v>
      </c>
      <c r="C4008" t="s">
        <v>108</v>
      </c>
      <c r="D4008" t="s">
        <v>1629</v>
      </c>
      <c r="E4008">
        <v>755.16</v>
      </c>
      <c r="F4008" t="s">
        <v>1578</v>
      </c>
      <c r="G4008" t="s">
        <v>1391</v>
      </c>
    </row>
    <row r="4009" spans="1:7">
      <c r="A4009" t="s">
        <v>5612</v>
      </c>
      <c r="B4009" s="2">
        <v>45889</v>
      </c>
      <c r="C4009" t="s">
        <v>110</v>
      </c>
      <c r="D4009" t="s">
        <v>1629</v>
      </c>
      <c r="E4009">
        <v>379.44</v>
      </c>
      <c r="F4009" t="s">
        <v>1578</v>
      </c>
      <c r="G4009" t="s">
        <v>1391</v>
      </c>
    </row>
    <row r="4010" spans="1:7">
      <c r="A4010" t="s">
        <v>5613</v>
      </c>
      <c r="B4010" s="2">
        <v>45889</v>
      </c>
      <c r="C4010" t="s">
        <v>114</v>
      </c>
      <c r="D4010" t="s">
        <v>1629</v>
      </c>
      <c r="E4010">
        <v>375.72</v>
      </c>
      <c r="F4010" t="s">
        <v>1578</v>
      </c>
      <c r="G4010" t="s">
        <v>1391</v>
      </c>
    </row>
    <row r="4011" spans="1:7">
      <c r="A4011" t="s">
        <v>5614</v>
      </c>
      <c r="B4011" s="2">
        <v>45889</v>
      </c>
      <c r="C4011" t="s">
        <v>117</v>
      </c>
      <c r="D4011" t="s">
        <v>1629</v>
      </c>
      <c r="E4011">
        <v>373.86</v>
      </c>
      <c r="F4011" t="s">
        <v>1578</v>
      </c>
      <c r="G4011" t="s">
        <v>1391</v>
      </c>
    </row>
    <row r="4012" spans="1:7">
      <c r="A4012" t="s">
        <v>5615</v>
      </c>
      <c r="B4012" s="2">
        <v>45889</v>
      </c>
      <c r="C4012" t="s">
        <v>119</v>
      </c>
      <c r="D4012" t="s">
        <v>1629</v>
      </c>
      <c r="E4012">
        <v>375.72</v>
      </c>
      <c r="F4012" t="s">
        <v>1578</v>
      </c>
      <c r="G4012" t="s">
        <v>1391</v>
      </c>
    </row>
    <row r="4013" spans="1:7">
      <c r="A4013" t="s">
        <v>5616</v>
      </c>
      <c r="B4013" s="2">
        <v>45889</v>
      </c>
      <c r="C4013" t="s">
        <v>95</v>
      </c>
      <c r="D4013" t="s">
        <v>1683</v>
      </c>
      <c r="E4013">
        <v>510</v>
      </c>
      <c r="F4013" t="s">
        <v>1578</v>
      </c>
      <c r="G4013" t="s">
        <v>798</v>
      </c>
    </row>
    <row r="4014" spans="1:7">
      <c r="A4014" t="s">
        <v>5617</v>
      </c>
      <c r="B4014" s="2">
        <v>45889</v>
      </c>
      <c r="C4014" t="s">
        <v>87</v>
      </c>
      <c r="D4014" t="s">
        <v>1683</v>
      </c>
      <c r="E4014">
        <v>146</v>
      </c>
      <c r="F4014" t="s">
        <v>1578</v>
      </c>
      <c r="G4014" t="s">
        <v>799</v>
      </c>
    </row>
    <row r="4015" spans="1:7">
      <c r="A4015" t="s">
        <v>5618</v>
      </c>
      <c r="B4015" s="2">
        <v>45889</v>
      </c>
      <c r="C4015" t="s">
        <v>106</v>
      </c>
      <c r="D4015" t="s">
        <v>1683</v>
      </c>
      <c r="E4015">
        <v>205</v>
      </c>
      <c r="F4015" t="s">
        <v>1578</v>
      </c>
      <c r="G4015" t="s">
        <v>800</v>
      </c>
    </row>
    <row r="4016" spans="1:7">
      <c r="A4016" t="s">
        <v>5619</v>
      </c>
      <c r="B4016" s="2">
        <v>45889</v>
      </c>
      <c r="C4016" t="s">
        <v>119</v>
      </c>
      <c r="D4016" t="s">
        <v>1683</v>
      </c>
      <c r="E4016">
        <v>310</v>
      </c>
      <c r="F4016" t="s">
        <v>1578</v>
      </c>
      <c r="G4016" t="s">
        <v>801</v>
      </c>
    </row>
    <row r="4017" spans="1:7">
      <c r="A4017" t="s">
        <v>5620</v>
      </c>
      <c r="B4017" s="2">
        <v>45889</v>
      </c>
      <c r="C4017" t="s">
        <v>91</v>
      </c>
      <c r="D4017" t="s">
        <v>1683</v>
      </c>
      <c r="E4017">
        <v>279</v>
      </c>
      <c r="F4017" t="s">
        <v>1578</v>
      </c>
      <c r="G4017" t="s">
        <v>802</v>
      </c>
    </row>
    <row r="4018" spans="1:7">
      <c r="A4018" t="s">
        <v>5621</v>
      </c>
      <c r="B4018" s="2">
        <v>45890</v>
      </c>
      <c r="C4018" t="s">
        <v>61</v>
      </c>
      <c r="D4018" t="s">
        <v>1629</v>
      </c>
      <c r="E4018">
        <v>439.62</v>
      </c>
      <c r="F4018" t="s">
        <v>1578</v>
      </c>
      <c r="G4018" t="s">
        <v>1392</v>
      </c>
    </row>
    <row r="4019" spans="1:7">
      <c r="A4019" t="s">
        <v>5622</v>
      </c>
      <c r="B4019" s="2">
        <v>45890</v>
      </c>
      <c r="C4019" t="s">
        <v>65</v>
      </c>
      <c r="D4019" t="s">
        <v>1629</v>
      </c>
      <c r="E4019">
        <v>437.46</v>
      </c>
      <c r="F4019" t="s">
        <v>1578</v>
      </c>
      <c r="G4019" t="s">
        <v>1392</v>
      </c>
    </row>
    <row r="4020" spans="1:7">
      <c r="A4020" t="s">
        <v>5623</v>
      </c>
      <c r="B4020" s="2">
        <v>45890</v>
      </c>
      <c r="C4020" t="s">
        <v>68</v>
      </c>
      <c r="D4020" t="s">
        <v>1629</v>
      </c>
      <c r="E4020">
        <v>439.62</v>
      </c>
      <c r="F4020" t="s">
        <v>1578</v>
      </c>
      <c r="G4020" t="s">
        <v>1392</v>
      </c>
    </row>
    <row r="4021" spans="1:7">
      <c r="A4021" t="s">
        <v>5624</v>
      </c>
      <c r="B4021" s="2">
        <v>45890</v>
      </c>
      <c r="C4021" t="s">
        <v>70</v>
      </c>
      <c r="D4021" t="s">
        <v>1629</v>
      </c>
      <c r="E4021">
        <v>435.31</v>
      </c>
      <c r="F4021" t="s">
        <v>1578</v>
      </c>
      <c r="G4021" t="s">
        <v>1392</v>
      </c>
    </row>
    <row r="4022" spans="1:7">
      <c r="A4022" t="s">
        <v>5625</v>
      </c>
      <c r="B4022" s="2">
        <v>45890</v>
      </c>
      <c r="C4022" t="s">
        <v>75</v>
      </c>
      <c r="D4022" t="s">
        <v>1629</v>
      </c>
      <c r="E4022">
        <v>435.31</v>
      </c>
      <c r="F4022" t="s">
        <v>1578</v>
      </c>
      <c r="G4022" t="s">
        <v>1392</v>
      </c>
    </row>
    <row r="4023" spans="1:7">
      <c r="A4023" t="s">
        <v>5626</v>
      </c>
      <c r="B4023" s="2">
        <v>45890</v>
      </c>
      <c r="C4023" t="s">
        <v>77</v>
      </c>
      <c r="D4023" t="s">
        <v>1629</v>
      </c>
      <c r="E4023">
        <v>435.31</v>
      </c>
      <c r="F4023" t="s">
        <v>1578</v>
      </c>
      <c r="G4023" t="s">
        <v>1392</v>
      </c>
    </row>
    <row r="4024" spans="1:7">
      <c r="A4024" t="s">
        <v>5627</v>
      </c>
      <c r="B4024" s="2">
        <v>45890</v>
      </c>
      <c r="C4024" t="s">
        <v>79</v>
      </c>
      <c r="D4024" t="s">
        <v>1629</v>
      </c>
      <c r="E4024">
        <v>439.62</v>
      </c>
      <c r="F4024" t="s">
        <v>1578</v>
      </c>
      <c r="G4024" t="s">
        <v>1392</v>
      </c>
    </row>
    <row r="4025" spans="1:7">
      <c r="A4025" t="s">
        <v>5628</v>
      </c>
      <c r="B4025" s="2">
        <v>45890</v>
      </c>
      <c r="C4025" t="s">
        <v>81</v>
      </c>
      <c r="D4025" t="s">
        <v>1629</v>
      </c>
      <c r="E4025">
        <v>870.62</v>
      </c>
      <c r="F4025" t="s">
        <v>1578</v>
      </c>
      <c r="G4025" t="s">
        <v>1392</v>
      </c>
    </row>
    <row r="4026" spans="1:7">
      <c r="A4026" t="s">
        <v>5629</v>
      </c>
      <c r="B4026" s="2">
        <v>45890</v>
      </c>
      <c r="C4026" t="s">
        <v>108</v>
      </c>
      <c r="D4026" t="s">
        <v>1629</v>
      </c>
      <c r="E4026">
        <v>874.93</v>
      </c>
      <c r="F4026" t="s">
        <v>1578</v>
      </c>
      <c r="G4026" t="s">
        <v>1392</v>
      </c>
    </row>
    <row r="4027" spans="1:7">
      <c r="A4027" t="s">
        <v>5630</v>
      </c>
      <c r="B4027" s="2">
        <v>45890</v>
      </c>
      <c r="C4027" t="s">
        <v>110</v>
      </c>
      <c r="D4027" t="s">
        <v>1629</v>
      </c>
      <c r="E4027">
        <v>439.62</v>
      </c>
      <c r="F4027" t="s">
        <v>1578</v>
      </c>
      <c r="G4027" t="s">
        <v>1392</v>
      </c>
    </row>
    <row r="4028" spans="1:7">
      <c r="A4028" t="s">
        <v>5631</v>
      </c>
      <c r="B4028" s="2">
        <v>45890</v>
      </c>
      <c r="C4028" t="s">
        <v>114</v>
      </c>
      <c r="D4028" t="s">
        <v>1629</v>
      </c>
      <c r="E4028">
        <v>435.31</v>
      </c>
      <c r="F4028" t="s">
        <v>1578</v>
      </c>
      <c r="G4028" t="s">
        <v>1392</v>
      </c>
    </row>
    <row r="4029" spans="1:7">
      <c r="A4029" t="s">
        <v>5632</v>
      </c>
      <c r="B4029" s="2">
        <v>45890</v>
      </c>
      <c r="C4029" t="s">
        <v>117</v>
      </c>
      <c r="D4029" t="s">
        <v>1629</v>
      </c>
      <c r="E4029">
        <v>433.16</v>
      </c>
      <c r="F4029" t="s">
        <v>1578</v>
      </c>
      <c r="G4029" t="s">
        <v>1392</v>
      </c>
    </row>
    <row r="4030" spans="1:7">
      <c r="A4030" t="s">
        <v>5633</v>
      </c>
      <c r="B4030" s="2">
        <v>45890</v>
      </c>
      <c r="C4030" t="s">
        <v>119</v>
      </c>
      <c r="D4030" t="s">
        <v>1629</v>
      </c>
      <c r="E4030">
        <v>435.31</v>
      </c>
      <c r="F4030" t="s">
        <v>1578</v>
      </c>
      <c r="G4030" t="s">
        <v>1392</v>
      </c>
    </row>
    <row r="4031" spans="1:7">
      <c r="A4031" t="s">
        <v>5634</v>
      </c>
      <c r="B4031" s="2">
        <v>45891</v>
      </c>
      <c r="C4031" t="s">
        <v>61</v>
      </c>
      <c r="D4031" t="s">
        <v>1629</v>
      </c>
      <c r="E4031">
        <v>389.64</v>
      </c>
      <c r="F4031" t="s">
        <v>1578</v>
      </c>
      <c r="G4031" t="s">
        <v>1393</v>
      </c>
    </row>
    <row r="4032" spans="1:7">
      <c r="A4032" t="s">
        <v>5635</v>
      </c>
      <c r="B4032" s="2">
        <v>45891</v>
      </c>
      <c r="C4032" t="s">
        <v>65</v>
      </c>
      <c r="D4032" t="s">
        <v>1629</v>
      </c>
      <c r="E4032">
        <v>387.73</v>
      </c>
      <c r="F4032" t="s">
        <v>1578</v>
      </c>
      <c r="G4032" t="s">
        <v>1393</v>
      </c>
    </row>
    <row r="4033" spans="1:7">
      <c r="A4033" t="s">
        <v>5636</v>
      </c>
      <c r="B4033" s="2">
        <v>45891</v>
      </c>
      <c r="C4033" t="s">
        <v>75</v>
      </c>
      <c r="D4033" t="s">
        <v>1629</v>
      </c>
      <c r="E4033">
        <v>385.82</v>
      </c>
      <c r="F4033" t="s">
        <v>1578</v>
      </c>
      <c r="G4033" t="s">
        <v>1393</v>
      </c>
    </row>
    <row r="4034" spans="1:7">
      <c r="A4034" t="s">
        <v>5637</v>
      </c>
      <c r="B4034" s="2">
        <v>45891</v>
      </c>
      <c r="C4034" t="s">
        <v>79</v>
      </c>
      <c r="D4034" t="s">
        <v>1629</v>
      </c>
      <c r="E4034">
        <v>389.64</v>
      </c>
      <c r="F4034" t="s">
        <v>1578</v>
      </c>
      <c r="G4034" t="s">
        <v>1393</v>
      </c>
    </row>
    <row r="4035" spans="1:7">
      <c r="A4035" t="s">
        <v>5638</v>
      </c>
      <c r="B4035" s="2">
        <v>45891</v>
      </c>
      <c r="C4035" t="s">
        <v>81</v>
      </c>
      <c r="D4035" t="s">
        <v>1629</v>
      </c>
      <c r="E4035">
        <v>771.64</v>
      </c>
      <c r="F4035" t="s">
        <v>1578</v>
      </c>
      <c r="G4035" t="s">
        <v>1393</v>
      </c>
    </row>
    <row r="4036" spans="1:7">
      <c r="A4036" t="s">
        <v>5639</v>
      </c>
      <c r="B4036" s="2">
        <v>45891</v>
      </c>
      <c r="C4036" t="s">
        <v>84</v>
      </c>
      <c r="D4036" t="s">
        <v>1629</v>
      </c>
      <c r="E4036">
        <v>137.71</v>
      </c>
      <c r="F4036" t="s">
        <v>1578</v>
      </c>
      <c r="G4036" t="s">
        <v>1393</v>
      </c>
    </row>
    <row r="4037" spans="1:7">
      <c r="A4037" t="s">
        <v>5640</v>
      </c>
      <c r="B4037" s="2">
        <v>45891</v>
      </c>
      <c r="C4037" t="s">
        <v>89</v>
      </c>
      <c r="D4037" t="s">
        <v>1629</v>
      </c>
      <c r="E4037">
        <v>587.32000000000005</v>
      </c>
      <c r="F4037" t="s">
        <v>1578</v>
      </c>
      <c r="G4037" t="s">
        <v>1393</v>
      </c>
    </row>
    <row r="4038" spans="1:7">
      <c r="A4038" t="s">
        <v>5641</v>
      </c>
      <c r="B4038" s="2">
        <v>45891</v>
      </c>
      <c r="C4038" t="s">
        <v>110</v>
      </c>
      <c r="D4038" t="s">
        <v>1629</v>
      </c>
      <c r="E4038">
        <v>389.64</v>
      </c>
      <c r="F4038" t="s">
        <v>1578</v>
      </c>
      <c r="G4038" t="s">
        <v>1393</v>
      </c>
    </row>
    <row r="4039" spans="1:7">
      <c r="A4039" t="s">
        <v>5642</v>
      </c>
      <c r="B4039" s="2">
        <v>45891</v>
      </c>
      <c r="C4039" t="s">
        <v>114</v>
      </c>
      <c r="D4039" t="s">
        <v>1629</v>
      </c>
      <c r="E4039">
        <v>385.82</v>
      </c>
      <c r="F4039" t="s">
        <v>1578</v>
      </c>
      <c r="G4039" t="s">
        <v>1393</v>
      </c>
    </row>
    <row r="4040" spans="1:7">
      <c r="A4040" t="s">
        <v>5643</v>
      </c>
      <c r="B4040" s="2">
        <v>45891</v>
      </c>
      <c r="C4040" t="s">
        <v>117</v>
      </c>
      <c r="D4040" t="s">
        <v>1629</v>
      </c>
      <c r="E4040">
        <v>383.91</v>
      </c>
      <c r="F4040" t="s">
        <v>1578</v>
      </c>
      <c r="G4040" t="s">
        <v>1393</v>
      </c>
    </row>
    <row r="4041" spans="1:7">
      <c r="A4041" t="s">
        <v>5644</v>
      </c>
      <c r="B4041" s="2">
        <v>45891</v>
      </c>
      <c r="C4041" t="s">
        <v>119</v>
      </c>
      <c r="D4041" t="s">
        <v>1629</v>
      </c>
      <c r="E4041">
        <v>385.82</v>
      </c>
      <c r="F4041" t="s">
        <v>1578</v>
      </c>
      <c r="G4041" t="s">
        <v>1393</v>
      </c>
    </row>
    <row r="4042" spans="1:7">
      <c r="A4042" t="s">
        <v>5645</v>
      </c>
      <c r="B4042" s="2">
        <v>45891</v>
      </c>
      <c r="C4042" t="s">
        <v>73</v>
      </c>
      <c r="D4042" t="s">
        <v>1683</v>
      </c>
      <c r="E4042">
        <v>308</v>
      </c>
      <c r="F4042" t="s">
        <v>1578</v>
      </c>
      <c r="G4042" t="s">
        <v>803</v>
      </c>
    </row>
    <row r="4043" spans="1:7">
      <c r="A4043" t="s">
        <v>5646</v>
      </c>
      <c r="B4043" s="2">
        <v>45891</v>
      </c>
      <c r="C4043" t="s">
        <v>104</v>
      </c>
      <c r="D4043" t="s">
        <v>1683</v>
      </c>
      <c r="E4043">
        <v>210</v>
      </c>
      <c r="F4043" t="s">
        <v>1578</v>
      </c>
      <c r="G4043" t="s">
        <v>804</v>
      </c>
    </row>
    <row r="4044" spans="1:7">
      <c r="A4044" t="s">
        <v>5647</v>
      </c>
      <c r="B4044" s="2">
        <v>45891</v>
      </c>
      <c r="C4044" t="s">
        <v>77</v>
      </c>
      <c r="D4044" t="s">
        <v>1683</v>
      </c>
      <c r="E4044">
        <v>116</v>
      </c>
      <c r="F4044" t="s">
        <v>1578</v>
      </c>
      <c r="G4044" t="s">
        <v>805</v>
      </c>
    </row>
    <row r="4045" spans="1:7">
      <c r="A4045" t="s">
        <v>5648</v>
      </c>
      <c r="B4045" s="2">
        <v>45892</v>
      </c>
      <c r="C4045" t="s">
        <v>77</v>
      </c>
      <c r="D4045" t="s">
        <v>1683</v>
      </c>
      <c r="E4045">
        <v>867</v>
      </c>
      <c r="F4045" t="s">
        <v>1578</v>
      </c>
      <c r="G4045" t="s">
        <v>806</v>
      </c>
    </row>
    <row r="4046" spans="1:7">
      <c r="A4046" t="s">
        <v>5649</v>
      </c>
      <c r="B4046" s="2">
        <v>45892</v>
      </c>
      <c r="C4046" t="s">
        <v>108</v>
      </c>
      <c r="D4046" t="s">
        <v>1683</v>
      </c>
      <c r="E4046">
        <v>175</v>
      </c>
      <c r="F4046" t="s">
        <v>1578</v>
      </c>
      <c r="G4046" t="s">
        <v>807</v>
      </c>
    </row>
    <row r="4047" spans="1:7">
      <c r="A4047" t="s">
        <v>5650</v>
      </c>
      <c r="B4047" s="2">
        <v>45893</v>
      </c>
      <c r="C4047" t="s">
        <v>61</v>
      </c>
      <c r="D4047" t="s">
        <v>1629</v>
      </c>
      <c r="E4047">
        <v>129.54</v>
      </c>
      <c r="F4047" t="s">
        <v>1578</v>
      </c>
      <c r="G4047" t="s">
        <v>1394</v>
      </c>
    </row>
    <row r="4048" spans="1:7">
      <c r="A4048" t="s">
        <v>5651</v>
      </c>
      <c r="B4048" s="2">
        <v>45893</v>
      </c>
      <c r="C4048" t="s">
        <v>65</v>
      </c>
      <c r="D4048" t="s">
        <v>1629</v>
      </c>
      <c r="E4048">
        <v>128.9</v>
      </c>
      <c r="F4048" t="s">
        <v>1578</v>
      </c>
      <c r="G4048" t="s">
        <v>1394</v>
      </c>
    </row>
    <row r="4049" spans="1:7">
      <c r="A4049" t="s">
        <v>5652</v>
      </c>
      <c r="B4049" s="2">
        <v>45893</v>
      </c>
      <c r="C4049" t="s">
        <v>68</v>
      </c>
      <c r="D4049" t="s">
        <v>1629</v>
      </c>
      <c r="E4049">
        <v>129.54</v>
      </c>
      <c r="F4049" t="s">
        <v>1578</v>
      </c>
      <c r="G4049" t="s">
        <v>1394</v>
      </c>
    </row>
    <row r="4050" spans="1:7">
      <c r="A4050" t="s">
        <v>5653</v>
      </c>
      <c r="B4050" s="2">
        <v>45893</v>
      </c>
      <c r="C4050" t="s">
        <v>75</v>
      </c>
      <c r="D4050" t="s">
        <v>1629</v>
      </c>
      <c r="E4050">
        <v>128.27000000000001</v>
      </c>
      <c r="F4050" t="s">
        <v>1578</v>
      </c>
      <c r="G4050" t="s">
        <v>1394</v>
      </c>
    </row>
    <row r="4051" spans="1:7">
      <c r="A4051" t="s">
        <v>5654</v>
      </c>
      <c r="B4051" s="2">
        <v>45893</v>
      </c>
      <c r="C4051" t="s">
        <v>79</v>
      </c>
      <c r="D4051" t="s">
        <v>1629</v>
      </c>
      <c r="E4051">
        <v>129.54</v>
      </c>
      <c r="F4051" t="s">
        <v>1578</v>
      </c>
      <c r="G4051" t="s">
        <v>1394</v>
      </c>
    </row>
    <row r="4052" spans="1:7">
      <c r="A4052" t="s">
        <v>5655</v>
      </c>
      <c r="B4052" s="2">
        <v>45893</v>
      </c>
      <c r="C4052" t="s">
        <v>81</v>
      </c>
      <c r="D4052" t="s">
        <v>1629</v>
      </c>
      <c r="E4052">
        <v>256.54000000000002</v>
      </c>
      <c r="F4052" t="s">
        <v>1578</v>
      </c>
      <c r="G4052" t="s">
        <v>1394</v>
      </c>
    </row>
    <row r="4053" spans="1:7">
      <c r="A4053" t="s">
        <v>5656</v>
      </c>
      <c r="B4053" s="2">
        <v>45893</v>
      </c>
      <c r="C4053" t="s">
        <v>97</v>
      </c>
      <c r="D4053" t="s">
        <v>1629</v>
      </c>
      <c r="E4053">
        <v>129.54</v>
      </c>
      <c r="F4053" t="s">
        <v>1578</v>
      </c>
      <c r="G4053" t="s">
        <v>1394</v>
      </c>
    </row>
    <row r="4054" spans="1:7">
      <c r="A4054" t="s">
        <v>5657</v>
      </c>
      <c r="B4054" s="2">
        <v>45893</v>
      </c>
      <c r="C4054" t="s">
        <v>110</v>
      </c>
      <c r="D4054" t="s">
        <v>1629</v>
      </c>
      <c r="E4054">
        <v>129.54</v>
      </c>
      <c r="F4054" t="s">
        <v>1578</v>
      </c>
      <c r="G4054" t="s">
        <v>1394</v>
      </c>
    </row>
    <row r="4055" spans="1:7">
      <c r="A4055" t="s">
        <v>5658</v>
      </c>
      <c r="B4055" s="2">
        <v>45893</v>
      </c>
      <c r="C4055" t="s">
        <v>114</v>
      </c>
      <c r="D4055" t="s">
        <v>1629</v>
      </c>
      <c r="E4055">
        <v>128.27000000000001</v>
      </c>
      <c r="F4055" t="s">
        <v>1578</v>
      </c>
      <c r="G4055" t="s">
        <v>1394</v>
      </c>
    </row>
    <row r="4056" spans="1:7">
      <c r="A4056" t="s">
        <v>5659</v>
      </c>
      <c r="B4056" s="2">
        <v>45893</v>
      </c>
      <c r="C4056" t="s">
        <v>117</v>
      </c>
      <c r="D4056" t="s">
        <v>1629</v>
      </c>
      <c r="E4056">
        <v>127.64</v>
      </c>
      <c r="F4056" t="s">
        <v>1578</v>
      </c>
      <c r="G4056" t="s">
        <v>1394</v>
      </c>
    </row>
    <row r="4057" spans="1:7">
      <c r="A4057" t="s">
        <v>5660</v>
      </c>
      <c r="B4057" s="2">
        <v>45893</v>
      </c>
      <c r="C4057" t="s">
        <v>119</v>
      </c>
      <c r="D4057" t="s">
        <v>1629</v>
      </c>
      <c r="E4057">
        <v>128.27000000000001</v>
      </c>
      <c r="F4057" t="s">
        <v>1578</v>
      </c>
      <c r="G4057" t="s">
        <v>1394</v>
      </c>
    </row>
    <row r="4058" spans="1:7">
      <c r="A4058" t="s">
        <v>5661</v>
      </c>
      <c r="B4058" s="2">
        <v>45893</v>
      </c>
      <c r="C4058" t="s">
        <v>75</v>
      </c>
      <c r="D4058" t="s">
        <v>1629</v>
      </c>
      <c r="E4058">
        <v>193.92</v>
      </c>
      <c r="F4058" t="s">
        <v>1578</v>
      </c>
      <c r="G4058" t="s">
        <v>1395</v>
      </c>
    </row>
    <row r="4059" spans="1:7">
      <c r="A4059" t="s">
        <v>5662</v>
      </c>
      <c r="B4059" s="2">
        <v>45893</v>
      </c>
      <c r="C4059" t="s">
        <v>106</v>
      </c>
      <c r="D4059" t="s">
        <v>1629</v>
      </c>
      <c r="E4059">
        <v>197.76</v>
      </c>
      <c r="F4059" t="s">
        <v>1578</v>
      </c>
      <c r="G4059" t="s">
        <v>1395</v>
      </c>
    </row>
    <row r="4060" spans="1:7">
      <c r="A4060" t="s">
        <v>5663</v>
      </c>
      <c r="B4060" s="2">
        <v>45893</v>
      </c>
      <c r="C4060" t="s">
        <v>108</v>
      </c>
      <c r="D4060" t="s">
        <v>1629</v>
      </c>
      <c r="E4060">
        <v>389.76</v>
      </c>
      <c r="F4060" t="s">
        <v>1578</v>
      </c>
      <c r="G4060" t="s">
        <v>1395</v>
      </c>
    </row>
    <row r="4061" spans="1:7">
      <c r="A4061" t="s">
        <v>5664</v>
      </c>
      <c r="B4061" s="2">
        <v>45893</v>
      </c>
      <c r="C4061" t="s">
        <v>110</v>
      </c>
      <c r="D4061" t="s">
        <v>1629</v>
      </c>
      <c r="E4061">
        <v>195.84</v>
      </c>
      <c r="F4061" t="s">
        <v>1578</v>
      </c>
      <c r="G4061" t="s">
        <v>1395</v>
      </c>
    </row>
    <row r="4062" spans="1:7">
      <c r="A4062" t="s">
        <v>5665</v>
      </c>
      <c r="B4062" s="2">
        <v>45893</v>
      </c>
      <c r="C4062" t="s">
        <v>114</v>
      </c>
      <c r="D4062" t="s">
        <v>1629</v>
      </c>
      <c r="E4062">
        <v>193.92</v>
      </c>
      <c r="F4062" t="s">
        <v>1578</v>
      </c>
      <c r="G4062" t="s">
        <v>1395</v>
      </c>
    </row>
    <row r="4063" spans="1:7">
      <c r="A4063" t="s">
        <v>5666</v>
      </c>
      <c r="B4063" s="2">
        <v>45893</v>
      </c>
      <c r="C4063" t="s">
        <v>117</v>
      </c>
      <c r="D4063" t="s">
        <v>1629</v>
      </c>
      <c r="E4063">
        <v>192.96</v>
      </c>
      <c r="F4063" t="s">
        <v>1578</v>
      </c>
      <c r="G4063" t="s">
        <v>1395</v>
      </c>
    </row>
    <row r="4064" spans="1:7">
      <c r="A4064" t="s">
        <v>5667</v>
      </c>
      <c r="B4064" s="2">
        <v>45893</v>
      </c>
      <c r="C4064" t="s">
        <v>119</v>
      </c>
      <c r="D4064" t="s">
        <v>1629</v>
      </c>
      <c r="E4064">
        <v>193.92</v>
      </c>
      <c r="F4064" t="s">
        <v>1578</v>
      </c>
      <c r="G4064" t="s">
        <v>1395</v>
      </c>
    </row>
    <row r="4065" spans="1:7">
      <c r="A4065" t="s">
        <v>5668</v>
      </c>
      <c r="B4065" s="2">
        <v>45893</v>
      </c>
      <c r="C4065" t="s">
        <v>68</v>
      </c>
      <c r="D4065" t="s">
        <v>1683</v>
      </c>
      <c r="E4065">
        <v>428</v>
      </c>
      <c r="F4065" t="s">
        <v>1578</v>
      </c>
      <c r="G4065" t="s">
        <v>808</v>
      </c>
    </row>
    <row r="4066" spans="1:7">
      <c r="A4066" t="s">
        <v>5669</v>
      </c>
      <c r="B4066" s="2">
        <v>45894</v>
      </c>
      <c r="C4066" t="s">
        <v>110</v>
      </c>
      <c r="D4066" t="s">
        <v>1683</v>
      </c>
      <c r="E4066">
        <v>118</v>
      </c>
      <c r="F4066" t="s">
        <v>1578</v>
      </c>
      <c r="G4066" t="s">
        <v>809</v>
      </c>
    </row>
    <row r="4067" spans="1:7">
      <c r="A4067" t="s">
        <v>5670</v>
      </c>
      <c r="B4067" s="2">
        <v>45894</v>
      </c>
      <c r="C4067" t="s">
        <v>95</v>
      </c>
      <c r="D4067" t="s">
        <v>1683</v>
      </c>
      <c r="E4067">
        <v>344</v>
      </c>
      <c r="F4067" t="s">
        <v>1578</v>
      </c>
      <c r="G4067" t="s">
        <v>810</v>
      </c>
    </row>
    <row r="4068" spans="1:7">
      <c r="A4068" t="s">
        <v>5671</v>
      </c>
      <c r="B4068" s="2">
        <v>45894</v>
      </c>
      <c r="C4068" t="s">
        <v>93</v>
      </c>
      <c r="D4068" t="s">
        <v>1683</v>
      </c>
      <c r="E4068">
        <v>68</v>
      </c>
      <c r="F4068" t="s">
        <v>1578</v>
      </c>
      <c r="G4068" t="s">
        <v>811</v>
      </c>
    </row>
    <row r="4069" spans="1:7">
      <c r="A4069" t="s">
        <v>5672</v>
      </c>
      <c r="B4069" s="2">
        <v>45895</v>
      </c>
      <c r="C4069" t="s">
        <v>61</v>
      </c>
      <c r="D4069" t="s">
        <v>1629</v>
      </c>
      <c r="E4069">
        <v>343.74</v>
      </c>
      <c r="F4069" t="s">
        <v>1578</v>
      </c>
      <c r="G4069" t="s">
        <v>1396</v>
      </c>
    </row>
    <row r="4070" spans="1:7">
      <c r="A4070" t="s">
        <v>5673</v>
      </c>
      <c r="B4070" s="2">
        <v>45895</v>
      </c>
      <c r="C4070" t="s">
        <v>65</v>
      </c>
      <c r="D4070" t="s">
        <v>1629</v>
      </c>
      <c r="E4070">
        <v>342.05</v>
      </c>
      <c r="F4070" t="s">
        <v>1578</v>
      </c>
      <c r="G4070" t="s">
        <v>1396</v>
      </c>
    </row>
    <row r="4071" spans="1:7">
      <c r="A4071" t="s">
        <v>5674</v>
      </c>
      <c r="B4071" s="2">
        <v>45895</v>
      </c>
      <c r="C4071" t="s">
        <v>75</v>
      </c>
      <c r="D4071" t="s">
        <v>1629</v>
      </c>
      <c r="E4071">
        <v>340.37</v>
      </c>
      <c r="F4071" t="s">
        <v>1578</v>
      </c>
      <c r="G4071" t="s">
        <v>1396</v>
      </c>
    </row>
    <row r="4072" spans="1:7">
      <c r="A4072" t="s">
        <v>5675</v>
      </c>
      <c r="B4072" s="2">
        <v>45895</v>
      </c>
      <c r="C4072" t="s">
        <v>79</v>
      </c>
      <c r="D4072" t="s">
        <v>1629</v>
      </c>
      <c r="E4072">
        <v>343.74</v>
      </c>
      <c r="F4072" t="s">
        <v>1578</v>
      </c>
      <c r="G4072" t="s">
        <v>1396</v>
      </c>
    </row>
    <row r="4073" spans="1:7">
      <c r="A4073" t="s">
        <v>5676</v>
      </c>
      <c r="B4073" s="2">
        <v>45895</v>
      </c>
      <c r="C4073" t="s">
        <v>81</v>
      </c>
      <c r="D4073" t="s">
        <v>1629</v>
      </c>
      <c r="E4073">
        <v>680.74</v>
      </c>
      <c r="F4073" t="s">
        <v>1578</v>
      </c>
      <c r="G4073" t="s">
        <v>1396</v>
      </c>
    </row>
    <row r="4074" spans="1:7">
      <c r="A4074" t="s">
        <v>5677</v>
      </c>
      <c r="B4074" s="2">
        <v>45895</v>
      </c>
      <c r="C4074" t="s">
        <v>84</v>
      </c>
      <c r="D4074" t="s">
        <v>1629</v>
      </c>
      <c r="E4074">
        <v>121.49</v>
      </c>
      <c r="F4074" t="s">
        <v>1578</v>
      </c>
      <c r="G4074" t="s">
        <v>1396</v>
      </c>
    </row>
    <row r="4075" spans="1:7">
      <c r="A4075" t="s">
        <v>5678</v>
      </c>
      <c r="B4075" s="2">
        <v>45895</v>
      </c>
      <c r="C4075" t="s">
        <v>89</v>
      </c>
      <c r="D4075" t="s">
        <v>1629</v>
      </c>
      <c r="E4075">
        <v>518.14</v>
      </c>
      <c r="F4075" t="s">
        <v>1578</v>
      </c>
      <c r="G4075" t="s">
        <v>1396</v>
      </c>
    </row>
    <row r="4076" spans="1:7">
      <c r="A4076" t="s">
        <v>5679</v>
      </c>
      <c r="B4076" s="2">
        <v>45895</v>
      </c>
      <c r="C4076" t="s">
        <v>110</v>
      </c>
      <c r="D4076" t="s">
        <v>1629</v>
      </c>
      <c r="E4076">
        <v>343.74</v>
      </c>
      <c r="F4076" t="s">
        <v>1578</v>
      </c>
      <c r="G4076" t="s">
        <v>1396</v>
      </c>
    </row>
    <row r="4077" spans="1:7">
      <c r="A4077" t="s">
        <v>5680</v>
      </c>
      <c r="B4077" s="2">
        <v>45895</v>
      </c>
      <c r="C4077" t="s">
        <v>114</v>
      </c>
      <c r="D4077" t="s">
        <v>1629</v>
      </c>
      <c r="E4077">
        <v>340.37</v>
      </c>
      <c r="F4077" t="s">
        <v>1578</v>
      </c>
      <c r="G4077" t="s">
        <v>1396</v>
      </c>
    </row>
    <row r="4078" spans="1:7">
      <c r="A4078" t="s">
        <v>5681</v>
      </c>
      <c r="B4078" s="2">
        <v>45895</v>
      </c>
      <c r="C4078" t="s">
        <v>117</v>
      </c>
      <c r="D4078" t="s">
        <v>1629</v>
      </c>
      <c r="E4078">
        <v>338.68</v>
      </c>
      <c r="F4078" t="s">
        <v>1578</v>
      </c>
      <c r="G4078" t="s">
        <v>1396</v>
      </c>
    </row>
    <row r="4079" spans="1:7">
      <c r="A4079" t="s">
        <v>5682</v>
      </c>
      <c r="B4079" s="2">
        <v>45895</v>
      </c>
      <c r="C4079" t="s">
        <v>119</v>
      </c>
      <c r="D4079" t="s">
        <v>1629</v>
      </c>
      <c r="E4079">
        <v>340.37</v>
      </c>
      <c r="F4079" t="s">
        <v>1578</v>
      </c>
      <c r="G4079" t="s">
        <v>1396</v>
      </c>
    </row>
    <row r="4080" spans="1:7">
      <c r="A4080" t="s">
        <v>5683</v>
      </c>
      <c r="B4080" s="2">
        <v>45895</v>
      </c>
      <c r="C4080" t="s">
        <v>61</v>
      </c>
      <c r="D4080" t="s">
        <v>1629</v>
      </c>
      <c r="E4080">
        <v>250.92</v>
      </c>
      <c r="F4080" t="s">
        <v>1578</v>
      </c>
      <c r="G4080" t="s">
        <v>1397</v>
      </c>
    </row>
    <row r="4081" spans="1:7">
      <c r="A4081" t="s">
        <v>5684</v>
      </c>
      <c r="B4081" s="2">
        <v>45895</v>
      </c>
      <c r="C4081" t="s">
        <v>65</v>
      </c>
      <c r="D4081" t="s">
        <v>1629</v>
      </c>
      <c r="E4081">
        <v>249.69</v>
      </c>
      <c r="F4081" t="s">
        <v>1578</v>
      </c>
      <c r="G4081" t="s">
        <v>1397</v>
      </c>
    </row>
    <row r="4082" spans="1:7">
      <c r="A4082" t="s">
        <v>5685</v>
      </c>
      <c r="B4082" s="2">
        <v>45895</v>
      </c>
      <c r="C4082" t="s">
        <v>68</v>
      </c>
      <c r="D4082" t="s">
        <v>1629</v>
      </c>
      <c r="E4082">
        <v>250.92</v>
      </c>
      <c r="F4082" t="s">
        <v>1578</v>
      </c>
      <c r="G4082" t="s">
        <v>1397</v>
      </c>
    </row>
    <row r="4083" spans="1:7">
      <c r="A4083" t="s">
        <v>5686</v>
      </c>
      <c r="B4083" s="2">
        <v>45895</v>
      </c>
      <c r="C4083" t="s">
        <v>70</v>
      </c>
      <c r="D4083" t="s">
        <v>1629</v>
      </c>
      <c r="E4083">
        <v>248.46</v>
      </c>
      <c r="F4083" t="s">
        <v>1578</v>
      </c>
      <c r="G4083" t="s">
        <v>1397</v>
      </c>
    </row>
    <row r="4084" spans="1:7">
      <c r="A4084" t="s">
        <v>5687</v>
      </c>
      <c r="B4084" s="2">
        <v>45895</v>
      </c>
      <c r="C4084" t="s">
        <v>75</v>
      </c>
      <c r="D4084" t="s">
        <v>1629</v>
      </c>
      <c r="E4084">
        <v>248.46</v>
      </c>
      <c r="F4084" t="s">
        <v>1578</v>
      </c>
      <c r="G4084" t="s">
        <v>1397</v>
      </c>
    </row>
    <row r="4085" spans="1:7">
      <c r="A4085" t="s">
        <v>5688</v>
      </c>
      <c r="B4085" s="2">
        <v>45895</v>
      </c>
      <c r="C4085" t="s">
        <v>77</v>
      </c>
      <c r="D4085" t="s">
        <v>1629</v>
      </c>
      <c r="E4085">
        <v>248.46</v>
      </c>
      <c r="F4085" t="s">
        <v>1578</v>
      </c>
      <c r="G4085" t="s">
        <v>1397</v>
      </c>
    </row>
    <row r="4086" spans="1:7">
      <c r="A4086" t="s">
        <v>5689</v>
      </c>
      <c r="B4086" s="2">
        <v>45895</v>
      </c>
      <c r="C4086" t="s">
        <v>79</v>
      </c>
      <c r="D4086" t="s">
        <v>1629</v>
      </c>
      <c r="E4086">
        <v>250.92</v>
      </c>
      <c r="F4086" t="s">
        <v>1578</v>
      </c>
      <c r="G4086" t="s">
        <v>1397</v>
      </c>
    </row>
    <row r="4087" spans="1:7">
      <c r="A4087" t="s">
        <v>5690</v>
      </c>
      <c r="B4087" s="2">
        <v>45895</v>
      </c>
      <c r="C4087" t="s">
        <v>81</v>
      </c>
      <c r="D4087" t="s">
        <v>1629</v>
      </c>
      <c r="E4087">
        <v>496.92</v>
      </c>
      <c r="F4087" t="s">
        <v>1578</v>
      </c>
      <c r="G4087" t="s">
        <v>1397</v>
      </c>
    </row>
    <row r="4088" spans="1:7">
      <c r="A4088" t="s">
        <v>5691</v>
      </c>
      <c r="B4088" s="2">
        <v>45895</v>
      </c>
      <c r="C4088" t="s">
        <v>108</v>
      </c>
      <c r="D4088" t="s">
        <v>1629</v>
      </c>
      <c r="E4088">
        <v>499.38</v>
      </c>
      <c r="F4088" t="s">
        <v>1578</v>
      </c>
      <c r="G4088" t="s">
        <v>1397</v>
      </c>
    </row>
    <row r="4089" spans="1:7">
      <c r="A4089" t="s">
        <v>5692</v>
      </c>
      <c r="B4089" s="2">
        <v>45895</v>
      </c>
      <c r="C4089" t="s">
        <v>110</v>
      </c>
      <c r="D4089" t="s">
        <v>1629</v>
      </c>
      <c r="E4089">
        <v>250.92</v>
      </c>
      <c r="F4089" t="s">
        <v>1578</v>
      </c>
      <c r="G4089" t="s">
        <v>1397</v>
      </c>
    </row>
    <row r="4090" spans="1:7">
      <c r="A4090" t="s">
        <v>5693</v>
      </c>
      <c r="B4090" s="2">
        <v>45895</v>
      </c>
      <c r="C4090" t="s">
        <v>114</v>
      </c>
      <c r="D4090" t="s">
        <v>1629</v>
      </c>
      <c r="E4090">
        <v>248.46</v>
      </c>
      <c r="F4090" t="s">
        <v>1578</v>
      </c>
      <c r="G4090" t="s">
        <v>1397</v>
      </c>
    </row>
    <row r="4091" spans="1:7">
      <c r="A4091" t="s">
        <v>5694</v>
      </c>
      <c r="B4091" s="2">
        <v>45895</v>
      </c>
      <c r="C4091" t="s">
        <v>117</v>
      </c>
      <c r="D4091" t="s">
        <v>1629</v>
      </c>
      <c r="E4091">
        <v>247.23</v>
      </c>
      <c r="F4091" t="s">
        <v>1578</v>
      </c>
      <c r="G4091" t="s">
        <v>1397</v>
      </c>
    </row>
    <row r="4092" spans="1:7">
      <c r="A4092" t="s">
        <v>5695</v>
      </c>
      <c r="B4092" s="2">
        <v>45895</v>
      </c>
      <c r="C4092" t="s">
        <v>119</v>
      </c>
      <c r="D4092" t="s">
        <v>1629</v>
      </c>
      <c r="E4092">
        <v>248.46</v>
      </c>
      <c r="F4092" t="s">
        <v>1578</v>
      </c>
      <c r="G4092" t="s">
        <v>1397</v>
      </c>
    </row>
    <row r="4093" spans="1:7">
      <c r="A4093" t="s">
        <v>5696</v>
      </c>
      <c r="B4093" s="2">
        <v>45895</v>
      </c>
      <c r="C4093" t="s">
        <v>61</v>
      </c>
      <c r="D4093" t="s">
        <v>1629</v>
      </c>
      <c r="E4093">
        <v>330.48</v>
      </c>
      <c r="F4093" t="s">
        <v>1578</v>
      </c>
      <c r="G4093" t="s">
        <v>1398</v>
      </c>
    </row>
    <row r="4094" spans="1:7">
      <c r="A4094" t="s">
        <v>5697</v>
      </c>
      <c r="B4094" s="2">
        <v>45895</v>
      </c>
      <c r="C4094" t="s">
        <v>65</v>
      </c>
      <c r="D4094" t="s">
        <v>1629</v>
      </c>
      <c r="E4094">
        <v>328.86</v>
      </c>
      <c r="F4094" t="s">
        <v>1578</v>
      </c>
      <c r="G4094" t="s">
        <v>1398</v>
      </c>
    </row>
    <row r="4095" spans="1:7">
      <c r="A4095" t="s">
        <v>5698</v>
      </c>
      <c r="B4095" s="2">
        <v>45895</v>
      </c>
      <c r="C4095" t="s">
        <v>68</v>
      </c>
      <c r="D4095" t="s">
        <v>1629</v>
      </c>
      <c r="E4095">
        <v>330.48</v>
      </c>
      <c r="F4095" t="s">
        <v>1578</v>
      </c>
      <c r="G4095" t="s">
        <v>1398</v>
      </c>
    </row>
    <row r="4096" spans="1:7">
      <c r="A4096" t="s">
        <v>5699</v>
      </c>
      <c r="B4096" s="2">
        <v>45895</v>
      </c>
      <c r="C4096" t="s">
        <v>70</v>
      </c>
      <c r="D4096" t="s">
        <v>1629</v>
      </c>
      <c r="E4096">
        <v>327.24</v>
      </c>
      <c r="F4096" t="s">
        <v>1578</v>
      </c>
      <c r="G4096" t="s">
        <v>1398</v>
      </c>
    </row>
    <row r="4097" spans="1:7">
      <c r="A4097" t="s">
        <v>5700</v>
      </c>
      <c r="B4097" s="2">
        <v>45895</v>
      </c>
      <c r="C4097" t="s">
        <v>75</v>
      </c>
      <c r="D4097" t="s">
        <v>1629</v>
      </c>
      <c r="E4097">
        <v>327.24</v>
      </c>
      <c r="F4097" t="s">
        <v>1578</v>
      </c>
      <c r="G4097" t="s">
        <v>1398</v>
      </c>
    </row>
    <row r="4098" spans="1:7">
      <c r="A4098" t="s">
        <v>5701</v>
      </c>
      <c r="B4098" s="2">
        <v>45895</v>
      </c>
      <c r="C4098" t="s">
        <v>77</v>
      </c>
      <c r="D4098" t="s">
        <v>1629</v>
      </c>
      <c r="E4098">
        <v>327.24</v>
      </c>
      <c r="F4098" t="s">
        <v>1578</v>
      </c>
      <c r="G4098" t="s">
        <v>1398</v>
      </c>
    </row>
    <row r="4099" spans="1:7">
      <c r="A4099" t="s">
        <v>5702</v>
      </c>
      <c r="B4099" s="2">
        <v>45895</v>
      </c>
      <c r="C4099" t="s">
        <v>79</v>
      </c>
      <c r="D4099" t="s">
        <v>1629</v>
      </c>
      <c r="E4099">
        <v>330.48</v>
      </c>
      <c r="F4099" t="s">
        <v>1578</v>
      </c>
      <c r="G4099" t="s">
        <v>1398</v>
      </c>
    </row>
    <row r="4100" spans="1:7">
      <c r="A4100" t="s">
        <v>5703</v>
      </c>
      <c r="B4100" s="2">
        <v>45895</v>
      </c>
      <c r="C4100" t="s">
        <v>81</v>
      </c>
      <c r="D4100" t="s">
        <v>1629</v>
      </c>
      <c r="E4100">
        <v>654.48</v>
      </c>
      <c r="F4100" t="s">
        <v>1578</v>
      </c>
      <c r="G4100" t="s">
        <v>1398</v>
      </c>
    </row>
    <row r="4101" spans="1:7">
      <c r="A4101" t="s">
        <v>5704</v>
      </c>
      <c r="B4101" s="2">
        <v>45895</v>
      </c>
      <c r="C4101" t="s">
        <v>108</v>
      </c>
      <c r="D4101" t="s">
        <v>1629</v>
      </c>
      <c r="E4101">
        <v>657.72</v>
      </c>
      <c r="F4101" t="s">
        <v>1578</v>
      </c>
      <c r="G4101" t="s">
        <v>1398</v>
      </c>
    </row>
    <row r="4102" spans="1:7">
      <c r="A4102" t="s">
        <v>5705</v>
      </c>
      <c r="B4102" s="2">
        <v>45895</v>
      </c>
      <c r="C4102" t="s">
        <v>110</v>
      </c>
      <c r="D4102" t="s">
        <v>1629</v>
      </c>
      <c r="E4102">
        <v>330.48</v>
      </c>
      <c r="F4102" t="s">
        <v>1578</v>
      </c>
      <c r="G4102" t="s">
        <v>1398</v>
      </c>
    </row>
    <row r="4103" spans="1:7">
      <c r="A4103" t="s">
        <v>5706</v>
      </c>
      <c r="B4103" s="2">
        <v>45895</v>
      </c>
      <c r="C4103" t="s">
        <v>114</v>
      </c>
      <c r="D4103" t="s">
        <v>1629</v>
      </c>
      <c r="E4103">
        <v>327.24</v>
      </c>
      <c r="F4103" t="s">
        <v>1578</v>
      </c>
      <c r="G4103" t="s">
        <v>1398</v>
      </c>
    </row>
    <row r="4104" spans="1:7">
      <c r="A4104" t="s">
        <v>5707</v>
      </c>
      <c r="B4104" s="2">
        <v>45895</v>
      </c>
      <c r="C4104" t="s">
        <v>117</v>
      </c>
      <c r="D4104" t="s">
        <v>1629</v>
      </c>
      <c r="E4104">
        <v>325.62</v>
      </c>
      <c r="F4104" t="s">
        <v>1578</v>
      </c>
      <c r="G4104" t="s">
        <v>1398</v>
      </c>
    </row>
    <row r="4105" spans="1:7">
      <c r="A4105" t="s">
        <v>5708</v>
      </c>
      <c r="B4105" s="2">
        <v>45895</v>
      </c>
      <c r="C4105" t="s">
        <v>119</v>
      </c>
      <c r="D4105" t="s">
        <v>1629</v>
      </c>
      <c r="E4105">
        <v>327.24</v>
      </c>
      <c r="F4105" t="s">
        <v>1578</v>
      </c>
      <c r="G4105" t="s">
        <v>1398</v>
      </c>
    </row>
    <row r="4106" spans="1:7">
      <c r="A4106" t="s">
        <v>5709</v>
      </c>
      <c r="B4106" s="2">
        <v>45895</v>
      </c>
      <c r="C4106" t="s">
        <v>61</v>
      </c>
      <c r="D4106" t="s">
        <v>1629</v>
      </c>
      <c r="E4106">
        <v>241.74</v>
      </c>
      <c r="F4106" t="s">
        <v>1578</v>
      </c>
      <c r="G4106" t="s">
        <v>1399</v>
      </c>
    </row>
    <row r="4107" spans="1:7">
      <c r="A4107" t="s">
        <v>5710</v>
      </c>
      <c r="B4107" s="2">
        <v>45895</v>
      </c>
      <c r="C4107" t="s">
        <v>65</v>
      </c>
      <c r="D4107" t="s">
        <v>1629</v>
      </c>
      <c r="E4107">
        <v>240.55</v>
      </c>
      <c r="F4107" t="s">
        <v>1578</v>
      </c>
      <c r="G4107" t="s">
        <v>1399</v>
      </c>
    </row>
    <row r="4108" spans="1:7">
      <c r="A4108" t="s">
        <v>5711</v>
      </c>
      <c r="B4108" s="2">
        <v>45895</v>
      </c>
      <c r="C4108" t="s">
        <v>68</v>
      </c>
      <c r="D4108" t="s">
        <v>1629</v>
      </c>
      <c r="E4108">
        <v>241.74</v>
      </c>
      <c r="F4108" t="s">
        <v>1578</v>
      </c>
      <c r="G4108" t="s">
        <v>1399</v>
      </c>
    </row>
    <row r="4109" spans="1:7">
      <c r="A4109" t="s">
        <v>5712</v>
      </c>
      <c r="B4109" s="2">
        <v>45895</v>
      </c>
      <c r="C4109" t="s">
        <v>70</v>
      </c>
      <c r="D4109" t="s">
        <v>1629</v>
      </c>
      <c r="E4109">
        <v>239.37</v>
      </c>
      <c r="F4109" t="s">
        <v>1578</v>
      </c>
      <c r="G4109" t="s">
        <v>1399</v>
      </c>
    </row>
    <row r="4110" spans="1:7">
      <c r="A4110" t="s">
        <v>5713</v>
      </c>
      <c r="B4110" s="2">
        <v>45895</v>
      </c>
      <c r="C4110" t="s">
        <v>73</v>
      </c>
      <c r="D4110" t="s">
        <v>1629</v>
      </c>
      <c r="E4110">
        <v>241.74</v>
      </c>
      <c r="F4110" t="s">
        <v>1578</v>
      </c>
      <c r="G4110" t="s">
        <v>1399</v>
      </c>
    </row>
    <row r="4111" spans="1:7">
      <c r="A4111" t="s">
        <v>5714</v>
      </c>
      <c r="B4111" s="2">
        <v>45895</v>
      </c>
      <c r="C4111" t="s">
        <v>75</v>
      </c>
      <c r="D4111" t="s">
        <v>1629</v>
      </c>
      <c r="E4111">
        <v>239.37</v>
      </c>
      <c r="F4111" t="s">
        <v>1578</v>
      </c>
      <c r="G4111" t="s">
        <v>1399</v>
      </c>
    </row>
    <row r="4112" spans="1:7">
      <c r="A4112" t="s">
        <v>5715</v>
      </c>
      <c r="B4112" s="2">
        <v>45895</v>
      </c>
      <c r="C4112" t="s">
        <v>77</v>
      </c>
      <c r="D4112" t="s">
        <v>1629</v>
      </c>
      <c r="E4112">
        <v>239.37</v>
      </c>
      <c r="F4112" t="s">
        <v>1578</v>
      </c>
      <c r="G4112" t="s">
        <v>1399</v>
      </c>
    </row>
    <row r="4113" spans="1:7">
      <c r="A4113" t="s">
        <v>5716</v>
      </c>
      <c r="B4113" s="2">
        <v>45895</v>
      </c>
      <c r="C4113" t="s">
        <v>79</v>
      </c>
      <c r="D4113" t="s">
        <v>1629</v>
      </c>
      <c r="E4113">
        <v>241.74</v>
      </c>
      <c r="F4113" t="s">
        <v>1578</v>
      </c>
      <c r="G4113" t="s">
        <v>1399</v>
      </c>
    </row>
    <row r="4114" spans="1:7">
      <c r="A4114" t="s">
        <v>5717</v>
      </c>
      <c r="B4114" s="2">
        <v>45895</v>
      </c>
      <c r="C4114" t="s">
        <v>81</v>
      </c>
      <c r="D4114" t="s">
        <v>1629</v>
      </c>
      <c r="E4114">
        <v>478.74</v>
      </c>
      <c r="F4114" t="s">
        <v>1578</v>
      </c>
      <c r="G4114" t="s">
        <v>1399</v>
      </c>
    </row>
    <row r="4115" spans="1:7">
      <c r="A4115" t="s">
        <v>5718</v>
      </c>
      <c r="B4115" s="2">
        <v>45895</v>
      </c>
      <c r="C4115" t="s">
        <v>108</v>
      </c>
      <c r="D4115" t="s">
        <v>1629</v>
      </c>
      <c r="E4115">
        <v>481.11</v>
      </c>
      <c r="F4115" t="s">
        <v>1578</v>
      </c>
      <c r="G4115" t="s">
        <v>1399</v>
      </c>
    </row>
    <row r="4116" spans="1:7">
      <c r="A4116" t="s">
        <v>5719</v>
      </c>
      <c r="B4116" s="2">
        <v>45895</v>
      </c>
      <c r="C4116" t="s">
        <v>110</v>
      </c>
      <c r="D4116" t="s">
        <v>1629</v>
      </c>
      <c r="E4116">
        <v>241.74</v>
      </c>
      <c r="F4116" t="s">
        <v>1578</v>
      </c>
      <c r="G4116" t="s">
        <v>1399</v>
      </c>
    </row>
    <row r="4117" spans="1:7">
      <c r="A4117" t="s">
        <v>5720</v>
      </c>
      <c r="B4117" s="2">
        <v>45895</v>
      </c>
      <c r="C4117" t="s">
        <v>114</v>
      </c>
      <c r="D4117" t="s">
        <v>1629</v>
      </c>
      <c r="E4117">
        <v>239.37</v>
      </c>
      <c r="F4117" t="s">
        <v>1578</v>
      </c>
      <c r="G4117" t="s">
        <v>1399</v>
      </c>
    </row>
    <row r="4118" spans="1:7">
      <c r="A4118" t="s">
        <v>5721</v>
      </c>
      <c r="B4118" s="2">
        <v>45895</v>
      </c>
      <c r="C4118" t="s">
        <v>117</v>
      </c>
      <c r="D4118" t="s">
        <v>1629</v>
      </c>
      <c r="E4118">
        <v>238.18</v>
      </c>
      <c r="F4118" t="s">
        <v>1578</v>
      </c>
      <c r="G4118" t="s">
        <v>1399</v>
      </c>
    </row>
    <row r="4119" spans="1:7">
      <c r="A4119" t="s">
        <v>5722</v>
      </c>
      <c r="B4119" s="2">
        <v>45895</v>
      </c>
      <c r="C4119" t="s">
        <v>119</v>
      </c>
      <c r="D4119" t="s">
        <v>1629</v>
      </c>
      <c r="E4119">
        <v>239.37</v>
      </c>
      <c r="F4119" t="s">
        <v>1578</v>
      </c>
      <c r="G4119" t="s">
        <v>1399</v>
      </c>
    </row>
    <row r="4120" spans="1:7">
      <c r="A4120" t="s">
        <v>5723</v>
      </c>
      <c r="B4120" s="2">
        <v>45895</v>
      </c>
      <c r="C4120" t="s">
        <v>114</v>
      </c>
      <c r="D4120" t="s">
        <v>1683</v>
      </c>
      <c r="E4120">
        <v>187</v>
      </c>
      <c r="F4120" t="s">
        <v>1578</v>
      </c>
      <c r="G4120" t="s">
        <v>812</v>
      </c>
    </row>
    <row r="4121" spans="1:7">
      <c r="A4121" t="s">
        <v>5724</v>
      </c>
      <c r="B4121" s="2">
        <v>45895</v>
      </c>
      <c r="C4121" t="s">
        <v>75</v>
      </c>
      <c r="D4121" t="s">
        <v>1683</v>
      </c>
      <c r="E4121">
        <v>459</v>
      </c>
      <c r="F4121" t="s">
        <v>1578</v>
      </c>
      <c r="G4121" t="s">
        <v>813</v>
      </c>
    </row>
    <row r="4122" spans="1:7">
      <c r="A4122" t="s">
        <v>5725</v>
      </c>
      <c r="B4122" s="2">
        <v>45896</v>
      </c>
      <c r="C4122" t="s">
        <v>61</v>
      </c>
      <c r="D4122" t="s">
        <v>1629</v>
      </c>
      <c r="E4122">
        <v>477.36</v>
      </c>
      <c r="F4122" t="s">
        <v>1578</v>
      </c>
      <c r="G4122" t="s">
        <v>1400</v>
      </c>
    </row>
    <row r="4123" spans="1:7">
      <c r="A4123" t="s">
        <v>5726</v>
      </c>
      <c r="B4123" s="2">
        <v>45896</v>
      </c>
      <c r="C4123" t="s">
        <v>65</v>
      </c>
      <c r="D4123" t="s">
        <v>1629</v>
      </c>
      <c r="E4123">
        <v>475.02</v>
      </c>
      <c r="F4123" t="s">
        <v>1578</v>
      </c>
      <c r="G4123" t="s">
        <v>1400</v>
      </c>
    </row>
    <row r="4124" spans="1:7">
      <c r="A4124" t="s">
        <v>5727</v>
      </c>
      <c r="B4124" s="2">
        <v>45896</v>
      </c>
      <c r="C4124" t="s">
        <v>68</v>
      </c>
      <c r="D4124" t="s">
        <v>1629</v>
      </c>
      <c r="E4124">
        <v>477.36</v>
      </c>
      <c r="F4124" t="s">
        <v>1578</v>
      </c>
      <c r="G4124" t="s">
        <v>1400</v>
      </c>
    </row>
    <row r="4125" spans="1:7">
      <c r="A4125" t="s">
        <v>5728</v>
      </c>
      <c r="B4125" s="2">
        <v>45896</v>
      </c>
      <c r="C4125" t="s">
        <v>75</v>
      </c>
      <c r="D4125" t="s">
        <v>1629</v>
      </c>
      <c r="E4125">
        <v>472.68</v>
      </c>
      <c r="F4125" t="s">
        <v>1578</v>
      </c>
      <c r="G4125" t="s">
        <v>1400</v>
      </c>
    </row>
    <row r="4126" spans="1:7">
      <c r="A4126" t="s">
        <v>5729</v>
      </c>
      <c r="B4126" s="2">
        <v>45896</v>
      </c>
      <c r="C4126" t="s">
        <v>79</v>
      </c>
      <c r="D4126" t="s">
        <v>1629</v>
      </c>
      <c r="E4126">
        <v>477.36</v>
      </c>
      <c r="F4126" t="s">
        <v>1578</v>
      </c>
      <c r="G4126" t="s">
        <v>1400</v>
      </c>
    </row>
    <row r="4127" spans="1:7">
      <c r="A4127" t="s">
        <v>5730</v>
      </c>
      <c r="B4127" s="2">
        <v>45896</v>
      </c>
      <c r="C4127" t="s">
        <v>81</v>
      </c>
      <c r="D4127" t="s">
        <v>1629</v>
      </c>
      <c r="E4127">
        <v>945.36</v>
      </c>
      <c r="F4127" t="s">
        <v>1578</v>
      </c>
      <c r="G4127" t="s">
        <v>1400</v>
      </c>
    </row>
    <row r="4128" spans="1:7">
      <c r="A4128" t="s">
        <v>5731</v>
      </c>
      <c r="B4128" s="2">
        <v>45896</v>
      </c>
      <c r="C4128" t="s">
        <v>110</v>
      </c>
      <c r="D4128" t="s">
        <v>1629</v>
      </c>
      <c r="E4128">
        <v>477.36</v>
      </c>
      <c r="F4128" t="s">
        <v>1578</v>
      </c>
      <c r="G4128" t="s">
        <v>1400</v>
      </c>
    </row>
    <row r="4129" spans="1:7">
      <c r="A4129" t="s">
        <v>5732</v>
      </c>
      <c r="B4129" s="2">
        <v>45896</v>
      </c>
      <c r="C4129" t="s">
        <v>114</v>
      </c>
      <c r="D4129" t="s">
        <v>1629</v>
      </c>
      <c r="E4129">
        <v>472.68</v>
      </c>
      <c r="F4129" t="s">
        <v>1578</v>
      </c>
      <c r="G4129" t="s">
        <v>1400</v>
      </c>
    </row>
    <row r="4130" spans="1:7">
      <c r="A4130" t="s">
        <v>5733</v>
      </c>
      <c r="B4130" s="2">
        <v>45896</v>
      </c>
      <c r="C4130" t="s">
        <v>117</v>
      </c>
      <c r="D4130" t="s">
        <v>1629</v>
      </c>
      <c r="E4130">
        <v>470.34</v>
      </c>
      <c r="F4130" t="s">
        <v>1578</v>
      </c>
      <c r="G4130" t="s">
        <v>1400</v>
      </c>
    </row>
    <row r="4131" spans="1:7">
      <c r="A4131" t="s">
        <v>5734</v>
      </c>
      <c r="B4131" s="2">
        <v>45896</v>
      </c>
      <c r="C4131" t="s">
        <v>119</v>
      </c>
      <c r="D4131" t="s">
        <v>1629</v>
      </c>
      <c r="E4131">
        <v>472.68</v>
      </c>
      <c r="F4131" t="s">
        <v>1578</v>
      </c>
      <c r="G4131" t="s">
        <v>1400</v>
      </c>
    </row>
    <row r="4132" spans="1:7">
      <c r="A4132" t="s">
        <v>5735</v>
      </c>
      <c r="B4132" s="2">
        <v>45896</v>
      </c>
      <c r="C4132" t="s">
        <v>61</v>
      </c>
      <c r="D4132" t="s">
        <v>1629</v>
      </c>
      <c r="E4132">
        <v>476.34</v>
      </c>
      <c r="F4132" t="s">
        <v>1578</v>
      </c>
      <c r="G4132" t="s">
        <v>1401</v>
      </c>
    </row>
    <row r="4133" spans="1:7">
      <c r="A4133" t="s">
        <v>5736</v>
      </c>
      <c r="B4133" s="2">
        <v>45896</v>
      </c>
      <c r="C4133" t="s">
        <v>65</v>
      </c>
      <c r="D4133" t="s">
        <v>1629</v>
      </c>
      <c r="E4133">
        <v>474</v>
      </c>
      <c r="F4133" t="s">
        <v>1578</v>
      </c>
      <c r="G4133" t="s">
        <v>1401</v>
      </c>
    </row>
    <row r="4134" spans="1:7">
      <c r="A4134" t="s">
        <v>5737</v>
      </c>
      <c r="B4134" s="2">
        <v>45896</v>
      </c>
      <c r="C4134" t="s">
        <v>68</v>
      </c>
      <c r="D4134" t="s">
        <v>1629</v>
      </c>
      <c r="E4134">
        <v>476.34</v>
      </c>
      <c r="F4134" t="s">
        <v>1578</v>
      </c>
      <c r="G4134" t="s">
        <v>1401</v>
      </c>
    </row>
    <row r="4135" spans="1:7">
      <c r="A4135" t="s">
        <v>5738</v>
      </c>
      <c r="B4135" s="2">
        <v>45896</v>
      </c>
      <c r="C4135" t="s">
        <v>75</v>
      </c>
      <c r="D4135" t="s">
        <v>1629</v>
      </c>
      <c r="E4135">
        <v>471.67</v>
      </c>
      <c r="F4135" t="s">
        <v>1578</v>
      </c>
      <c r="G4135" t="s">
        <v>1401</v>
      </c>
    </row>
    <row r="4136" spans="1:7">
      <c r="A4136" t="s">
        <v>5739</v>
      </c>
      <c r="B4136" s="2">
        <v>45896</v>
      </c>
      <c r="C4136" t="s">
        <v>79</v>
      </c>
      <c r="D4136" t="s">
        <v>1629</v>
      </c>
      <c r="E4136">
        <v>476.34</v>
      </c>
      <c r="F4136" t="s">
        <v>1578</v>
      </c>
      <c r="G4136" t="s">
        <v>1401</v>
      </c>
    </row>
    <row r="4137" spans="1:7">
      <c r="A4137" t="s">
        <v>5740</v>
      </c>
      <c r="B4137" s="2">
        <v>45896</v>
      </c>
      <c r="C4137" t="s">
        <v>81</v>
      </c>
      <c r="D4137" t="s">
        <v>1629</v>
      </c>
      <c r="E4137">
        <v>943.34</v>
      </c>
      <c r="F4137" t="s">
        <v>1578</v>
      </c>
      <c r="G4137" t="s">
        <v>1401</v>
      </c>
    </row>
    <row r="4138" spans="1:7">
      <c r="A4138" t="s">
        <v>5741</v>
      </c>
      <c r="B4138" s="2">
        <v>45896</v>
      </c>
      <c r="C4138" t="s">
        <v>97</v>
      </c>
      <c r="D4138" t="s">
        <v>1629</v>
      </c>
      <c r="E4138">
        <v>476.34</v>
      </c>
      <c r="F4138" t="s">
        <v>1578</v>
      </c>
      <c r="G4138" t="s">
        <v>1401</v>
      </c>
    </row>
    <row r="4139" spans="1:7">
      <c r="A4139" t="s">
        <v>5742</v>
      </c>
      <c r="B4139" s="2">
        <v>45896</v>
      </c>
      <c r="C4139" t="s">
        <v>110</v>
      </c>
      <c r="D4139" t="s">
        <v>1629</v>
      </c>
      <c r="E4139">
        <v>476.34</v>
      </c>
      <c r="F4139" t="s">
        <v>1578</v>
      </c>
      <c r="G4139" t="s">
        <v>1401</v>
      </c>
    </row>
    <row r="4140" spans="1:7">
      <c r="A4140" t="s">
        <v>5743</v>
      </c>
      <c r="B4140" s="2">
        <v>45896</v>
      </c>
      <c r="C4140" t="s">
        <v>114</v>
      </c>
      <c r="D4140" t="s">
        <v>1629</v>
      </c>
      <c r="E4140">
        <v>471.67</v>
      </c>
      <c r="F4140" t="s">
        <v>1578</v>
      </c>
      <c r="G4140" t="s">
        <v>1401</v>
      </c>
    </row>
    <row r="4141" spans="1:7">
      <c r="A4141" t="s">
        <v>5744</v>
      </c>
      <c r="B4141" s="2">
        <v>45896</v>
      </c>
      <c r="C4141" t="s">
        <v>117</v>
      </c>
      <c r="D4141" t="s">
        <v>1629</v>
      </c>
      <c r="E4141">
        <v>469.33</v>
      </c>
      <c r="F4141" t="s">
        <v>1578</v>
      </c>
      <c r="G4141" t="s">
        <v>1401</v>
      </c>
    </row>
    <row r="4142" spans="1:7">
      <c r="A4142" t="s">
        <v>5745</v>
      </c>
      <c r="B4142" s="2">
        <v>45896</v>
      </c>
      <c r="C4142" t="s">
        <v>119</v>
      </c>
      <c r="D4142" t="s">
        <v>1629</v>
      </c>
      <c r="E4142">
        <v>471.67</v>
      </c>
      <c r="F4142" t="s">
        <v>1578</v>
      </c>
      <c r="G4142" t="s">
        <v>1401</v>
      </c>
    </row>
    <row r="4143" spans="1:7">
      <c r="A4143" t="s">
        <v>5746</v>
      </c>
      <c r="B4143" s="2">
        <v>45896</v>
      </c>
      <c r="C4143" t="s">
        <v>104</v>
      </c>
      <c r="D4143" t="s">
        <v>1683</v>
      </c>
      <c r="E4143">
        <v>259</v>
      </c>
      <c r="F4143" t="s">
        <v>1578</v>
      </c>
      <c r="G4143" t="s">
        <v>814</v>
      </c>
    </row>
    <row r="4144" spans="1:7">
      <c r="A4144" t="s">
        <v>5747</v>
      </c>
      <c r="B4144" s="2">
        <v>45897</v>
      </c>
      <c r="C4144" t="s">
        <v>61</v>
      </c>
      <c r="D4144" t="s">
        <v>1629</v>
      </c>
      <c r="E4144">
        <v>340.68</v>
      </c>
      <c r="F4144" t="s">
        <v>1578</v>
      </c>
      <c r="G4144" t="s">
        <v>1402</v>
      </c>
    </row>
    <row r="4145" spans="1:7">
      <c r="A4145" t="s">
        <v>5748</v>
      </c>
      <c r="B4145" s="2">
        <v>45897</v>
      </c>
      <c r="C4145" t="s">
        <v>65</v>
      </c>
      <c r="D4145" t="s">
        <v>1629</v>
      </c>
      <c r="E4145">
        <v>339.01</v>
      </c>
      <c r="F4145" t="s">
        <v>1578</v>
      </c>
      <c r="G4145" t="s">
        <v>1402</v>
      </c>
    </row>
    <row r="4146" spans="1:7">
      <c r="A4146" t="s">
        <v>5749</v>
      </c>
      <c r="B4146" s="2">
        <v>45897</v>
      </c>
      <c r="C4146" t="s">
        <v>68</v>
      </c>
      <c r="D4146" t="s">
        <v>1629</v>
      </c>
      <c r="E4146">
        <v>340.68</v>
      </c>
      <c r="F4146" t="s">
        <v>1578</v>
      </c>
      <c r="G4146" t="s">
        <v>1402</v>
      </c>
    </row>
    <row r="4147" spans="1:7">
      <c r="A4147" t="s">
        <v>5750</v>
      </c>
      <c r="B4147" s="2">
        <v>45897</v>
      </c>
      <c r="C4147" t="s">
        <v>75</v>
      </c>
      <c r="D4147" t="s">
        <v>1629</v>
      </c>
      <c r="E4147">
        <v>337.34</v>
      </c>
      <c r="F4147" t="s">
        <v>1578</v>
      </c>
      <c r="G4147" t="s">
        <v>1402</v>
      </c>
    </row>
    <row r="4148" spans="1:7">
      <c r="A4148" t="s">
        <v>5751</v>
      </c>
      <c r="B4148" s="2">
        <v>45897</v>
      </c>
      <c r="C4148" t="s">
        <v>79</v>
      </c>
      <c r="D4148" t="s">
        <v>1629</v>
      </c>
      <c r="E4148">
        <v>340.68</v>
      </c>
      <c r="F4148" t="s">
        <v>1578</v>
      </c>
      <c r="G4148" t="s">
        <v>1402</v>
      </c>
    </row>
    <row r="4149" spans="1:7">
      <c r="A4149" t="s">
        <v>5752</v>
      </c>
      <c r="B4149" s="2">
        <v>45897</v>
      </c>
      <c r="C4149" t="s">
        <v>81</v>
      </c>
      <c r="D4149" t="s">
        <v>1629</v>
      </c>
      <c r="E4149">
        <v>674.68</v>
      </c>
      <c r="F4149" t="s">
        <v>1578</v>
      </c>
      <c r="G4149" t="s">
        <v>1402</v>
      </c>
    </row>
    <row r="4150" spans="1:7">
      <c r="A4150" t="s">
        <v>5753</v>
      </c>
      <c r="B4150" s="2">
        <v>45897</v>
      </c>
      <c r="C4150" t="s">
        <v>97</v>
      </c>
      <c r="D4150" t="s">
        <v>1629</v>
      </c>
      <c r="E4150">
        <v>340.68</v>
      </c>
      <c r="F4150" t="s">
        <v>1578</v>
      </c>
      <c r="G4150" t="s">
        <v>1402</v>
      </c>
    </row>
    <row r="4151" spans="1:7">
      <c r="A4151" t="s">
        <v>5754</v>
      </c>
      <c r="B4151" s="2">
        <v>45897</v>
      </c>
      <c r="C4151" t="s">
        <v>110</v>
      </c>
      <c r="D4151" t="s">
        <v>1629</v>
      </c>
      <c r="E4151">
        <v>340.68</v>
      </c>
      <c r="F4151" t="s">
        <v>1578</v>
      </c>
      <c r="G4151" t="s">
        <v>1402</v>
      </c>
    </row>
    <row r="4152" spans="1:7">
      <c r="A4152" t="s">
        <v>5755</v>
      </c>
      <c r="B4152" s="2">
        <v>45897</v>
      </c>
      <c r="C4152" t="s">
        <v>114</v>
      </c>
      <c r="D4152" t="s">
        <v>1629</v>
      </c>
      <c r="E4152">
        <v>337.34</v>
      </c>
      <c r="F4152" t="s">
        <v>1578</v>
      </c>
      <c r="G4152" t="s">
        <v>1402</v>
      </c>
    </row>
    <row r="4153" spans="1:7">
      <c r="A4153" t="s">
        <v>5756</v>
      </c>
      <c r="B4153" s="2">
        <v>45897</v>
      </c>
      <c r="C4153" t="s">
        <v>117</v>
      </c>
      <c r="D4153" t="s">
        <v>1629</v>
      </c>
      <c r="E4153">
        <v>335.67</v>
      </c>
      <c r="F4153" t="s">
        <v>1578</v>
      </c>
      <c r="G4153" t="s">
        <v>1402</v>
      </c>
    </row>
    <row r="4154" spans="1:7">
      <c r="A4154" t="s">
        <v>5757</v>
      </c>
      <c r="B4154" s="2">
        <v>45897</v>
      </c>
      <c r="C4154" t="s">
        <v>119</v>
      </c>
      <c r="D4154" t="s">
        <v>1629</v>
      </c>
      <c r="E4154">
        <v>337.34</v>
      </c>
      <c r="F4154" t="s">
        <v>1578</v>
      </c>
      <c r="G4154" t="s">
        <v>1402</v>
      </c>
    </row>
    <row r="4155" spans="1:7">
      <c r="A4155" t="s">
        <v>5758</v>
      </c>
      <c r="B4155" s="2">
        <v>45898</v>
      </c>
      <c r="C4155" t="s">
        <v>61</v>
      </c>
      <c r="D4155" t="s">
        <v>1629</v>
      </c>
      <c r="E4155">
        <v>121.38</v>
      </c>
      <c r="F4155" t="s">
        <v>1578</v>
      </c>
      <c r="G4155" t="s">
        <v>1403</v>
      </c>
    </row>
    <row r="4156" spans="1:7">
      <c r="A4156" t="s">
        <v>5759</v>
      </c>
      <c r="B4156" s="2">
        <v>45898</v>
      </c>
      <c r="C4156" t="s">
        <v>65</v>
      </c>
      <c r="D4156" t="s">
        <v>1629</v>
      </c>
      <c r="E4156">
        <v>120.78</v>
      </c>
      <c r="F4156" t="s">
        <v>1578</v>
      </c>
      <c r="G4156" t="s">
        <v>1403</v>
      </c>
    </row>
    <row r="4157" spans="1:7">
      <c r="A4157" t="s">
        <v>5760</v>
      </c>
      <c r="B4157" s="2">
        <v>45898</v>
      </c>
      <c r="C4157" t="s">
        <v>68</v>
      </c>
      <c r="D4157" t="s">
        <v>1629</v>
      </c>
      <c r="E4157">
        <v>121.38</v>
      </c>
      <c r="F4157" t="s">
        <v>1578</v>
      </c>
      <c r="G4157" t="s">
        <v>1403</v>
      </c>
    </row>
    <row r="4158" spans="1:7">
      <c r="A4158" t="s">
        <v>5761</v>
      </c>
      <c r="B4158" s="2">
        <v>45898</v>
      </c>
      <c r="C4158" t="s">
        <v>70</v>
      </c>
      <c r="D4158" t="s">
        <v>1629</v>
      </c>
      <c r="E4158">
        <v>120.19</v>
      </c>
      <c r="F4158" t="s">
        <v>1578</v>
      </c>
      <c r="G4158" t="s">
        <v>1403</v>
      </c>
    </row>
    <row r="4159" spans="1:7">
      <c r="A4159" t="s">
        <v>5762</v>
      </c>
      <c r="B4159" s="2">
        <v>45898</v>
      </c>
      <c r="C4159" t="s">
        <v>75</v>
      </c>
      <c r="D4159" t="s">
        <v>1629</v>
      </c>
      <c r="E4159">
        <v>120.19</v>
      </c>
      <c r="F4159" t="s">
        <v>1578</v>
      </c>
      <c r="G4159" t="s">
        <v>1403</v>
      </c>
    </row>
    <row r="4160" spans="1:7">
      <c r="A4160" t="s">
        <v>5763</v>
      </c>
      <c r="B4160" s="2">
        <v>45898</v>
      </c>
      <c r="C4160" t="s">
        <v>77</v>
      </c>
      <c r="D4160" t="s">
        <v>1629</v>
      </c>
      <c r="E4160">
        <v>120.19</v>
      </c>
      <c r="F4160" t="s">
        <v>1578</v>
      </c>
      <c r="G4160" t="s">
        <v>1403</v>
      </c>
    </row>
    <row r="4161" spans="1:7">
      <c r="A4161" t="s">
        <v>5764</v>
      </c>
      <c r="B4161" s="2">
        <v>45898</v>
      </c>
      <c r="C4161" t="s">
        <v>79</v>
      </c>
      <c r="D4161" t="s">
        <v>1629</v>
      </c>
      <c r="E4161">
        <v>121.38</v>
      </c>
      <c r="F4161" t="s">
        <v>1578</v>
      </c>
      <c r="G4161" t="s">
        <v>1403</v>
      </c>
    </row>
    <row r="4162" spans="1:7">
      <c r="A4162" t="s">
        <v>5765</v>
      </c>
      <c r="B4162" s="2">
        <v>45898</v>
      </c>
      <c r="C4162" t="s">
        <v>81</v>
      </c>
      <c r="D4162" t="s">
        <v>1629</v>
      </c>
      <c r="E4162">
        <v>240.38</v>
      </c>
      <c r="F4162" t="s">
        <v>1578</v>
      </c>
      <c r="G4162" t="s">
        <v>1403</v>
      </c>
    </row>
    <row r="4163" spans="1:7">
      <c r="A4163" t="s">
        <v>5766</v>
      </c>
      <c r="B4163" s="2">
        <v>45898</v>
      </c>
      <c r="C4163" t="s">
        <v>110</v>
      </c>
      <c r="D4163" t="s">
        <v>1629</v>
      </c>
      <c r="E4163">
        <v>121.38</v>
      </c>
      <c r="F4163" t="s">
        <v>1578</v>
      </c>
      <c r="G4163" t="s">
        <v>1403</v>
      </c>
    </row>
    <row r="4164" spans="1:7">
      <c r="A4164" t="s">
        <v>5767</v>
      </c>
      <c r="B4164" s="2">
        <v>45898</v>
      </c>
      <c r="C4164" t="s">
        <v>114</v>
      </c>
      <c r="D4164" t="s">
        <v>1629</v>
      </c>
      <c r="E4164">
        <v>120.19</v>
      </c>
      <c r="F4164" t="s">
        <v>1578</v>
      </c>
      <c r="G4164" t="s">
        <v>1403</v>
      </c>
    </row>
    <row r="4165" spans="1:7">
      <c r="A4165" t="s">
        <v>5768</v>
      </c>
      <c r="B4165" s="2">
        <v>45898</v>
      </c>
      <c r="C4165" t="s">
        <v>117</v>
      </c>
      <c r="D4165" t="s">
        <v>1629</v>
      </c>
      <c r="E4165">
        <v>119.59</v>
      </c>
      <c r="F4165" t="s">
        <v>1578</v>
      </c>
      <c r="G4165" t="s">
        <v>1403</v>
      </c>
    </row>
    <row r="4166" spans="1:7">
      <c r="A4166" t="s">
        <v>5769</v>
      </c>
      <c r="B4166" s="2">
        <v>45898</v>
      </c>
      <c r="C4166" t="s">
        <v>119</v>
      </c>
      <c r="D4166" t="s">
        <v>1629</v>
      </c>
      <c r="E4166">
        <v>120.19</v>
      </c>
      <c r="F4166" t="s">
        <v>1578</v>
      </c>
      <c r="G4166" t="s">
        <v>1403</v>
      </c>
    </row>
    <row r="4167" spans="1:7">
      <c r="A4167" t="s">
        <v>5770</v>
      </c>
      <c r="B4167" s="2">
        <v>45898</v>
      </c>
      <c r="C4167" t="s">
        <v>70</v>
      </c>
      <c r="D4167" t="s">
        <v>1683</v>
      </c>
      <c r="E4167">
        <v>401</v>
      </c>
      <c r="F4167" t="s">
        <v>1578</v>
      </c>
      <c r="G4167" t="s">
        <v>815</v>
      </c>
    </row>
    <row r="4168" spans="1:7">
      <c r="A4168" t="s">
        <v>5771</v>
      </c>
      <c r="B4168" s="2">
        <v>45898</v>
      </c>
      <c r="C4168" t="s">
        <v>114</v>
      </c>
      <c r="D4168" t="s">
        <v>1683</v>
      </c>
      <c r="E4168">
        <v>359</v>
      </c>
      <c r="F4168" t="s">
        <v>1578</v>
      </c>
      <c r="G4168" t="s">
        <v>816</v>
      </c>
    </row>
    <row r="4169" spans="1:7">
      <c r="A4169" t="s">
        <v>5772</v>
      </c>
      <c r="B4169" s="2">
        <v>45899</v>
      </c>
      <c r="C4169" t="s">
        <v>61</v>
      </c>
      <c r="D4169" t="s">
        <v>1629</v>
      </c>
      <c r="E4169">
        <v>390.66</v>
      </c>
      <c r="F4169" t="s">
        <v>1578</v>
      </c>
      <c r="G4169" t="s">
        <v>1404</v>
      </c>
    </row>
    <row r="4170" spans="1:7">
      <c r="A4170" t="s">
        <v>5773</v>
      </c>
      <c r="B4170" s="2">
        <v>45899</v>
      </c>
      <c r="C4170" t="s">
        <v>65</v>
      </c>
      <c r="D4170" t="s">
        <v>1629</v>
      </c>
      <c r="E4170">
        <v>388.74</v>
      </c>
      <c r="F4170" t="s">
        <v>1578</v>
      </c>
      <c r="G4170" t="s">
        <v>1404</v>
      </c>
    </row>
    <row r="4171" spans="1:7">
      <c r="A4171" t="s">
        <v>5774</v>
      </c>
      <c r="B4171" s="2">
        <v>45899</v>
      </c>
      <c r="C4171" t="s">
        <v>68</v>
      </c>
      <c r="D4171" t="s">
        <v>1629</v>
      </c>
      <c r="E4171">
        <v>390.66</v>
      </c>
      <c r="F4171" t="s">
        <v>1578</v>
      </c>
      <c r="G4171" t="s">
        <v>1404</v>
      </c>
    </row>
    <row r="4172" spans="1:7">
      <c r="A4172" t="s">
        <v>5775</v>
      </c>
      <c r="B4172" s="2">
        <v>45899</v>
      </c>
      <c r="C4172" t="s">
        <v>70</v>
      </c>
      <c r="D4172" t="s">
        <v>1629</v>
      </c>
      <c r="E4172">
        <v>386.83</v>
      </c>
      <c r="F4172" t="s">
        <v>1578</v>
      </c>
      <c r="G4172" t="s">
        <v>1404</v>
      </c>
    </row>
    <row r="4173" spans="1:7">
      <c r="A4173" t="s">
        <v>5776</v>
      </c>
      <c r="B4173" s="2">
        <v>45899</v>
      </c>
      <c r="C4173" t="s">
        <v>73</v>
      </c>
      <c r="D4173" t="s">
        <v>1629</v>
      </c>
      <c r="E4173">
        <v>390.66</v>
      </c>
      <c r="F4173" t="s">
        <v>1578</v>
      </c>
      <c r="G4173" t="s">
        <v>1404</v>
      </c>
    </row>
    <row r="4174" spans="1:7">
      <c r="A4174" t="s">
        <v>5777</v>
      </c>
      <c r="B4174" s="2">
        <v>45899</v>
      </c>
      <c r="C4174" t="s">
        <v>75</v>
      </c>
      <c r="D4174" t="s">
        <v>1629</v>
      </c>
      <c r="E4174">
        <v>386.83</v>
      </c>
      <c r="F4174" t="s">
        <v>1578</v>
      </c>
      <c r="G4174" t="s">
        <v>1404</v>
      </c>
    </row>
    <row r="4175" spans="1:7">
      <c r="A4175" t="s">
        <v>5778</v>
      </c>
      <c r="B4175" s="2">
        <v>45899</v>
      </c>
      <c r="C4175" t="s">
        <v>77</v>
      </c>
      <c r="D4175" t="s">
        <v>1629</v>
      </c>
      <c r="E4175">
        <v>386.83</v>
      </c>
      <c r="F4175" t="s">
        <v>1578</v>
      </c>
      <c r="G4175" t="s">
        <v>1404</v>
      </c>
    </row>
    <row r="4176" spans="1:7">
      <c r="A4176" t="s">
        <v>5779</v>
      </c>
      <c r="B4176" s="2">
        <v>45899</v>
      </c>
      <c r="C4176" t="s">
        <v>79</v>
      </c>
      <c r="D4176" t="s">
        <v>1629</v>
      </c>
      <c r="E4176">
        <v>390.66</v>
      </c>
      <c r="F4176" t="s">
        <v>1578</v>
      </c>
      <c r="G4176" t="s">
        <v>1404</v>
      </c>
    </row>
    <row r="4177" spans="1:7">
      <c r="A4177" t="s">
        <v>5780</v>
      </c>
      <c r="B4177" s="2">
        <v>45899</v>
      </c>
      <c r="C4177" t="s">
        <v>81</v>
      </c>
      <c r="D4177" t="s">
        <v>1629</v>
      </c>
      <c r="E4177">
        <v>773.66</v>
      </c>
      <c r="F4177" t="s">
        <v>1578</v>
      </c>
      <c r="G4177" t="s">
        <v>1404</v>
      </c>
    </row>
    <row r="4178" spans="1:7">
      <c r="A4178" t="s">
        <v>5781</v>
      </c>
      <c r="B4178" s="2">
        <v>45899</v>
      </c>
      <c r="C4178" t="s">
        <v>108</v>
      </c>
      <c r="D4178" t="s">
        <v>1629</v>
      </c>
      <c r="E4178">
        <v>777.49</v>
      </c>
      <c r="F4178" t="s">
        <v>1578</v>
      </c>
      <c r="G4178" t="s">
        <v>1404</v>
      </c>
    </row>
    <row r="4179" spans="1:7">
      <c r="A4179" t="s">
        <v>5782</v>
      </c>
      <c r="B4179" s="2">
        <v>45899</v>
      </c>
      <c r="C4179" t="s">
        <v>110</v>
      </c>
      <c r="D4179" t="s">
        <v>1629</v>
      </c>
      <c r="E4179">
        <v>390.66</v>
      </c>
      <c r="F4179" t="s">
        <v>1578</v>
      </c>
      <c r="G4179" t="s">
        <v>1404</v>
      </c>
    </row>
    <row r="4180" spans="1:7">
      <c r="A4180" t="s">
        <v>5783</v>
      </c>
      <c r="B4180" s="2">
        <v>45899</v>
      </c>
      <c r="C4180" t="s">
        <v>114</v>
      </c>
      <c r="D4180" t="s">
        <v>1629</v>
      </c>
      <c r="E4180">
        <v>386.83</v>
      </c>
      <c r="F4180" t="s">
        <v>1578</v>
      </c>
      <c r="G4180" t="s">
        <v>1404</v>
      </c>
    </row>
    <row r="4181" spans="1:7">
      <c r="A4181" t="s">
        <v>5784</v>
      </c>
      <c r="B4181" s="2">
        <v>45899</v>
      </c>
      <c r="C4181" t="s">
        <v>117</v>
      </c>
      <c r="D4181" t="s">
        <v>1629</v>
      </c>
      <c r="E4181">
        <v>384.92</v>
      </c>
      <c r="F4181" t="s">
        <v>1578</v>
      </c>
      <c r="G4181" t="s">
        <v>1404</v>
      </c>
    </row>
    <row r="4182" spans="1:7">
      <c r="A4182" t="s">
        <v>5785</v>
      </c>
      <c r="B4182" s="2">
        <v>45899</v>
      </c>
      <c r="C4182" t="s">
        <v>119</v>
      </c>
      <c r="D4182" t="s">
        <v>1629</v>
      </c>
      <c r="E4182">
        <v>386.83</v>
      </c>
      <c r="F4182" t="s">
        <v>1578</v>
      </c>
      <c r="G4182" t="s">
        <v>1404</v>
      </c>
    </row>
    <row r="4183" spans="1:7">
      <c r="A4183" t="s">
        <v>5786</v>
      </c>
      <c r="B4183" s="2">
        <v>45899</v>
      </c>
      <c r="C4183" t="s">
        <v>61</v>
      </c>
      <c r="D4183" t="s">
        <v>1629</v>
      </c>
      <c r="E4183">
        <v>480.42</v>
      </c>
      <c r="F4183" t="s">
        <v>1578</v>
      </c>
      <c r="G4183" t="s">
        <v>1405</v>
      </c>
    </row>
    <row r="4184" spans="1:7">
      <c r="A4184" t="s">
        <v>5787</v>
      </c>
      <c r="B4184" s="2">
        <v>45899</v>
      </c>
      <c r="C4184" t="s">
        <v>65</v>
      </c>
      <c r="D4184" t="s">
        <v>1629</v>
      </c>
      <c r="E4184">
        <v>478.06</v>
      </c>
      <c r="F4184" t="s">
        <v>1578</v>
      </c>
      <c r="G4184" t="s">
        <v>1405</v>
      </c>
    </row>
    <row r="4185" spans="1:7">
      <c r="A4185" t="s">
        <v>5788</v>
      </c>
      <c r="B4185" s="2">
        <v>45899</v>
      </c>
      <c r="C4185" t="s">
        <v>68</v>
      </c>
      <c r="D4185" t="s">
        <v>1629</v>
      </c>
      <c r="E4185">
        <v>480.42</v>
      </c>
      <c r="F4185" t="s">
        <v>1578</v>
      </c>
      <c r="G4185" t="s">
        <v>1405</v>
      </c>
    </row>
    <row r="4186" spans="1:7">
      <c r="A4186" t="s">
        <v>5789</v>
      </c>
      <c r="B4186" s="2">
        <v>45899</v>
      </c>
      <c r="C4186" t="s">
        <v>70</v>
      </c>
      <c r="D4186" t="s">
        <v>1629</v>
      </c>
      <c r="E4186">
        <v>475.71</v>
      </c>
      <c r="F4186" t="s">
        <v>1578</v>
      </c>
      <c r="G4186" t="s">
        <v>1405</v>
      </c>
    </row>
    <row r="4187" spans="1:7">
      <c r="A4187" t="s">
        <v>5790</v>
      </c>
      <c r="B4187" s="2">
        <v>45899</v>
      </c>
      <c r="C4187" t="s">
        <v>75</v>
      </c>
      <c r="D4187" t="s">
        <v>1629</v>
      </c>
      <c r="E4187">
        <v>475.71</v>
      </c>
      <c r="F4187" t="s">
        <v>1578</v>
      </c>
      <c r="G4187" t="s">
        <v>1405</v>
      </c>
    </row>
    <row r="4188" spans="1:7">
      <c r="A4188" t="s">
        <v>5791</v>
      </c>
      <c r="B4188" s="2">
        <v>45899</v>
      </c>
      <c r="C4188" t="s">
        <v>77</v>
      </c>
      <c r="D4188" t="s">
        <v>1629</v>
      </c>
      <c r="E4188">
        <v>475.71</v>
      </c>
      <c r="F4188" t="s">
        <v>1578</v>
      </c>
      <c r="G4188" t="s">
        <v>1405</v>
      </c>
    </row>
    <row r="4189" spans="1:7">
      <c r="A4189" t="s">
        <v>5792</v>
      </c>
      <c r="B4189" s="2">
        <v>45899</v>
      </c>
      <c r="C4189" t="s">
        <v>79</v>
      </c>
      <c r="D4189" t="s">
        <v>1629</v>
      </c>
      <c r="E4189">
        <v>480.42</v>
      </c>
      <c r="F4189" t="s">
        <v>1578</v>
      </c>
      <c r="G4189" t="s">
        <v>1405</v>
      </c>
    </row>
    <row r="4190" spans="1:7">
      <c r="A4190" t="s">
        <v>5793</v>
      </c>
      <c r="B4190" s="2">
        <v>45899</v>
      </c>
      <c r="C4190" t="s">
        <v>81</v>
      </c>
      <c r="D4190" t="s">
        <v>1629</v>
      </c>
      <c r="E4190">
        <v>951.42</v>
      </c>
      <c r="F4190" t="s">
        <v>1578</v>
      </c>
      <c r="G4190" t="s">
        <v>1405</v>
      </c>
    </row>
    <row r="4191" spans="1:7">
      <c r="A4191" t="s">
        <v>5794</v>
      </c>
      <c r="B4191" s="2">
        <v>45899</v>
      </c>
      <c r="C4191" t="s">
        <v>110</v>
      </c>
      <c r="D4191" t="s">
        <v>1629</v>
      </c>
      <c r="E4191">
        <v>480.42</v>
      </c>
      <c r="F4191" t="s">
        <v>1578</v>
      </c>
      <c r="G4191" t="s">
        <v>1405</v>
      </c>
    </row>
    <row r="4192" spans="1:7">
      <c r="A4192" t="s">
        <v>5795</v>
      </c>
      <c r="B4192" s="2">
        <v>45899</v>
      </c>
      <c r="C4192" t="s">
        <v>114</v>
      </c>
      <c r="D4192" t="s">
        <v>1629</v>
      </c>
      <c r="E4192">
        <v>475.71</v>
      </c>
      <c r="F4192" t="s">
        <v>1578</v>
      </c>
      <c r="G4192" t="s">
        <v>1405</v>
      </c>
    </row>
    <row r="4193" spans="1:7">
      <c r="A4193" t="s">
        <v>5796</v>
      </c>
      <c r="B4193" s="2">
        <v>45899</v>
      </c>
      <c r="C4193" t="s">
        <v>117</v>
      </c>
      <c r="D4193" t="s">
        <v>1629</v>
      </c>
      <c r="E4193">
        <v>473.35</v>
      </c>
      <c r="F4193" t="s">
        <v>1578</v>
      </c>
      <c r="G4193" t="s">
        <v>1405</v>
      </c>
    </row>
    <row r="4194" spans="1:7">
      <c r="A4194" t="s">
        <v>5797</v>
      </c>
      <c r="B4194" s="2">
        <v>45899</v>
      </c>
      <c r="C4194" t="s">
        <v>119</v>
      </c>
      <c r="D4194" t="s">
        <v>1629</v>
      </c>
      <c r="E4194">
        <v>475.71</v>
      </c>
      <c r="F4194" t="s">
        <v>1578</v>
      </c>
      <c r="G4194" t="s">
        <v>1405</v>
      </c>
    </row>
    <row r="4195" spans="1:7">
      <c r="A4195" t="s">
        <v>5798</v>
      </c>
      <c r="B4195" s="2">
        <v>45899</v>
      </c>
      <c r="C4195" t="s">
        <v>77</v>
      </c>
      <c r="D4195" t="s">
        <v>1683</v>
      </c>
      <c r="E4195">
        <v>474</v>
      </c>
      <c r="F4195" t="s">
        <v>1578</v>
      </c>
      <c r="G4195" t="s">
        <v>817</v>
      </c>
    </row>
    <row r="4196" spans="1:7">
      <c r="A4196" t="s">
        <v>5799</v>
      </c>
      <c r="B4196" s="2">
        <v>45901</v>
      </c>
      <c r="C4196" t="s">
        <v>61</v>
      </c>
      <c r="D4196" t="s">
        <v>1629</v>
      </c>
      <c r="E4196">
        <v>147.9</v>
      </c>
      <c r="F4196" t="s">
        <v>1578</v>
      </c>
      <c r="G4196" t="s">
        <v>1406</v>
      </c>
    </row>
    <row r="4197" spans="1:7">
      <c r="A4197" t="s">
        <v>5800</v>
      </c>
      <c r="B4197" s="2">
        <v>45901</v>
      </c>
      <c r="C4197" t="s">
        <v>65</v>
      </c>
      <c r="D4197" t="s">
        <v>1629</v>
      </c>
      <c r="E4197">
        <v>147.16999999999999</v>
      </c>
      <c r="F4197" t="s">
        <v>1578</v>
      </c>
      <c r="G4197" t="s">
        <v>1406</v>
      </c>
    </row>
    <row r="4198" spans="1:7">
      <c r="A4198" t="s">
        <v>5801</v>
      </c>
      <c r="B4198" s="2">
        <v>45901</v>
      </c>
      <c r="C4198" t="s">
        <v>68</v>
      </c>
      <c r="D4198" t="s">
        <v>1629</v>
      </c>
      <c r="E4198">
        <v>147.9</v>
      </c>
      <c r="F4198" t="s">
        <v>1578</v>
      </c>
      <c r="G4198" t="s">
        <v>1406</v>
      </c>
    </row>
    <row r="4199" spans="1:7">
      <c r="A4199" t="s">
        <v>5802</v>
      </c>
      <c r="B4199" s="2">
        <v>45901</v>
      </c>
      <c r="C4199" t="s">
        <v>75</v>
      </c>
      <c r="D4199" t="s">
        <v>1629</v>
      </c>
      <c r="E4199">
        <v>146.44999999999999</v>
      </c>
      <c r="F4199" t="s">
        <v>1578</v>
      </c>
      <c r="G4199" t="s">
        <v>1406</v>
      </c>
    </row>
    <row r="4200" spans="1:7">
      <c r="A4200" t="s">
        <v>5803</v>
      </c>
      <c r="B4200" s="2">
        <v>45901</v>
      </c>
      <c r="C4200" t="s">
        <v>79</v>
      </c>
      <c r="D4200" t="s">
        <v>1629</v>
      </c>
      <c r="E4200">
        <v>147.9</v>
      </c>
      <c r="F4200" t="s">
        <v>1578</v>
      </c>
      <c r="G4200" t="s">
        <v>1406</v>
      </c>
    </row>
    <row r="4201" spans="1:7">
      <c r="A4201" t="s">
        <v>5804</v>
      </c>
      <c r="B4201" s="2">
        <v>45901</v>
      </c>
      <c r="C4201" t="s">
        <v>81</v>
      </c>
      <c r="D4201" t="s">
        <v>1629</v>
      </c>
      <c r="E4201">
        <v>292.89999999999998</v>
      </c>
      <c r="F4201" t="s">
        <v>1578</v>
      </c>
      <c r="G4201" t="s">
        <v>1406</v>
      </c>
    </row>
    <row r="4202" spans="1:7">
      <c r="A4202" t="s">
        <v>5805</v>
      </c>
      <c r="B4202" s="2">
        <v>45901</v>
      </c>
      <c r="C4202" t="s">
        <v>97</v>
      </c>
      <c r="D4202" t="s">
        <v>1629</v>
      </c>
      <c r="E4202">
        <v>147.9</v>
      </c>
      <c r="F4202" t="s">
        <v>1578</v>
      </c>
      <c r="G4202" t="s">
        <v>1406</v>
      </c>
    </row>
    <row r="4203" spans="1:7">
      <c r="A4203" t="s">
        <v>5806</v>
      </c>
      <c r="B4203" s="2">
        <v>45901</v>
      </c>
      <c r="C4203" t="s">
        <v>110</v>
      </c>
      <c r="D4203" t="s">
        <v>1629</v>
      </c>
      <c r="E4203">
        <v>147.9</v>
      </c>
      <c r="F4203" t="s">
        <v>1578</v>
      </c>
      <c r="G4203" t="s">
        <v>1406</v>
      </c>
    </row>
    <row r="4204" spans="1:7">
      <c r="A4204" t="s">
        <v>5807</v>
      </c>
      <c r="B4204" s="2">
        <v>45901</v>
      </c>
      <c r="C4204" t="s">
        <v>114</v>
      </c>
      <c r="D4204" t="s">
        <v>1629</v>
      </c>
      <c r="E4204">
        <v>146.44999999999999</v>
      </c>
      <c r="F4204" t="s">
        <v>1578</v>
      </c>
      <c r="G4204" t="s">
        <v>1406</v>
      </c>
    </row>
    <row r="4205" spans="1:7">
      <c r="A4205" t="s">
        <v>5808</v>
      </c>
      <c r="B4205" s="2">
        <v>45901</v>
      </c>
      <c r="C4205" t="s">
        <v>117</v>
      </c>
      <c r="D4205" t="s">
        <v>1629</v>
      </c>
      <c r="E4205">
        <v>145.72</v>
      </c>
      <c r="F4205" t="s">
        <v>1578</v>
      </c>
      <c r="G4205" t="s">
        <v>1406</v>
      </c>
    </row>
    <row r="4206" spans="1:7">
      <c r="A4206" t="s">
        <v>5809</v>
      </c>
      <c r="B4206" s="2">
        <v>45901</v>
      </c>
      <c r="C4206" t="s">
        <v>119</v>
      </c>
      <c r="D4206" t="s">
        <v>1629</v>
      </c>
      <c r="E4206">
        <v>146.44999999999999</v>
      </c>
      <c r="F4206" t="s">
        <v>1578</v>
      </c>
      <c r="G4206" t="s">
        <v>1406</v>
      </c>
    </row>
    <row r="4207" spans="1:7">
      <c r="A4207" t="s">
        <v>5810</v>
      </c>
      <c r="B4207" s="2">
        <v>45901</v>
      </c>
      <c r="C4207" t="s">
        <v>75</v>
      </c>
      <c r="D4207" t="s">
        <v>1629</v>
      </c>
      <c r="E4207">
        <v>361.58</v>
      </c>
      <c r="F4207" t="s">
        <v>1578</v>
      </c>
      <c r="G4207" t="s">
        <v>1407</v>
      </c>
    </row>
    <row r="4208" spans="1:7">
      <c r="A4208" t="s">
        <v>5811</v>
      </c>
      <c r="B4208" s="2">
        <v>45901</v>
      </c>
      <c r="C4208" t="s">
        <v>91</v>
      </c>
      <c r="D4208" t="s">
        <v>1629</v>
      </c>
      <c r="E4208">
        <v>366.95</v>
      </c>
      <c r="F4208" t="s">
        <v>1578</v>
      </c>
      <c r="G4208" t="s">
        <v>1407</v>
      </c>
    </row>
    <row r="4209" spans="1:7">
      <c r="A4209" t="s">
        <v>5812</v>
      </c>
      <c r="B4209" s="2">
        <v>45901</v>
      </c>
      <c r="C4209" t="s">
        <v>93</v>
      </c>
      <c r="D4209" t="s">
        <v>1629</v>
      </c>
      <c r="E4209">
        <v>365.16</v>
      </c>
      <c r="F4209" t="s">
        <v>1578</v>
      </c>
      <c r="G4209" t="s">
        <v>1407</v>
      </c>
    </row>
    <row r="4210" spans="1:7">
      <c r="A4210" t="s">
        <v>5813</v>
      </c>
      <c r="B4210" s="2">
        <v>45901</v>
      </c>
      <c r="C4210" t="s">
        <v>95</v>
      </c>
      <c r="D4210" t="s">
        <v>1629</v>
      </c>
      <c r="E4210">
        <v>363.37</v>
      </c>
      <c r="F4210" t="s">
        <v>1578</v>
      </c>
      <c r="G4210" t="s">
        <v>1407</v>
      </c>
    </row>
    <row r="4211" spans="1:7">
      <c r="A4211" t="s">
        <v>5814</v>
      </c>
      <c r="B4211" s="2">
        <v>45901</v>
      </c>
      <c r="C4211" t="s">
        <v>97</v>
      </c>
      <c r="D4211" t="s">
        <v>1629</v>
      </c>
      <c r="E4211">
        <v>361.58</v>
      </c>
      <c r="F4211" t="s">
        <v>1578</v>
      </c>
      <c r="G4211" t="s">
        <v>1407</v>
      </c>
    </row>
    <row r="4212" spans="1:7">
      <c r="A4212" t="s">
        <v>5815</v>
      </c>
      <c r="B4212" s="2">
        <v>45901</v>
      </c>
      <c r="C4212" t="s">
        <v>99</v>
      </c>
      <c r="D4212" t="s">
        <v>1629</v>
      </c>
      <c r="E4212">
        <v>184.37</v>
      </c>
      <c r="F4212" t="s">
        <v>1578</v>
      </c>
      <c r="G4212" t="s">
        <v>1407</v>
      </c>
    </row>
    <row r="4213" spans="1:7">
      <c r="A4213" t="s">
        <v>5816</v>
      </c>
      <c r="B4213" s="2">
        <v>45901</v>
      </c>
      <c r="C4213" t="s">
        <v>102</v>
      </c>
      <c r="D4213" t="s">
        <v>1629</v>
      </c>
      <c r="E4213">
        <v>365.16</v>
      </c>
      <c r="F4213" t="s">
        <v>1578</v>
      </c>
      <c r="G4213" t="s">
        <v>1407</v>
      </c>
    </row>
    <row r="4214" spans="1:7">
      <c r="A4214" t="s">
        <v>5817</v>
      </c>
      <c r="B4214" s="2">
        <v>45901</v>
      </c>
      <c r="C4214" t="s">
        <v>108</v>
      </c>
      <c r="D4214" t="s">
        <v>1629</v>
      </c>
      <c r="E4214">
        <v>726.74</v>
      </c>
      <c r="F4214" t="s">
        <v>1578</v>
      </c>
      <c r="G4214" t="s">
        <v>1407</v>
      </c>
    </row>
    <row r="4215" spans="1:7">
      <c r="A4215" t="s">
        <v>5818</v>
      </c>
      <c r="B4215" s="2">
        <v>45901</v>
      </c>
      <c r="C4215" t="s">
        <v>110</v>
      </c>
      <c r="D4215" t="s">
        <v>1629</v>
      </c>
      <c r="E4215">
        <v>365.16</v>
      </c>
      <c r="F4215" t="s">
        <v>1578</v>
      </c>
      <c r="G4215" t="s">
        <v>1407</v>
      </c>
    </row>
    <row r="4216" spans="1:7">
      <c r="A4216" t="s">
        <v>5819</v>
      </c>
      <c r="B4216" s="2">
        <v>45901</v>
      </c>
      <c r="C4216" t="s">
        <v>114</v>
      </c>
      <c r="D4216" t="s">
        <v>1629</v>
      </c>
      <c r="E4216">
        <v>361.58</v>
      </c>
      <c r="F4216" t="s">
        <v>1578</v>
      </c>
      <c r="G4216" t="s">
        <v>1407</v>
      </c>
    </row>
    <row r="4217" spans="1:7">
      <c r="A4217" t="s">
        <v>5820</v>
      </c>
      <c r="B4217" s="2">
        <v>45901</v>
      </c>
      <c r="C4217" t="s">
        <v>117</v>
      </c>
      <c r="D4217" t="s">
        <v>1629</v>
      </c>
      <c r="E4217">
        <v>359.79</v>
      </c>
      <c r="F4217" t="s">
        <v>1578</v>
      </c>
      <c r="G4217" t="s">
        <v>1407</v>
      </c>
    </row>
    <row r="4218" spans="1:7">
      <c r="A4218" t="s">
        <v>5821</v>
      </c>
      <c r="B4218" s="2">
        <v>45901</v>
      </c>
      <c r="C4218" t="s">
        <v>119</v>
      </c>
      <c r="D4218" t="s">
        <v>1629</v>
      </c>
      <c r="E4218">
        <v>361.58</v>
      </c>
      <c r="F4218" t="s">
        <v>1578</v>
      </c>
      <c r="G4218" t="s">
        <v>1407</v>
      </c>
    </row>
    <row r="4219" spans="1:7">
      <c r="A4219" t="s">
        <v>5822</v>
      </c>
      <c r="B4219" s="2">
        <v>45901</v>
      </c>
      <c r="C4219" t="s">
        <v>81</v>
      </c>
      <c r="D4219" t="s">
        <v>1683</v>
      </c>
      <c r="E4219">
        <v>222</v>
      </c>
      <c r="F4219" t="s">
        <v>1578</v>
      </c>
      <c r="G4219" t="s">
        <v>818</v>
      </c>
    </row>
    <row r="4220" spans="1:7">
      <c r="A4220" t="s">
        <v>5823</v>
      </c>
      <c r="B4220" s="2">
        <v>45902</v>
      </c>
      <c r="C4220" t="s">
        <v>117</v>
      </c>
      <c r="D4220" t="s">
        <v>1683</v>
      </c>
      <c r="E4220">
        <v>309</v>
      </c>
      <c r="F4220" t="s">
        <v>1578</v>
      </c>
      <c r="G4220" t="s">
        <v>819</v>
      </c>
    </row>
    <row r="4221" spans="1:7">
      <c r="A4221" t="s">
        <v>5824</v>
      </c>
      <c r="B4221" s="2">
        <v>45902</v>
      </c>
      <c r="C4221" t="s">
        <v>89</v>
      </c>
      <c r="D4221" t="s">
        <v>1683</v>
      </c>
      <c r="E4221">
        <v>330</v>
      </c>
      <c r="F4221" t="s">
        <v>1578</v>
      </c>
      <c r="G4221" t="s">
        <v>821</v>
      </c>
    </row>
    <row r="4222" spans="1:7">
      <c r="A4222" t="s">
        <v>5825</v>
      </c>
      <c r="B4222" s="2">
        <v>45902</v>
      </c>
      <c r="C4222" t="s">
        <v>119</v>
      </c>
      <c r="D4222" t="s">
        <v>1683</v>
      </c>
      <c r="E4222">
        <v>95</v>
      </c>
      <c r="F4222" t="s">
        <v>1578</v>
      </c>
      <c r="G4222" t="s">
        <v>822</v>
      </c>
    </row>
    <row r="4223" spans="1:7">
      <c r="A4223" t="s">
        <v>5826</v>
      </c>
      <c r="B4223" s="2">
        <v>45903</v>
      </c>
      <c r="C4223" t="s">
        <v>75</v>
      </c>
      <c r="D4223" t="s">
        <v>1629</v>
      </c>
      <c r="E4223">
        <v>199.98</v>
      </c>
      <c r="F4223" t="s">
        <v>1578</v>
      </c>
      <c r="G4223" t="s">
        <v>1408</v>
      </c>
    </row>
    <row r="4224" spans="1:7">
      <c r="A4224" t="s">
        <v>5827</v>
      </c>
      <c r="B4224" s="2">
        <v>45903</v>
      </c>
      <c r="C4224" t="s">
        <v>106</v>
      </c>
      <c r="D4224" t="s">
        <v>1629</v>
      </c>
      <c r="E4224">
        <v>203.94</v>
      </c>
      <c r="F4224" t="s">
        <v>1578</v>
      </c>
      <c r="G4224" t="s">
        <v>1408</v>
      </c>
    </row>
    <row r="4225" spans="1:7">
      <c r="A4225" t="s">
        <v>5828</v>
      </c>
      <c r="B4225" s="2">
        <v>45903</v>
      </c>
      <c r="C4225" t="s">
        <v>108</v>
      </c>
      <c r="D4225" t="s">
        <v>1629</v>
      </c>
      <c r="E4225">
        <v>401.94</v>
      </c>
      <c r="F4225" t="s">
        <v>1578</v>
      </c>
      <c r="G4225" t="s">
        <v>1408</v>
      </c>
    </row>
    <row r="4226" spans="1:7">
      <c r="A4226" t="s">
        <v>5829</v>
      </c>
      <c r="B4226" s="2">
        <v>45903</v>
      </c>
      <c r="C4226" t="s">
        <v>110</v>
      </c>
      <c r="D4226" t="s">
        <v>1629</v>
      </c>
      <c r="E4226">
        <v>201.96</v>
      </c>
      <c r="F4226" t="s">
        <v>1578</v>
      </c>
      <c r="G4226" t="s">
        <v>1408</v>
      </c>
    </row>
    <row r="4227" spans="1:7">
      <c r="A4227" t="s">
        <v>5830</v>
      </c>
      <c r="B4227" s="2">
        <v>45903</v>
      </c>
      <c r="C4227" t="s">
        <v>114</v>
      </c>
      <c r="D4227" t="s">
        <v>1629</v>
      </c>
      <c r="E4227">
        <v>199.98</v>
      </c>
      <c r="F4227" t="s">
        <v>1578</v>
      </c>
      <c r="G4227" t="s">
        <v>1408</v>
      </c>
    </row>
    <row r="4228" spans="1:7">
      <c r="A4228" t="s">
        <v>5831</v>
      </c>
      <c r="B4228" s="2">
        <v>45903</v>
      </c>
      <c r="C4228" t="s">
        <v>117</v>
      </c>
      <c r="D4228" t="s">
        <v>1629</v>
      </c>
      <c r="E4228">
        <v>198.99</v>
      </c>
      <c r="F4228" t="s">
        <v>1578</v>
      </c>
      <c r="G4228" t="s">
        <v>1408</v>
      </c>
    </row>
    <row r="4229" spans="1:7">
      <c r="A4229" t="s">
        <v>5832</v>
      </c>
      <c r="B4229" s="2">
        <v>45903</v>
      </c>
      <c r="C4229" t="s">
        <v>119</v>
      </c>
      <c r="D4229" t="s">
        <v>1629</v>
      </c>
      <c r="E4229">
        <v>199.98</v>
      </c>
      <c r="F4229" t="s">
        <v>1578</v>
      </c>
      <c r="G4229" t="s">
        <v>1408</v>
      </c>
    </row>
    <row r="4230" spans="1:7">
      <c r="A4230" t="s">
        <v>5833</v>
      </c>
      <c r="B4230" s="2">
        <v>45903</v>
      </c>
      <c r="C4230" t="s">
        <v>75</v>
      </c>
      <c r="D4230" t="s">
        <v>1629</v>
      </c>
      <c r="E4230">
        <v>290.88</v>
      </c>
      <c r="F4230" t="s">
        <v>1578</v>
      </c>
      <c r="G4230" t="s">
        <v>1409</v>
      </c>
    </row>
    <row r="4231" spans="1:7">
      <c r="A4231" t="s">
        <v>5834</v>
      </c>
      <c r="B4231" s="2">
        <v>45903</v>
      </c>
      <c r="C4231" t="s">
        <v>106</v>
      </c>
      <c r="D4231" t="s">
        <v>1629</v>
      </c>
      <c r="E4231">
        <v>296.64</v>
      </c>
      <c r="F4231" t="s">
        <v>1578</v>
      </c>
      <c r="G4231" t="s">
        <v>1409</v>
      </c>
    </row>
    <row r="4232" spans="1:7">
      <c r="A4232" t="s">
        <v>5835</v>
      </c>
      <c r="B4232" s="2">
        <v>45903</v>
      </c>
      <c r="C4232" t="s">
        <v>108</v>
      </c>
      <c r="D4232" t="s">
        <v>1629</v>
      </c>
      <c r="E4232">
        <v>584.64</v>
      </c>
      <c r="F4232" t="s">
        <v>1578</v>
      </c>
      <c r="G4232" t="s">
        <v>1409</v>
      </c>
    </row>
    <row r="4233" spans="1:7">
      <c r="A4233" t="s">
        <v>5836</v>
      </c>
      <c r="B4233" s="2">
        <v>45903</v>
      </c>
      <c r="C4233" t="s">
        <v>110</v>
      </c>
      <c r="D4233" t="s">
        <v>1629</v>
      </c>
      <c r="E4233">
        <v>293.76</v>
      </c>
      <c r="F4233" t="s">
        <v>1578</v>
      </c>
      <c r="G4233" t="s">
        <v>1409</v>
      </c>
    </row>
    <row r="4234" spans="1:7">
      <c r="A4234" t="s">
        <v>5837</v>
      </c>
      <c r="B4234" s="2">
        <v>45903</v>
      </c>
      <c r="C4234" t="s">
        <v>114</v>
      </c>
      <c r="D4234" t="s">
        <v>1629</v>
      </c>
      <c r="E4234">
        <v>290.88</v>
      </c>
      <c r="F4234" t="s">
        <v>1578</v>
      </c>
      <c r="G4234" t="s">
        <v>1409</v>
      </c>
    </row>
    <row r="4235" spans="1:7">
      <c r="A4235" t="s">
        <v>5838</v>
      </c>
      <c r="B4235" s="2">
        <v>45903</v>
      </c>
      <c r="C4235" t="s">
        <v>117</v>
      </c>
      <c r="D4235" t="s">
        <v>1629</v>
      </c>
      <c r="E4235">
        <v>289.44</v>
      </c>
      <c r="F4235" t="s">
        <v>1578</v>
      </c>
      <c r="G4235" t="s">
        <v>1409</v>
      </c>
    </row>
    <row r="4236" spans="1:7">
      <c r="A4236" t="s">
        <v>5839</v>
      </c>
      <c r="B4236" s="2">
        <v>45903</v>
      </c>
      <c r="C4236" t="s">
        <v>119</v>
      </c>
      <c r="D4236" t="s">
        <v>1629</v>
      </c>
      <c r="E4236">
        <v>290.88</v>
      </c>
      <c r="F4236" t="s">
        <v>1578</v>
      </c>
      <c r="G4236" t="s">
        <v>1409</v>
      </c>
    </row>
    <row r="4237" spans="1:7">
      <c r="A4237" t="s">
        <v>5840</v>
      </c>
      <c r="B4237" s="2">
        <v>45903</v>
      </c>
      <c r="C4237" t="s">
        <v>87</v>
      </c>
      <c r="D4237" t="s">
        <v>1683</v>
      </c>
      <c r="E4237">
        <v>286</v>
      </c>
      <c r="F4237" t="s">
        <v>1578</v>
      </c>
      <c r="G4237" t="s">
        <v>823</v>
      </c>
    </row>
    <row r="4238" spans="1:7">
      <c r="A4238" t="s">
        <v>5841</v>
      </c>
      <c r="B4238" s="2">
        <v>45903</v>
      </c>
      <c r="C4238" t="s">
        <v>106</v>
      </c>
      <c r="D4238" t="s">
        <v>1683</v>
      </c>
      <c r="E4238">
        <v>218</v>
      </c>
      <c r="F4238" t="s">
        <v>1578</v>
      </c>
      <c r="G4238" t="s">
        <v>824</v>
      </c>
    </row>
    <row r="4239" spans="1:7">
      <c r="A4239" t="s">
        <v>5842</v>
      </c>
      <c r="B4239" s="2">
        <v>45904</v>
      </c>
      <c r="C4239" t="s">
        <v>75</v>
      </c>
      <c r="D4239" t="s">
        <v>1629</v>
      </c>
      <c r="E4239">
        <v>178.77</v>
      </c>
      <c r="F4239" t="s">
        <v>1578</v>
      </c>
      <c r="G4239" t="s">
        <v>1410</v>
      </c>
    </row>
    <row r="4240" spans="1:7">
      <c r="A4240" t="s">
        <v>5843</v>
      </c>
      <c r="B4240" s="2">
        <v>45904</v>
      </c>
      <c r="C4240" t="s">
        <v>104</v>
      </c>
      <c r="D4240" t="s">
        <v>1629</v>
      </c>
      <c r="E4240">
        <v>364.62</v>
      </c>
      <c r="F4240" t="s">
        <v>1578</v>
      </c>
      <c r="G4240" t="s">
        <v>1410</v>
      </c>
    </row>
    <row r="4241" spans="1:7">
      <c r="A4241" t="s">
        <v>5844</v>
      </c>
      <c r="B4241" s="2">
        <v>45904</v>
      </c>
      <c r="C4241" t="s">
        <v>108</v>
      </c>
      <c r="D4241" t="s">
        <v>1629</v>
      </c>
      <c r="E4241">
        <v>359.31</v>
      </c>
      <c r="F4241" t="s">
        <v>1578</v>
      </c>
      <c r="G4241" t="s">
        <v>1410</v>
      </c>
    </row>
    <row r="4242" spans="1:7">
      <c r="A4242" t="s">
        <v>5845</v>
      </c>
      <c r="B4242" s="2">
        <v>45904</v>
      </c>
      <c r="C4242" t="s">
        <v>110</v>
      </c>
      <c r="D4242" t="s">
        <v>1629</v>
      </c>
      <c r="E4242">
        <v>180.54</v>
      </c>
      <c r="F4242" t="s">
        <v>1578</v>
      </c>
      <c r="G4242" t="s">
        <v>1410</v>
      </c>
    </row>
    <row r="4243" spans="1:7">
      <c r="A4243" t="s">
        <v>5846</v>
      </c>
      <c r="B4243" s="2">
        <v>45904</v>
      </c>
      <c r="C4243" t="s">
        <v>114</v>
      </c>
      <c r="D4243" t="s">
        <v>1629</v>
      </c>
      <c r="E4243">
        <v>178.77</v>
      </c>
      <c r="F4243" t="s">
        <v>1578</v>
      </c>
      <c r="G4243" t="s">
        <v>1410</v>
      </c>
    </row>
    <row r="4244" spans="1:7">
      <c r="A4244" t="s">
        <v>5847</v>
      </c>
      <c r="B4244" s="2">
        <v>45904</v>
      </c>
      <c r="C4244" t="s">
        <v>117</v>
      </c>
      <c r="D4244" t="s">
        <v>1629</v>
      </c>
      <c r="E4244">
        <v>177.88</v>
      </c>
      <c r="F4244" t="s">
        <v>1578</v>
      </c>
      <c r="G4244" t="s">
        <v>1410</v>
      </c>
    </row>
    <row r="4245" spans="1:7">
      <c r="A4245" t="s">
        <v>5848</v>
      </c>
      <c r="B4245" s="2">
        <v>45904</v>
      </c>
      <c r="C4245" t="s">
        <v>119</v>
      </c>
      <c r="D4245" t="s">
        <v>1629</v>
      </c>
      <c r="E4245">
        <v>178.77</v>
      </c>
      <c r="F4245" t="s">
        <v>1578</v>
      </c>
      <c r="G4245" t="s">
        <v>1410</v>
      </c>
    </row>
    <row r="4246" spans="1:7">
      <c r="A4246" t="s">
        <v>5849</v>
      </c>
      <c r="B4246" s="2">
        <v>45904</v>
      </c>
      <c r="C4246" t="s">
        <v>75</v>
      </c>
      <c r="D4246" t="s">
        <v>1629</v>
      </c>
      <c r="E4246">
        <v>207.05</v>
      </c>
      <c r="F4246" t="s">
        <v>1578</v>
      </c>
      <c r="G4246" t="s">
        <v>1411</v>
      </c>
    </row>
    <row r="4247" spans="1:7">
      <c r="A4247" t="s">
        <v>5850</v>
      </c>
      <c r="B4247" s="2">
        <v>45904</v>
      </c>
      <c r="C4247" t="s">
        <v>106</v>
      </c>
      <c r="D4247" t="s">
        <v>1629</v>
      </c>
      <c r="E4247">
        <v>211.15</v>
      </c>
      <c r="F4247" t="s">
        <v>1578</v>
      </c>
      <c r="G4247" t="s">
        <v>1411</v>
      </c>
    </row>
    <row r="4248" spans="1:7">
      <c r="A4248" t="s">
        <v>5851</v>
      </c>
      <c r="B4248" s="2">
        <v>45904</v>
      </c>
      <c r="C4248" t="s">
        <v>108</v>
      </c>
      <c r="D4248" t="s">
        <v>1629</v>
      </c>
      <c r="E4248">
        <v>416.15</v>
      </c>
      <c r="F4248" t="s">
        <v>1578</v>
      </c>
      <c r="G4248" t="s">
        <v>1411</v>
      </c>
    </row>
    <row r="4249" spans="1:7">
      <c r="A4249" t="s">
        <v>5852</v>
      </c>
      <c r="B4249" s="2">
        <v>45904</v>
      </c>
      <c r="C4249" t="s">
        <v>110</v>
      </c>
      <c r="D4249" t="s">
        <v>1629</v>
      </c>
      <c r="E4249">
        <v>209.1</v>
      </c>
      <c r="F4249" t="s">
        <v>1578</v>
      </c>
      <c r="G4249" t="s">
        <v>1411</v>
      </c>
    </row>
    <row r="4250" spans="1:7">
      <c r="A4250" t="s">
        <v>5853</v>
      </c>
      <c r="B4250" s="2">
        <v>45904</v>
      </c>
      <c r="C4250" t="s">
        <v>114</v>
      </c>
      <c r="D4250" t="s">
        <v>1629</v>
      </c>
      <c r="E4250">
        <v>207.05</v>
      </c>
      <c r="F4250" t="s">
        <v>1578</v>
      </c>
      <c r="G4250" t="s">
        <v>1411</v>
      </c>
    </row>
    <row r="4251" spans="1:7">
      <c r="A4251" t="s">
        <v>5854</v>
      </c>
      <c r="B4251" s="2">
        <v>45904</v>
      </c>
      <c r="C4251" t="s">
        <v>117</v>
      </c>
      <c r="D4251" t="s">
        <v>1629</v>
      </c>
      <c r="E4251">
        <v>206.02</v>
      </c>
      <c r="F4251" t="s">
        <v>1578</v>
      </c>
      <c r="G4251" t="s">
        <v>1411</v>
      </c>
    </row>
    <row r="4252" spans="1:7">
      <c r="A4252" t="s">
        <v>5855</v>
      </c>
      <c r="B4252" s="2">
        <v>45904</v>
      </c>
      <c r="C4252" t="s">
        <v>119</v>
      </c>
      <c r="D4252" t="s">
        <v>1629</v>
      </c>
      <c r="E4252">
        <v>207.05</v>
      </c>
      <c r="F4252" t="s">
        <v>1578</v>
      </c>
      <c r="G4252" t="s">
        <v>1411</v>
      </c>
    </row>
    <row r="4253" spans="1:7">
      <c r="A4253" t="s">
        <v>5856</v>
      </c>
      <c r="B4253" s="2">
        <v>45904</v>
      </c>
      <c r="C4253" t="s">
        <v>87</v>
      </c>
      <c r="D4253" t="s">
        <v>1683</v>
      </c>
      <c r="E4253">
        <v>152</v>
      </c>
      <c r="F4253" t="s">
        <v>1578</v>
      </c>
      <c r="G4253" t="s">
        <v>825</v>
      </c>
    </row>
    <row r="4254" spans="1:7">
      <c r="A4254" t="s">
        <v>5857</v>
      </c>
      <c r="B4254" s="2">
        <v>45904</v>
      </c>
      <c r="C4254" t="s">
        <v>95</v>
      </c>
      <c r="D4254" t="s">
        <v>1683</v>
      </c>
      <c r="E4254">
        <v>186</v>
      </c>
      <c r="F4254" t="s">
        <v>1578</v>
      </c>
      <c r="G4254" t="s">
        <v>826</v>
      </c>
    </row>
    <row r="4255" spans="1:7">
      <c r="A4255" t="s">
        <v>5858</v>
      </c>
      <c r="B4255" s="2">
        <v>45904</v>
      </c>
      <c r="C4255" t="s">
        <v>73</v>
      </c>
      <c r="D4255" t="s">
        <v>1683</v>
      </c>
      <c r="E4255">
        <v>307</v>
      </c>
      <c r="F4255" t="s">
        <v>1578</v>
      </c>
      <c r="G4255" t="s">
        <v>827</v>
      </c>
    </row>
    <row r="4256" spans="1:7">
      <c r="A4256" t="s">
        <v>5859</v>
      </c>
      <c r="B4256" s="2">
        <v>45906</v>
      </c>
      <c r="C4256" t="s">
        <v>61</v>
      </c>
      <c r="D4256" t="s">
        <v>1629</v>
      </c>
      <c r="E4256">
        <v>198.9</v>
      </c>
      <c r="F4256" t="s">
        <v>1578</v>
      </c>
      <c r="G4256" t="s">
        <v>1412</v>
      </c>
    </row>
    <row r="4257" spans="1:7">
      <c r="A4257" t="s">
        <v>5860</v>
      </c>
      <c r="B4257" s="2">
        <v>45906</v>
      </c>
      <c r="C4257" t="s">
        <v>65</v>
      </c>
      <c r="D4257" t="s">
        <v>1629</v>
      </c>
      <c r="E4257">
        <v>197.92</v>
      </c>
      <c r="F4257" t="s">
        <v>1578</v>
      </c>
      <c r="G4257" t="s">
        <v>1412</v>
      </c>
    </row>
    <row r="4258" spans="1:7">
      <c r="A4258" t="s">
        <v>5861</v>
      </c>
      <c r="B4258" s="2">
        <v>45906</v>
      </c>
      <c r="C4258" t="s">
        <v>68</v>
      </c>
      <c r="D4258" t="s">
        <v>1629</v>
      </c>
      <c r="E4258">
        <v>198.9</v>
      </c>
      <c r="F4258" t="s">
        <v>1578</v>
      </c>
      <c r="G4258" t="s">
        <v>1412</v>
      </c>
    </row>
    <row r="4259" spans="1:7">
      <c r="A4259" t="s">
        <v>5862</v>
      </c>
      <c r="B4259" s="2">
        <v>45906</v>
      </c>
      <c r="C4259" t="s">
        <v>75</v>
      </c>
      <c r="D4259" t="s">
        <v>1629</v>
      </c>
      <c r="E4259">
        <v>196.95</v>
      </c>
      <c r="F4259" t="s">
        <v>1578</v>
      </c>
      <c r="G4259" t="s">
        <v>1412</v>
      </c>
    </row>
    <row r="4260" spans="1:7">
      <c r="A4260" t="s">
        <v>5863</v>
      </c>
      <c r="B4260" s="2">
        <v>45906</v>
      </c>
      <c r="C4260" t="s">
        <v>79</v>
      </c>
      <c r="D4260" t="s">
        <v>1629</v>
      </c>
      <c r="E4260">
        <v>198.9</v>
      </c>
      <c r="F4260" t="s">
        <v>1578</v>
      </c>
      <c r="G4260" t="s">
        <v>1412</v>
      </c>
    </row>
    <row r="4261" spans="1:7">
      <c r="A4261" t="s">
        <v>5864</v>
      </c>
      <c r="B4261" s="2">
        <v>45906</v>
      </c>
      <c r="C4261" t="s">
        <v>81</v>
      </c>
      <c r="D4261" t="s">
        <v>1629</v>
      </c>
      <c r="E4261">
        <v>393.9</v>
      </c>
      <c r="F4261" t="s">
        <v>1578</v>
      </c>
      <c r="G4261" t="s">
        <v>1412</v>
      </c>
    </row>
    <row r="4262" spans="1:7">
      <c r="A4262" t="s">
        <v>5865</v>
      </c>
      <c r="B4262" s="2">
        <v>45906</v>
      </c>
      <c r="C4262" t="s">
        <v>110</v>
      </c>
      <c r="D4262" t="s">
        <v>1629</v>
      </c>
      <c r="E4262">
        <v>198.9</v>
      </c>
      <c r="F4262" t="s">
        <v>1578</v>
      </c>
      <c r="G4262" t="s">
        <v>1412</v>
      </c>
    </row>
    <row r="4263" spans="1:7">
      <c r="A4263" t="s">
        <v>5866</v>
      </c>
      <c r="B4263" s="2">
        <v>45906</v>
      </c>
      <c r="C4263" t="s">
        <v>114</v>
      </c>
      <c r="D4263" t="s">
        <v>1629</v>
      </c>
      <c r="E4263">
        <v>196.95</v>
      </c>
      <c r="F4263" t="s">
        <v>1578</v>
      </c>
      <c r="G4263" t="s">
        <v>1412</v>
      </c>
    </row>
    <row r="4264" spans="1:7">
      <c r="A4264" t="s">
        <v>5867</v>
      </c>
      <c r="B4264" s="2">
        <v>45906</v>
      </c>
      <c r="C4264" t="s">
        <v>117</v>
      </c>
      <c r="D4264" t="s">
        <v>1629</v>
      </c>
      <c r="E4264">
        <v>195.97</v>
      </c>
      <c r="F4264" t="s">
        <v>1578</v>
      </c>
      <c r="G4264" t="s">
        <v>1412</v>
      </c>
    </row>
    <row r="4265" spans="1:7">
      <c r="A4265" t="s">
        <v>5868</v>
      </c>
      <c r="B4265" s="2">
        <v>45906</v>
      </c>
      <c r="C4265" t="s">
        <v>119</v>
      </c>
      <c r="D4265" t="s">
        <v>1629</v>
      </c>
      <c r="E4265">
        <v>196.95</v>
      </c>
      <c r="F4265" t="s">
        <v>1578</v>
      </c>
      <c r="G4265" t="s">
        <v>1412</v>
      </c>
    </row>
    <row r="4266" spans="1:7">
      <c r="A4266" t="s">
        <v>5869</v>
      </c>
      <c r="B4266" s="2">
        <v>45906</v>
      </c>
      <c r="C4266" t="s">
        <v>61</v>
      </c>
      <c r="D4266" t="s">
        <v>1629</v>
      </c>
      <c r="E4266">
        <v>128.52000000000001</v>
      </c>
      <c r="F4266" t="s">
        <v>1578</v>
      </c>
      <c r="G4266" t="s">
        <v>1413</v>
      </c>
    </row>
    <row r="4267" spans="1:7">
      <c r="A4267" t="s">
        <v>5870</v>
      </c>
      <c r="B4267" s="2">
        <v>45906</v>
      </c>
      <c r="C4267" t="s">
        <v>65</v>
      </c>
      <c r="D4267" t="s">
        <v>1629</v>
      </c>
      <c r="E4267">
        <v>127.89</v>
      </c>
      <c r="F4267" t="s">
        <v>1578</v>
      </c>
      <c r="G4267" t="s">
        <v>1413</v>
      </c>
    </row>
    <row r="4268" spans="1:7">
      <c r="A4268" t="s">
        <v>5871</v>
      </c>
      <c r="B4268" s="2">
        <v>45906</v>
      </c>
      <c r="C4268" t="s">
        <v>68</v>
      </c>
      <c r="D4268" t="s">
        <v>1629</v>
      </c>
      <c r="E4268">
        <v>128.52000000000001</v>
      </c>
      <c r="F4268" t="s">
        <v>1578</v>
      </c>
      <c r="G4268" t="s">
        <v>1413</v>
      </c>
    </row>
    <row r="4269" spans="1:7">
      <c r="A4269" t="s">
        <v>5872</v>
      </c>
      <c r="B4269" s="2">
        <v>45906</v>
      </c>
      <c r="C4269" t="s">
        <v>75</v>
      </c>
      <c r="D4269" t="s">
        <v>1629</v>
      </c>
      <c r="E4269">
        <v>127.26</v>
      </c>
      <c r="F4269" t="s">
        <v>1578</v>
      </c>
      <c r="G4269" t="s">
        <v>1413</v>
      </c>
    </row>
    <row r="4270" spans="1:7">
      <c r="A4270" t="s">
        <v>5873</v>
      </c>
      <c r="B4270" s="2">
        <v>45906</v>
      </c>
      <c r="C4270" t="s">
        <v>79</v>
      </c>
      <c r="D4270" t="s">
        <v>1629</v>
      </c>
      <c r="E4270">
        <v>128.52000000000001</v>
      </c>
      <c r="F4270" t="s">
        <v>1578</v>
      </c>
      <c r="G4270" t="s">
        <v>1413</v>
      </c>
    </row>
    <row r="4271" spans="1:7">
      <c r="A4271" t="s">
        <v>5874</v>
      </c>
      <c r="B4271" s="2">
        <v>45906</v>
      </c>
      <c r="C4271" t="s">
        <v>81</v>
      </c>
      <c r="D4271" t="s">
        <v>1629</v>
      </c>
      <c r="E4271">
        <v>254.52</v>
      </c>
      <c r="F4271" t="s">
        <v>1578</v>
      </c>
      <c r="G4271" t="s">
        <v>1413</v>
      </c>
    </row>
    <row r="4272" spans="1:7">
      <c r="A4272" t="s">
        <v>5875</v>
      </c>
      <c r="B4272" s="2">
        <v>45906</v>
      </c>
      <c r="C4272" t="s">
        <v>110</v>
      </c>
      <c r="D4272" t="s">
        <v>1629</v>
      </c>
      <c r="E4272">
        <v>128.52000000000001</v>
      </c>
      <c r="F4272" t="s">
        <v>1578</v>
      </c>
      <c r="G4272" t="s">
        <v>1413</v>
      </c>
    </row>
    <row r="4273" spans="1:7">
      <c r="A4273" t="s">
        <v>5876</v>
      </c>
      <c r="B4273" s="2">
        <v>45906</v>
      </c>
      <c r="C4273" t="s">
        <v>114</v>
      </c>
      <c r="D4273" t="s">
        <v>1629</v>
      </c>
      <c r="E4273">
        <v>127.26</v>
      </c>
      <c r="F4273" t="s">
        <v>1578</v>
      </c>
      <c r="G4273" t="s">
        <v>1413</v>
      </c>
    </row>
    <row r="4274" spans="1:7">
      <c r="A4274" t="s">
        <v>5877</v>
      </c>
      <c r="B4274" s="2">
        <v>45906</v>
      </c>
      <c r="C4274" t="s">
        <v>117</v>
      </c>
      <c r="D4274" t="s">
        <v>1629</v>
      </c>
      <c r="E4274">
        <v>126.63</v>
      </c>
      <c r="F4274" t="s">
        <v>1578</v>
      </c>
      <c r="G4274" t="s">
        <v>1413</v>
      </c>
    </row>
    <row r="4275" spans="1:7">
      <c r="A4275" t="s">
        <v>5878</v>
      </c>
      <c r="B4275" s="2">
        <v>45906</v>
      </c>
      <c r="C4275" t="s">
        <v>119</v>
      </c>
      <c r="D4275" t="s">
        <v>1629</v>
      </c>
      <c r="E4275">
        <v>127.26</v>
      </c>
      <c r="F4275" t="s">
        <v>1578</v>
      </c>
      <c r="G4275" t="s">
        <v>1413</v>
      </c>
    </row>
    <row r="4276" spans="1:7">
      <c r="A4276" t="s">
        <v>5879</v>
      </c>
      <c r="B4276" s="2">
        <v>45906</v>
      </c>
      <c r="C4276" t="s">
        <v>61</v>
      </c>
      <c r="D4276" t="s">
        <v>1629</v>
      </c>
      <c r="E4276">
        <v>298.86</v>
      </c>
      <c r="F4276" t="s">
        <v>1578</v>
      </c>
      <c r="G4276" t="s">
        <v>1414</v>
      </c>
    </row>
    <row r="4277" spans="1:7">
      <c r="A4277" t="s">
        <v>5880</v>
      </c>
      <c r="B4277" s="2">
        <v>45906</v>
      </c>
      <c r="C4277" t="s">
        <v>65</v>
      </c>
      <c r="D4277" t="s">
        <v>1629</v>
      </c>
      <c r="E4277">
        <v>297.39999999999998</v>
      </c>
      <c r="F4277" t="s">
        <v>1578</v>
      </c>
      <c r="G4277" t="s">
        <v>1414</v>
      </c>
    </row>
    <row r="4278" spans="1:7">
      <c r="A4278" t="s">
        <v>5881</v>
      </c>
      <c r="B4278" s="2">
        <v>45906</v>
      </c>
      <c r="C4278" t="s">
        <v>68</v>
      </c>
      <c r="D4278" t="s">
        <v>1629</v>
      </c>
      <c r="E4278">
        <v>298.86</v>
      </c>
      <c r="F4278" t="s">
        <v>1578</v>
      </c>
      <c r="G4278" t="s">
        <v>1414</v>
      </c>
    </row>
    <row r="4279" spans="1:7">
      <c r="A4279" t="s">
        <v>5882</v>
      </c>
      <c r="B4279" s="2">
        <v>45906</v>
      </c>
      <c r="C4279" t="s">
        <v>70</v>
      </c>
      <c r="D4279" t="s">
        <v>1629</v>
      </c>
      <c r="E4279">
        <v>295.93</v>
      </c>
      <c r="F4279" t="s">
        <v>1578</v>
      </c>
      <c r="G4279" t="s">
        <v>1414</v>
      </c>
    </row>
    <row r="4280" spans="1:7">
      <c r="A4280" t="s">
        <v>5883</v>
      </c>
      <c r="B4280" s="2">
        <v>45906</v>
      </c>
      <c r="C4280" t="s">
        <v>75</v>
      </c>
      <c r="D4280" t="s">
        <v>1629</v>
      </c>
      <c r="E4280">
        <v>295.93</v>
      </c>
      <c r="F4280" t="s">
        <v>1578</v>
      </c>
      <c r="G4280" t="s">
        <v>1414</v>
      </c>
    </row>
    <row r="4281" spans="1:7">
      <c r="A4281" t="s">
        <v>5884</v>
      </c>
      <c r="B4281" s="2">
        <v>45906</v>
      </c>
      <c r="C4281" t="s">
        <v>77</v>
      </c>
      <c r="D4281" t="s">
        <v>1629</v>
      </c>
      <c r="E4281">
        <v>295.93</v>
      </c>
      <c r="F4281" t="s">
        <v>1578</v>
      </c>
      <c r="G4281" t="s">
        <v>1414</v>
      </c>
    </row>
    <row r="4282" spans="1:7">
      <c r="A4282" t="s">
        <v>5885</v>
      </c>
      <c r="B4282" s="2">
        <v>45906</v>
      </c>
      <c r="C4282" t="s">
        <v>79</v>
      </c>
      <c r="D4282" t="s">
        <v>1629</v>
      </c>
      <c r="E4282">
        <v>298.86</v>
      </c>
      <c r="F4282" t="s">
        <v>1578</v>
      </c>
      <c r="G4282" t="s">
        <v>1414</v>
      </c>
    </row>
    <row r="4283" spans="1:7">
      <c r="A4283" t="s">
        <v>5886</v>
      </c>
      <c r="B4283" s="2">
        <v>45906</v>
      </c>
      <c r="C4283" t="s">
        <v>81</v>
      </c>
      <c r="D4283" t="s">
        <v>1629</v>
      </c>
      <c r="E4283">
        <v>591.86</v>
      </c>
      <c r="F4283" t="s">
        <v>1578</v>
      </c>
      <c r="G4283" t="s">
        <v>1414</v>
      </c>
    </row>
    <row r="4284" spans="1:7">
      <c r="A4284" t="s">
        <v>5887</v>
      </c>
      <c r="B4284" s="2">
        <v>45906</v>
      </c>
      <c r="C4284" t="s">
        <v>110</v>
      </c>
      <c r="D4284" t="s">
        <v>1629</v>
      </c>
      <c r="E4284">
        <v>298.86</v>
      </c>
      <c r="F4284" t="s">
        <v>1578</v>
      </c>
      <c r="G4284" t="s">
        <v>1414</v>
      </c>
    </row>
    <row r="4285" spans="1:7">
      <c r="A4285" t="s">
        <v>5888</v>
      </c>
      <c r="B4285" s="2">
        <v>45906</v>
      </c>
      <c r="C4285" t="s">
        <v>114</v>
      </c>
      <c r="D4285" t="s">
        <v>1629</v>
      </c>
      <c r="E4285">
        <v>295.93</v>
      </c>
      <c r="F4285" t="s">
        <v>1578</v>
      </c>
      <c r="G4285" t="s">
        <v>1414</v>
      </c>
    </row>
    <row r="4286" spans="1:7">
      <c r="A4286" t="s">
        <v>5889</v>
      </c>
      <c r="B4286" s="2">
        <v>45906</v>
      </c>
      <c r="C4286" t="s">
        <v>117</v>
      </c>
      <c r="D4286" t="s">
        <v>1629</v>
      </c>
      <c r="E4286">
        <v>294.45999999999998</v>
      </c>
      <c r="F4286" t="s">
        <v>1578</v>
      </c>
      <c r="G4286" t="s">
        <v>1414</v>
      </c>
    </row>
    <row r="4287" spans="1:7">
      <c r="A4287" t="s">
        <v>5890</v>
      </c>
      <c r="B4287" s="2">
        <v>45906</v>
      </c>
      <c r="C4287" t="s">
        <v>119</v>
      </c>
      <c r="D4287" t="s">
        <v>1629</v>
      </c>
      <c r="E4287">
        <v>295.93</v>
      </c>
      <c r="F4287" t="s">
        <v>1578</v>
      </c>
      <c r="G4287" t="s">
        <v>1414</v>
      </c>
    </row>
    <row r="4288" spans="1:7">
      <c r="A4288" t="s">
        <v>5891</v>
      </c>
      <c r="B4288" s="2">
        <v>45906</v>
      </c>
      <c r="C4288" t="s">
        <v>65</v>
      </c>
      <c r="D4288" t="s">
        <v>1683</v>
      </c>
      <c r="E4288">
        <v>170</v>
      </c>
      <c r="F4288" t="s">
        <v>1578</v>
      </c>
      <c r="G4288" t="s">
        <v>828</v>
      </c>
    </row>
    <row r="4289" spans="1:7">
      <c r="A4289" t="s">
        <v>5892</v>
      </c>
      <c r="B4289" s="2">
        <v>45906</v>
      </c>
      <c r="C4289" t="s">
        <v>95</v>
      </c>
      <c r="D4289" t="s">
        <v>1683</v>
      </c>
      <c r="E4289">
        <v>309</v>
      </c>
      <c r="F4289" t="s">
        <v>1578</v>
      </c>
      <c r="G4289" t="s">
        <v>829</v>
      </c>
    </row>
    <row r="4290" spans="1:7">
      <c r="A4290" t="s">
        <v>5893</v>
      </c>
      <c r="B4290" s="2">
        <v>45906</v>
      </c>
      <c r="C4290" t="s">
        <v>89</v>
      </c>
      <c r="D4290" t="s">
        <v>1683</v>
      </c>
      <c r="E4290">
        <v>326</v>
      </c>
      <c r="F4290" t="s">
        <v>1578</v>
      </c>
      <c r="G4290" t="s">
        <v>830</v>
      </c>
    </row>
    <row r="4291" spans="1:7">
      <c r="A4291" t="s">
        <v>5894</v>
      </c>
      <c r="B4291" s="2">
        <v>45906</v>
      </c>
      <c r="C4291" t="s">
        <v>91</v>
      </c>
      <c r="D4291" t="s">
        <v>1683</v>
      </c>
      <c r="E4291">
        <v>446</v>
      </c>
      <c r="F4291" t="s">
        <v>1578</v>
      </c>
      <c r="G4291" t="s">
        <v>831</v>
      </c>
    </row>
    <row r="4292" spans="1:7">
      <c r="A4292" t="s">
        <v>5895</v>
      </c>
      <c r="B4292" s="2">
        <v>45907</v>
      </c>
      <c r="C4292" t="s">
        <v>61</v>
      </c>
      <c r="D4292" t="s">
        <v>1629</v>
      </c>
      <c r="E4292">
        <v>257.04000000000002</v>
      </c>
      <c r="F4292" t="s">
        <v>1578</v>
      </c>
      <c r="G4292" t="s">
        <v>1415</v>
      </c>
    </row>
    <row r="4293" spans="1:7">
      <c r="A4293" t="s">
        <v>5896</v>
      </c>
      <c r="B4293" s="2">
        <v>45907</v>
      </c>
      <c r="C4293" t="s">
        <v>65</v>
      </c>
      <c r="D4293" t="s">
        <v>1629</v>
      </c>
      <c r="E4293">
        <v>255.78</v>
      </c>
      <c r="F4293" t="s">
        <v>1578</v>
      </c>
      <c r="G4293" t="s">
        <v>1415</v>
      </c>
    </row>
    <row r="4294" spans="1:7">
      <c r="A4294" t="s">
        <v>5897</v>
      </c>
      <c r="B4294" s="2">
        <v>45907</v>
      </c>
      <c r="C4294" t="s">
        <v>68</v>
      </c>
      <c r="D4294" t="s">
        <v>1629</v>
      </c>
      <c r="E4294">
        <v>257.04000000000002</v>
      </c>
      <c r="F4294" t="s">
        <v>1578</v>
      </c>
      <c r="G4294" t="s">
        <v>1415</v>
      </c>
    </row>
    <row r="4295" spans="1:7">
      <c r="A4295" t="s">
        <v>5898</v>
      </c>
      <c r="B4295" s="2">
        <v>45907</v>
      </c>
      <c r="C4295" t="s">
        <v>70</v>
      </c>
      <c r="D4295" t="s">
        <v>1629</v>
      </c>
      <c r="E4295">
        <v>254.52</v>
      </c>
      <c r="F4295" t="s">
        <v>1578</v>
      </c>
      <c r="G4295" t="s">
        <v>1415</v>
      </c>
    </row>
    <row r="4296" spans="1:7">
      <c r="A4296" t="s">
        <v>5899</v>
      </c>
      <c r="B4296" s="2">
        <v>45907</v>
      </c>
      <c r="C4296" t="s">
        <v>75</v>
      </c>
      <c r="D4296" t="s">
        <v>1629</v>
      </c>
      <c r="E4296">
        <v>254.52</v>
      </c>
      <c r="F4296" t="s">
        <v>1578</v>
      </c>
      <c r="G4296" t="s">
        <v>1415</v>
      </c>
    </row>
    <row r="4297" spans="1:7">
      <c r="A4297" t="s">
        <v>5900</v>
      </c>
      <c r="B4297" s="2">
        <v>45907</v>
      </c>
      <c r="C4297" t="s">
        <v>77</v>
      </c>
      <c r="D4297" t="s">
        <v>1629</v>
      </c>
      <c r="E4297">
        <v>254.52</v>
      </c>
      <c r="F4297" t="s">
        <v>1578</v>
      </c>
      <c r="G4297" t="s">
        <v>1415</v>
      </c>
    </row>
    <row r="4298" spans="1:7">
      <c r="A4298" t="s">
        <v>5901</v>
      </c>
      <c r="B4298" s="2">
        <v>45907</v>
      </c>
      <c r="C4298" t="s">
        <v>79</v>
      </c>
      <c r="D4298" t="s">
        <v>1629</v>
      </c>
      <c r="E4298">
        <v>257.04000000000002</v>
      </c>
      <c r="F4298" t="s">
        <v>1578</v>
      </c>
      <c r="G4298" t="s">
        <v>1415</v>
      </c>
    </row>
    <row r="4299" spans="1:7">
      <c r="A4299" t="s">
        <v>5902</v>
      </c>
      <c r="B4299" s="2">
        <v>45907</v>
      </c>
      <c r="C4299" t="s">
        <v>81</v>
      </c>
      <c r="D4299" t="s">
        <v>1629</v>
      </c>
      <c r="E4299">
        <v>509.04</v>
      </c>
      <c r="F4299" t="s">
        <v>1578</v>
      </c>
      <c r="G4299" t="s">
        <v>1415</v>
      </c>
    </row>
    <row r="4300" spans="1:7">
      <c r="A4300" t="s">
        <v>5903</v>
      </c>
      <c r="B4300" s="2">
        <v>45907</v>
      </c>
      <c r="C4300" t="s">
        <v>108</v>
      </c>
      <c r="D4300" t="s">
        <v>1629</v>
      </c>
      <c r="E4300">
        <v>511.56</v>
      </c>
      <c r="F4300" t="s">
        <v>1578</v>
      </c>
      <c r="G4300" t="s">
        <v>1415</v>
      </c>
    </row>
    <row r="4301" spans="1:7">
      <c r="A4301" t="s">
        <v>5904</v>
      </c>
      <c r="B4301" s="2">
        <v>45907</v>
      </c>
      <c r="C4301" t="s">
        <v>110</v>
      </c>
      <c r="D4301" t="s">
        <v>1629</v>
      </c>
      <c r="E4301">
        <v>257.04000000000002</v>
      </c>
      <c r="F4301" t="s">
        <v>1578</v>
      </c>
      <c r="G4301" t="s">
        <v>1415</v>
      </c>
    </row>
    <row r="4302" spans="1:7">
      <c r="A4302" t="s">
        <v>5905</v>
      </c>
      <c r="B4302" s="2">
        <v>45907</v>
      </c>
      <c r="C4302" t="s">
        <v>114</v>
      </c>
      <c r="D4302" t="s">
        <v>1629</v>
      </c>
      <c r="E4302">
        <v>254.52</v>
      </c>
      <c r="F4302" t="s">
        <v>1578</v>
      </c>
      <c r="G4302" t="s">
        <v>1415</v>
      </c>
    </row>
    <row r="4303" spans="1:7">
      <c r="A4303" t="s">
        <v>5906</v>
      </c>
      <c r="B4303" s="2">
        <v>45907</v>
      </c>
      <c r="C4303" t="s">
        <v>117</v>
      </c>
      <c r="D4303" t="s">
        <v>1629</v>
      </c>
      <c r="E4303">
        <v>253.26</v>
      </c>
      <c r="F4303" t="s">
        <v>1578</v>
      </c>
      <c r="G4303" t="s">
        <v>1415</v>
      </c>
    </row>
    <row r="4304" spans="1:7">
      <c r="A4304" t="s">
        <v>5907</v>
      </c>
      <c r="B4304" s="2">
        <v>45907</v>
      </c>
      <c r="C4304" t="s">
        <v>119</v>
      </c>
      <c r="D4304" t="s">
        <v>1629</v>
      </c>
      <c r="E4304">
        <v>254.52</v>
      </c>
      <c r="F4304" t="s">
        <v>1578</v>
      </c>
      <c r="G4304" t="s">
        <v>1415</v>
      </c>
    </row>
    <row r="4305" spans="1:7">
      <c r="A4305" t="s">
        <v>5908</v>
      </c>
      <c r="B4305" s="2">
        <v>45907</v>
      </c>
      <c r="C4305" t="s">
        <v>95</v>
      </c>
      <c r="D4305" t="s">
        <v>1683</v>
      </c>
      <c r="E4305">
        <v>137</v>
      </c>
      <c r="F4305" t="s">
        <v>1578</v>
      </c>
      <c r="G4305" t="s">
        <v>832</v>
      </c>
    </row>
    <row r="4306" spans="1:7">
      <c r="A4306" t="s">
        <v>5909</v>
      </c>
      <c r="B4306" s="2">
        <v>45907</v>
      </c>
      <c r="C4306" t="s">
        <v>104</v>
      </c>
      <c r="D4306" t="s">
        <v>1683</v>
      </c>
      <c r="E4306">
        <v>83</v>
      </c>
      <c r="F4306" t="s">
        <v>1578</v>
      </c>
      <c r="G4306" t="s">
        <v>833</v>
      </c>
    </row>
    <row r="4307" spans="1:7">
      <c r="A4307" t="s">
        <v>5910</v>
      </c>
      <c r="B4307" s="2">
        <v>45908</v>
      </c>
      <c r="C4307" t="s">
        <v>104</v>
      </c>
      <c r="D4307" t="s">
        <v>1683</v>
      </c>
      <c r="E4307">
        <v>90</v>
      </c>
      <c r="F4307" t="s">
        <v>1578</v>
      </c>
      <c r="G4307" t="s">
        <v>834</v>
      </c>
    </row>
    <row r="4308" spans="1:7">
      <c r="A4308" t="s">
        <v>5911</v>
      </c>
      <c r="B4308" s="2">
        <v>45910</v>
      </c>
      <c r="C4308" t="s">
        <v>70</v>
      </c>
      <c r="D4308" t="s">
        <v>1683</v>
      </c>
      <c r="E4308">
        <v>247</v>
      </c>
      <c r="F4308" t="s">
        <v>1578</v>
      </c>
      <c r="G4308" t="s">
        <v>836</v>
      </c>
    </row>
    <row r="4309" spans="1:7">
      <c r="A4309" t="s">
        <v>5912</v>
      </c>
      <c r="B4309" s="2">
        <v>45910</v>
      </c>
      <c r="C4309" t="s">
        <v>104</v>
      </c>
      <c r="D4309" t="s">
        <v>1683</v>
      </c>
      <c r="E4309">
        <v>192</v>
      </c>
      <c r="F4309" t="s">
        <v>1578</v>
      </c>
      <c r="G4309" t="s">
        <v>837</v>
      </c>
    </row>
    <row r="4310" spans="1:7">
      <c r="A4310" t="s">
        <v>5913</v>
      </c>
      <c r="B4310" s="2">
        <v>45911</v>
      </c>
      <c r="C4310" t="s">
        <v>75</v>
      </c>
      <c r="D4310" t="s">
        <v>1629</v>
      </c>
      <c r="E4310">
        <v>180.79</v>
      </c>
      <c r="F4310" t="s">
        <v>1578</v>
      </c>
      <c r="G4310" t="s">
        <v>1416</v>
      </c>
    </row>
    <row r="4311" spans="1:7">
      <c r="A4311" t="s">
        <v>5914</v>
      </c>
      <c r="B4311" s="2">
        <v>45911</v>
      </c>
      <c r="C4311" t="s">
        <v>91</v>
      </c>
      <c r="D4311" t="s">
        <v>1629</v>
      </c>
      <c r="E4311">
        <v>183.48</v>
      </c>
      <c r="F4311" t="s">
        <v>1578</v>
      </c>
      <c r="G4311" t="s">
        <v>1416</v>
      </c>
    </row>
    <row r="4312" spans="1:7">
      <c r="A4312" t="s">
        <v>5915</v>
      </c>
      <c r="B4312" s="2">
        <v>45911</v>
      </c>
      <c r="C4312" t="s">
        <v>93</v>
      </c>
      <c r="D4312" t="s">
        <v>1629</v>
      </c>
      <c r="E4312">
        <v>182.58</v>
      </c>
      <c r="F4312" t="s">
        <v>1578</v>
      </c>
      <c r="G4312" t="s">
        <v>1416</v>
      </c>
    </row>
    <row r="4313" spans="1:7">
      <c r="A4313" t="s">
        <v>5916</v>
      </c>
      <c r="B4313" s="2">
        <v>45911</v>
      </c>
      <c r="C4313" t="s">
        <v>95</v>
      </c>
      <c r="D4313" t="s">
        <v>1629</v>
      </c>
      <c r="E4313">
        <v>181.68</v>
      </c>
      <c r="F4313" t="s">
        <v>1578</v>
      </c>
      <c r="G4313" t="s">
        <v>1416</v>
      </c>
    </row>
    <row r="4314" spans="1:7">
      <c r="A4314" t="s">
        <v>5917</v>
      </c>
      <c r="B4314" s="2">
        <v>45911</v>
      </c>
      <c r="C4314" t="s">
        <v>97</v>
      </c>
      <c r="D4314" t="s">
        <v>1629</v>
      </c>
      <c r="E4314">
        <v>180.79</v>
      </c>
      <c r="F4314" t="s">
        <v>1578</v>
      </c>
      <c r="G4314" t="s">
        <v>1416</v>
      </c>
    </row>
    <row r="4315" spans="1:7">
      <c r="A4315" t="s">
        <v>5918</v>
      </c>
      <c r="B4315" s="2">
        <v>45911</v>
      </c>
      <c r="C4315" t="s">
        <v>99</v>
      </c>
      <c r="D4315" t="s">
        <v>1629</v>
      </c>
      <c r="E4315">
        <v>221.24</v>
      </c>
      <c r="F4315" t="s">
        <v>1578</v>
      </c>
      <c r="G4315" t="s">
        <v>1416</v>
      </c>
    </row>
    <row r="4316" spans="1:7">
      <c r="A4316" t="s">
        <v>5919</v>
      </c>
      <c r="B4316" s="2">
        <v>45911</v>
      </c>
      <c r="C4316" t="s">
        <v>102</v>
      </c>
      <c r="D4316" t="s">
        <v>1629</v>
      </c>
      <c r="E4316">
        <v>182.58</v>
      </c>
      <c r="F4316" t="s">
        <v>1578</v>
      </c>
      <c r="G4316" t="s">
        <v>1416</v>
      </c>
    </row>
    <row r="4317" spans="1:7">
      <c r="A4317" t="s">
        <v>5920</v>
      </c>
      <c r="B4317" s="2">
        <v>45911</v>
      </c>
      <c r="C4317" t="s">
        <v>108</v>
      </c>
      <c r="D4317" t="s">
        <v>1629</v>
      </c>
      <c r="E4317">
        <v>363.37</v>
      </c>
      <c r="F4317" t="s">
        <v>1578</v>
      </c>
      <c r="G4317" t="s">
        <v>1416</v>
      </c>
    </row>
    <row r="4318" spans="1:7">
      <c r="A4318" t="s">
        <v>5921</v>
      </c>
      <c r="B4318" s="2">
        <v>45911</v>
      </c>
      <c r="C4318" t="s">
        <v>110</v>
      </c>
      <c r="D4318" t="s">
        <v>1629</v>
      </c>
      <c r="E4318">
        <v>182.58</v>
      </c>
      <c r="F4318" t="s">
        <v>1578</v>
      </c>
      <c r="G4318" t="s">
        <v>1416</v>
      </c>
    </row>
    <row r="4319" spans="1:7">
      <c r="A4319" t="s">
        <v>5922</v>
      </c>
      <c r="B4319" s="2">
        <v>45911</v>
      </c>
      <c r="C4319" t="s">
        <v>114</v>
      </c>
      <c r="D4319" t="s">
        <v>1629</v>
      </c>
      <c r="E4319">
        <v>180.79</v>
      </c>
      <c r="F4319" t="s">
        <v>1578</v>
      </c>
      <c r="G4319" t="s">
        <v>1416</v>
      </c>
    </row>
    <row r="4320" spans="1:7">
      <c r="A4320" t="s">
        <v>5923</v>
      </c>
      <c r="B4320" s="2">
        <v>45911</v>
      </c>
      <c r="C4320" t="s">
        <v>117</v>
      </c>
      <c r="D4320" t="s">
        <v>1629</v>
      </c>
      <c r="E4320">
        <v>179.9</v>
      </c>
      <c r="F4320" t="s">
        <v>1578</v>
      </c>
      <c r="G4320" t="s">
        <v>1416</v>
      </c>
    </row>
    <row r="4321" spans="1:7">
      <c r="A4321" t="s">
        <v>5924</v>
      </c>
      <c r="B4321" s="2">
        <v>45911</v>
      </c>
      <c r="C4321" t="s">
        <v>119</v>
      </c>
      <c r="D4321" t="s">
        <v>1629</v>
      </c>
      <c r="E4321">
        <v>180.79</v>
      </c>
      <c r="F4321" t="s">
        <v>1578</v>
      </c>
      <c r="G4321" t="s">
        <v>1416</v>
      </c>
    </row>
    <row r="4322" spans="1:7">
      <c r="A4322" t="s">
        <v>5925</v>
      </c>
      <c r="B4322" s="2">
        <v>45911</v>
      </c>
      <c r="C4322" t="s">
        <v>114</v>
      </c>
      <c r="D4322" t="s">
        <v>1683</v>
      </c>
      <c r="E4322">
        <v>197</v>
      </c>
      <c r="F4322" t="s">
        <v>1578</v>
      </c>
      <c r="G4322" t="s">
        <v>838</v>
      </c>
    </row>
    <row r="4323" spans="1:7">
      <c r="A4323" t="s">
        <v>5926</v>
      </c>
      <c r="B4323" s="2">
        <v>45911</v>
      </c>
      <c r="C4323" t="s">
        <v>108</v>
      </c>
      <c r="D4323" t="s">
        <v>1683</v>
      </c>
      <c r="E4323">
        <v>151</v>
      </c>
      <c r="F4323" t="s">
        <v>1578</v>
      </c>
      <c r="G4323" t="s">
        <v>839</v>
      </c>
    </row>
    <row r="4324" spans="1:7">
      <c r="A4324" t="s">
        <v>5927</v>
      </c>
      <c r="B4324" s="2">
        <v>45911</v>
      </c>
      <c r="C4324" t="s">
        <v>89</v>
      </c>
      <c r="D4324" t="s">
        <v>1683</v>
      </c>
      <c r="E4324">
        <v>254</v>
      </c>
      <c r="F4324" t="s">
        <v>1578</v>
      </c>
      <c r="G4324" t="s">
        <v>840</v>
      </c>
    </row>
    <row r="4325" spans="1:7">
      <c r="A4325" t="s">
        <v>5928</v>
      </c>
      <c r="B4325" s="2">
        <v>45912</v>
      </c>
      <c r="C4325" t="s">
        <v>75</v>
      </c>
      <c r="D4325" t="s">
        <v>1629</v>
      </c>
      <c r="E4325">
        <v>103.02</v>
      </c>
      <c r="F4325" t="s">
        <v>1578</v>
      </c>
      <c r="G4325" t="s">
        <v>1417</v>
      </c>
    </row>
    <row r="4326" spans="1:7">
      <c r="A4326" t="s">
        <v>5929</v>
      </c>
      <c r="B4326" s="2">
        <v>45912</v>
      </c>
      <c r="C4326" t="s">
        <v>106</v>
      </c>
      <c r="D4326" t="s">
        <v>1629</v>
      </c>
      <c r="E4326">
        <v>105.06</v>
      </c>
      <c r="F4326" t="s">
        <v>1578</v>
      </c>
      <c r="G4326" t="s">
        <v>1417</v>
      </c>
    </row>
    <row r="4327" spans="1:7">
      <c r="A4327" t="s">
        <v>5930</v>
      </c>
      <c r="B4327" s="2">
        <v>45912</v>
      </c>
      <c r="C4327" t="s">
        <v>108</v>
      </c>
      <c r="D4327" t="s">
        <v>1629</v>
      </c>
      <c r="E4327">
        <v>207.06</v>
      </c>
      <c r="F4327" t="s">
        <v>1578</v>
      </c>
      <c r="G4327" t="s">
        <v>1417</v>
      </c>
    </row>
    <row r="4328" spans="1:7">
      <c r="A4328" t="s">
        <v>5931</v>
      </c>
      <c r="B4328" s="2">
        <v>45912</v>
      </c>
      <c r="C4328" t="s">
        <v>110</v>
      </c>
      <c r="D4328" t="s">
        <v>1629</v>
      </c>
      <c r="E4328">
        <v>104.04</v>
      </c>
      <c r="F4328" t="s">
        <v>1578</v>
      </c>
      <c r="G4328" t="s">
        <v>1417</v>
      </c>
    </row>
    <row r="4329" spans="1:7">
      <c r="A4329" t="s">
        <v>5932</v>
      </c>
      <c r="B4329" s="2">
        <v>45912</v>
      </c>
      <c r="C4329" t="s">
        <v>114</v>
      </c>
      <c r="D4329" t="s">
        <v>1629</v>
      </c>
      <c r="E4329">
        <v>103.02</v>
      </c>
      <c r="F4329" t="s">
        <v>1578</v>
      </c>
      <c r="G4329" t="s">
        <v>1417</v>
      </c>
    </row>
    <row r="4330" spans="1:7">
      <c r="A4330" t="s">
        <v>5933</v>
      </c>
      <c r="B4330" s="2">
        <v>45912</v>
      </c>
      <c r="C4330" t="s">
        <v>117</v>
      </c>
      <c r="D4330" t="s">
        <v>1629</v>
      </c>
      <c r="E4330">
        <v>102.51</v>
      </c>
      <c r="F4330" t="s">
        <v>1578</v>
      </c>
      <c r="G4330" t="s">
        <v>1417</v>
      </c>
    </row>
    <row r="4331" spans="1:7">
      <c r="A4331" t="s">
        <v>5934</v>
      </c>
      <c r="B4331" s="2">
        <v>45912</v>
      </c>
      <c r="C4331" t="s">
        <v>119</v>
      </c>
      <c r="D4331" t="s">
        <v>1629</v>
      </c>
      <c r="E4331">
        <v>103.02</v>
      </c>
      <c r="F4331" t="s">
        <v>1578</v>
      </c>
      <c r="G4331" t="s">
        <v>1417</v>
      </c>
    </row>
    <row r="4332" spans="1:7">
      <c r="A4332" t="s">
        <v>5935</v>
      </c>
      <c r="B4332" s="2">
        <v>45912</v>
      </c>
      <c r="C4332" t="s">
        <v>75</v>
      </c>
      <c r="D4332" t="s">
        <v>1629</v>
      </c>
      <c r="E4332">
        <v>280.77999999999997</v>
      </c>
      <c r="F4332" t="s">
        <v>1578</v>
      </c>
      <c r="G4332" t="s">
        <v>1418</v>
      </c>
    </row>
    <row r="4333" spans="1:7">
      <c r="A4333" t="s">
        <v>5936</v>
      </c>
      <c r="B4333" s="2">
        <v>45912</v>
      </c>
      <c r="C4333" t="s">
        <v>91</v>
      </c>
      <c r="D4333" t="s">
        <v>1629</v>
      </c>
      <c r="E4333">
        <v>284.95</v>
      </c>
      <c r="F4333" t="s">
        <v>1578</v>
      </c>
      <c r="G4333" t="s">
        <v>1418</v>
      </c>
    </row>
    <row r="4334" spans="1:7">
      <c r="A4334" t="s">
        <v>5937</v>
      </c>
      <c r="B4334" s="2">
        <v>45912</v>
      </c>
      <c r="C4334" t="s">
        <v>93</v>
      </c>
      <c r="D4334" t="s">
        <v>1629</v>
      </c>
      <c r="E4334">
        <v>283.56</v>
      </c>
      <c r="F4334" t="s">
        <v>1578</v>
      </c>
      <c r="G4334" t="s">
        <v>1418</v>
      </c>
    </row>
    <row r="4335" spans="1:7">
      <c r="A4335" t="s">
        <v>5938</v>
      </c>
      <c r="B4335" s="2">
        <v>45912</v>
      </c>
      <c r="C4335" t="s">
        <v>95</v>
      </c>
      <c r="D4335" t="s">
        <v>1629</v>
      </c>
      <c r="E4335">
        <v>282.17</v>
      </c>
      <c r="F4335" t="s">
        <v>1578</v>
      </c>
      <c r="G4335" t="s">
        <v>1418</v>
      </c>
    </row>
    <row r="4336" spans="1:7">
      <c r="A4336" t="s">
        <v>5939</v>
      </c>
      <c r="B4336" s="2">
        <v>45912</v>
      </c>
      <c r="C4336" t="s">
        <v>97</v>
      </c>
      <c r="D4336" t="s">
        <v>1629</v>
      </c>
      <c r="E4336">
        <v>280.77999999999997</v>
      </c>
      <c r="F4336" t="s">
        <v>1578</v>
      </c>
      <c r="G4336" t="s">
        <v>1418</v>
      </c>
    </row>
    <row r="4337" spans="1:7">
      <c r="A4337" t="s">
        <v>5940</v>
      </c>
      <c r="B4337" s="2">
        <v>45912</v>
      </c>
      <c r="C4337" t="s">
        <v>99</v>
      </c>
      <c r="D4337" t="s">
        <v>1629</v>
      </c>
      <c r="E4337">
        <v>343.61</v>
      </c>
      <c r="F4337" t="s">
        <v>1578</v>
      </c>
      <c r="G4337" t="s">
        <v>1418</v>
      </c>
    </row>
    <row r="4338" spans="1:7">
      <c r="A4338" t="s">
        <v>5941</v>
      </c>
      <c r="B4338" s="2">
        <v>45912</v>
      </c>
      <c r="C4338" t="s">
        <v>102</v>
      </c>
      <c r="D4338" t="s">
        <v>1629</v>
      </c>
      <c r="E4338">
        <v>283.56</v>
      </c>
      <c r="F4338" t="s">
        <v>1578</v>
      </c>
      <c r="G4338" t="s">
        <v>1418</v>
      </c>
    </row>
    <row r="4339" spans="1:7">
      <c r="A4339" t="s">
        <v>5942</v>
      </c>
      <c r="B4339" s="2">
        <v>45912</v>
      </c>
      <c r="C4339" t="s">
        <v>108</v>
      </c>
      <c r="D4339" t="s">
        <v>1629</v>
      </c>
      <c r="E4339">
        <v>564.34</v>
      </c>
      <c r="F4339" t="s">
        <v>1578</v>
      </c>
      <c r="G4339" t="s">
        <v>1418</v>
      </c>
    </row>
    <row r="4340" spans="1:7">
      <c r="A4340" t="s">
        <v>5943</v>
      </c>
      <c r="B4340" s="2">
        <v>45912</v>
      </c>
      <c r="C4340" t="s">
        <v>110</v>
      </c>
      <c r="D4340" t="s">
        <v>1629</v>
      </c>
      <c r="E4340">
        <v>283.56</v>
      </c>
      <c r="F4340" t="s">
        <v>1578</v>
      </c>
      <c r="G4340" t="s">
        <v>1418</v>
      </c>
    </row>
    <row r="4341" spans="1:7">
      <c r="A4341" t="s">
        <v>5944</v>
      </c>
      <c r="B4341" s="2">
        <v>45912</v>
      </c>
      <c r="C4341" t="s">
        <v>114</v>
      </c>
      <c r="D4341" t="s">
        <v>1629</v>
      </c>
      <c r="E4341">
        <v>280.77999999999997</v>
      </c>
      <c r="F4341" t="s">
        <v>1578</v>
      </c>
      <c r="G4341" t="s">
        <v>1418</v>
      </c>
    </row>
    <row r="4342" spans="1:7">
      <c r="A4342" t="s">
        <v>5945</v>
      </c>
      <c r="B4342" s="2">
        <v>45912</v>
      </c>
      <c r="C4342" t="s">
        <v>117</v>
      </c>
      <c r="D4342" t="s">
        <v>1629</v>
      </c>
      <c r="E4342">
        <v>279.39</v>
      </c>
      <c r="F4342" t="s">
        <v>1578</v>
      </c>
      <c r="G4342" t="s">
        <v>1418</v>
      </c>
    </row>
    <row r="4343" spans="1:7">
      <c r="A4343" t="s">
        <v>5946</v>
      </c>
      <c r="B4343" s="2">
        <v>45912</v>
      </c>
      <c r="C4343" t="s">
        <v>119</v>
      </c>
      <c r="D4343" t="s">
        <v>1629</v>
      </c>
      <c r="E4343">
        <v>280.77999999999997</v>
      </c>
      <c r="F4343" t="s">
        <v>1578</v>
      </c>
      <c r="G4343" t="s">
        <v>1418</v>
      </c>
    </row>
    <row r="4344" spans="1:7">
      <c r="A4344" t="s">
        <v>5947</v>
      </c>
      <c r="B4344" s="2">
        <v>45912</v>
      </c>
      <c r="C4344" t="s">
        <v>61</v>
      </c>
      <c r="D4344" t="s">
        <v>1629</v>
      </c>
      <c r="E4344">
        <v>335.58</v>
      </c>
      <c r="F4344" t="s">
        <v>1578</v>
      </c>
      <c r="G4344" t="s">
        <v>1419</v>
      </c>
    </row>
    <row r="4345" spans="1:7">
      <c r="A4345" t="s">
        <v>5948</v>
      </c>
      <c r="B4345" s="2">
        <v>45912</v>
      </c>
      <c r="C4345" t="s">
        <v>65</v>
      </c>
      <c r="D4345" t="s">
        <v>1629</v>
      </c>
      <c r="E4345">
        <v>333.93</v>
      </c>
      <c r="F4345" t="s">
        <v>1578</v>
      </c>
      <c r="G4345" t="s">
        <v>1419</v>
      </c>
    </row>
    <row r="4346" spans="1:7">
      <c r="A4346" t="s">
        <v>5949</v>
      </c>
      <c r="B4346" s="2">
        <v>45912</v>
      </c>
      <c r="C4346" t="s">
        <v>68</v>
      </c>
      <c r="D4346" t="s">
        <v>1629</v>
      </c>
      <c r="E4346">
        <v>335.58</v>
      </c>
      <c r="F4346" t="s">
        <v>1578</v>
      </c>
      <c r="G4346" t="s">
        <v>1419</v>
      </c>
    </row>
    <row r="4347" spans="1:7">
      <c r="A4347" t="s">
        <v>5950</v>
      </c>
      <c r="B4347" s="2">
        <v>45912</v>
      </c>
      <c r="C4347" t="s">
        <v>70</v>
      </c>
      <c r="D4347" t="s">
        <v>1629</v>
      </c>
      <c r="E4347">
        <v>332.29</v>
      </c>
      <c r="F4347" t="s">
        <v>1578</v>
      </c>
      <c r="G4347" t="s">
        <v>1419</v>
      </c>
    </row>
    <row r="4348" spans="1:7">
      <c r="A4348" t="s">
        <v>5951</v>
      </c>
      <c r="B4348" s="2">
        <v>45912</v>
      </c>
      <c r="C4348" t="s">
        <v>75</v>
      </c>
      <c r="D4348" t="s">
        <v>1629</v>
      </c>
      <c r="E4348">
        <v>332.29</v>
      </c>
      <c r="F4348" t="s">
        <v>1578</v>
      </c>
      <c r="G4348" t="s">
        <v>1419</v>
      </c>
    </row>
    <row r="4349" spans="1:7">
      <c r="A4349" t="s">
        <v>5952</v>
      </c>
      <c r="B4349" s="2">
        <v>45912</v>
      </c>
      <c r="C4349" t="s">
        <v>77</v>
      </c>
      <c r="D4349" t="s">
        <v>1629</v>
      </c>
      <c r="E4349">
        <v>332.29</v>
      </c>
      <c r="F4349" t="s">
        <v>1578</v>
      </c>
      <c r="G4349" t="s">
        <v>1419</v>
      </c>
    </row>
    <row r="4350" spans="1:7">
      <c r="A4350" t="s">
        <v>5953</v>
      </c>
      <c r="B4350" s="2">
        <v>45912</v>
      </c>
      <c r="C4350" t="s">
        <v>79</v>
      </c>
      <c r="D4350" t="s">
        <v>1629</v>
      </c>
      <c r="E4350">
        <v>335.58</v>
      </c>
      <c r="F4350" t="s">
        <v>1578</v>
      </c>
      <c r="G4350" t="s">
        <v>1419</v>
      </c>
    </row>
    <row r="4351" spans="1:7">
      <c r="A4351" t="s">
        <v>5954</v>
      </c>
      <c r="B4351" s="2">
        <v>45912</v>
      </c>
      <c r="C4351" t="s">
        <v>81</v>
      </c>
      <c r="D4351" t="s">
        <v>1629</v>
      </c>
      <c r="E4351">
        <v>664.58</v>
      </c>
      <c r="F4351" t="s">
        <v>1578</v>
      </c>
      <c r="G4351" t="s">
        <v>1419</v>
      </c>
    </row>
    <row r="4352" spans="1:7">
      <c r="A4352" t="s">
        <v>5955</v>
      </c>
      <c r="B4352" s="2">
        <v>45912</v>
      </c>
      <c r="C4352" t="s">
        <v>110</v>
      </c>
      <c r="D4352" t="s">
        <v>1629</v>
      </c>
      <c r="E4352">
        <v>335.58</v>
      </c>
      <c r="F4352" t="s">
        <v>1578</v>
      </c>
      <c r="G4352" t="s">
        <v>1419</v>
      </c>
    </row>
    <row r="4353" spans="1:7">
      <c r="A4353" t="s">
        <v>5956</v>
      </c>
      <c r="B4353" s="2">
        <v>45912</v>
      </c>
      <c r="C4353" t="s">
        <v>114</v>
      </c>
      <c r="D4353" t="s">
        <v>1629</v>
      </c>
      <c r="E4353">
        <v>332.29</v>
      </c>
      <c r="F4353" t="s">
        <v>1578</v>
      </c>
      <c r="G4353" t="s">
        <v>1419</v>
      </c>
    </row>
    <row r="4354" spans="1:7">
      <c r="A4354" t="s">
        <v>5957</v>
      </c>
      <c r="B4354" s="2">
        <v>45912</v>
      </c>
      <c r="C4354" t="s">
        <v>117</v>
      </c>
      <c r="D4354" t="s">
        <v>1629</v>
      </c>
      <c r="E4354">
        <v>330.64</v>
      </c>
      <c r="F4354" t="s">
        <v>1578</v>
      </c>
      <c r="G4354" t="s">
        <v>1419</v>
      </c>
    </row>
    <row r="4355" spans="1:7">
      <c r="A4355" t="s">
        <v>5958</v>
      </c>
      <c r="B4355" s="2">
        <v>45912</v>
      </c>
      <c r="C4355" t="s">
        <v>119</v>
      </c>
      <c r="D4355" t="s">
        <v>1629</v>
      </c>
      <c r="E4355">
        <v>332.29</v>
      </c>
      <c r="F4355" t="s">
        <v>1578</v>
      </c>
      <c r="G4355" t="s">
        <v>1419</v>
      </c>
    </row>
    <row r="4356" spans="1:7">
      <c r="A4356" t="s">
        <v>5959</v>
      </c>
      <c r="B4356" s="2">
        <v>45912</v>
      </c>
      <c r="C4356" t="s">
        <v>75</v>
      </c>
      <c r="D4356" t="s">
        <v>1629</v>
      </c>
      <c r="E4356">
        <v>258.56</v>
      </c>
      <c r="F4356" t="s">
        <v>1578</v>
      </c>
      <c r="G4356" t="s">
        <v>1420</v>
      </c>
    </row>
    <row r="4357" spans="1:7">
      <c r="A4357" t="s">
        <v>5960</v>
      </c>
      <c r="B4357" s="2">
        <v>45912</v>
      </c>
      <c r="C4357" t="s">
        <v>104</v>
      </c>
      <c r="D4357" t="s">
        <v>1629</v>
      </c>
      <c r="E4357">
        <v>527.36</v>
      </c>
      <c r="F4357" t="s">
        <v>1578</v>
      </c>
      <c r="G4357" t="s">
        <v>1420</v>
      </c>
    </row>
    <row r="4358" spans="1:7">
      <c r="A4358" t="s">
        <v>5961</v>
      </c>
      <c r="B4358" s="2">
        <v>45912</v>
      </c>
      <c r="C4358" t="s">
        <v>108</v>
      </c>
      <c r="D4358" t="s">
        <v>1629</v>
      </c>
      <c r="E4358">
        <v>519.67999999999995</v>
      </c>
      <c r="F4358" t="s">
        <v>1578</v>
      </c>
      <c r="G4358" t="s">
        <v>1420</v>
      </c>
    </row>
    <row r="4359" spans="1:7">
      <c r="A4359" t="s">
        <v>5962</v>
      </c>
      <c r="B4359" s="2">
        <v>45912</v>
      </c>
      <c r="C4359" t="s">
        <v>110</v>
      </c>
      <c r="D4359" t="s">
        <v>1629</v>
      </c>
      <c r="E4359">
        <v>261.12</v>
      </c>
      <c r="F4359" t="s">
        <v>1578</v>
      </c>
      <c r="G4359" t="s">
        <v>1420</v>
      </c>
    </row>
    <row r="4360" spans="1:7">
      <c r="A4360" t="s">
        <v>5963</v>
      </c>
      <c r="B4360" s="2">
        <v>45912</v>
      </c>
      <c r="C4360" t="s">
        <v>114</v>
      </c>
      <c r="D4360" t="s">
        <v>1629</v>
      </c>
      <c r="E4360">
        <v>258.56</v>
      </c>
      <c r="F4360" t="s">
        <v>1578</v>
      </c>
      <c r="G4360" t="s">
        <v>1420</v>
      </c>
    </row>
    <row r="4361" spans="1:7">
      <c r="A4361" t="s">
        <v>5964</v>
      </c>
      <c r="B4361" s="2">
        <v>45912</v>
      </c>
      <c r="C4361" t="s">
        <v>117</v>
      </c>
      <c r="D4361" t="s">
        <v>1629</v>
      </c>
      <c r="E4361">
        <v>257.27999999999997</v>
      </c>
      <c r="F4361" t="s">
        <v>1578</v>
      </c>
      <c r="G4361" t="s">
        <v>1420</v>
      </c>
    </row>
    <row r="4362" spans="1:7">
      <c r="A4362" t="s">
        <v>5965</v>
      </c>
      <c r="B4362" s="2">
        <v>45912</v>
      </c>
      <c r="C4362" t="s">
        <v>119</v>
      </c>
      <c r="D4362" t="s">
        <v>1629</v>
      </c>
      <c r="E4362">
        <v>258.56</v>
      </c>
      <c r="F4362" t="s">
        <v>1578</v>
      </c>
      <c r="G4362" t="s">
        <v>1420</v>
      </c>
    </row>
    <row r="4363" spans="1:7">
      <c r="A4363" t="s">
        <v>5966</v>
      </c>
      <c r="B4363" s="2">
        <v>45913</v>
      </c>
      <c r="C4363" t="s">
        <v>106</v>
      </c>
      <c r="D4363" t="s">
        <v>1683</v>
      </c>
      <c r="E4363">
        <v>268</v>
      </c>
      <c r="F4363" t="s">
        <v>1578</v>
      </c>
      <c r="G4363" t="s">
        <v>842</v>
      </c>
    </row>
    <row r="4364" spans="1:7">
      <c r="A4364" t="s">
        <v>5967</v>
      </c>
      <c r="B4364" s="2">
        <v>45914</v>
      </c>
      <c r="C4364" t="s">
        <v>61</v>
      </c>
      <c r="D4364" t="s">
        <v>1629</v>
      </c>
      <c r="E4364">
        <v>347.82</v>
      </c>
      <c r="F4364" t="s">
        <v>1578</v>
      </c>
      <c r="G4364" t="s">
        <v>1421</v>
      </c>
    </row>
    <row r="4365" spans="1:7">
      <c r="A4365" t="s">
        <v>5968</v>
      </c>
      <c r="B4365" s="2">
        <v>45914</v>
      </c>
      <c r="C4365" t="s">
        <v>65</v>
      </c>
      <c r="D4365" t="s">
        <v>1629</v>
      </c>
      <c r="E4365">
        <v>346.11</v>
      </c>
      <c r="F4365" t="s">
        <v>1578</v>
      </c>
      <c r="G4365" t="s">
        <v>1421</v>
      </c>
    </row>
    <row r="4366" spans="1:7">
      <c r="A4366" t="s">
        <v>5969</v>
      </c>
      <c r="B4366" s="2">
        <v>45914</v>
      </c>
      <c r="C4366" t="s">
        <v>68</v>
      </c>
      <c r="D4366" t="s">
        <v>1629</v>
      </c>
      <c r="E4366">
        <v>347.82</v>
      </c>
      <c r="F4366" t="s">
        <v>1578</v>
      </c>
      <c r="G4366" t="s">
        <v>1421</v>
      </c>
    </row>
    <row r="4367" spans="1:7">
      <c r="A4367" t="s">
        <v>5970</v>
      </c>
      <c r="B4367" s="2">
        <v>45914</v>
      </c>
      <c r="C4367" t="s">
        <v>70</v>
      </c>
      <c r="D4367" t="s">
        <v>1629</v>
      </c>
      <c r="E4367">
        <v>344.41</v>
      </c>
      <c r="F4367" t="s">
        <v>1578</v>
      </c>
      <c r="G4367" t="s">
        <v>1421</v>
      </c>
    </row>
    <row r="4368" spans="1:7">
      <c r="A4368" t="s">
        <v>5971</v>
      </c>
      <c r="B4368" s="2">
        <v>45914</v>
      </c>
      <c r="C4368" t="s">
        <v>73</v>
      </c>
      <c r="D4368" t="s">
        <v>1629</v>
      </c>
      <c r="E4368">
        <v>347.82</v>
      </c>
      <c r="F4368" t="s">
        <v>1578</v>
      </c>
      <c r="G4368" t="s">
        <v>1421</v>
      </c>
    </row>
    <row r="4369" spans="1:7">
      <c r="A4369" t="s">
        <v>5972</v>
      </c>
      <c r="B4369" s="2">
        <v>45914</v>
      </c>
      <c r="C4369" t="s">
        <v>75</v>
      </c>
      <c r="D4369" t="s">
        <v>1629</v>
      </c>
      <c r="E4369">
        <v>344.41</v>
      </c>
      <c r="F4369" t="s">
        <v>1578</v>
      </c>
      <c r="G4369" t="s">
        <v>1421</v>
      </c>
    </row>
    <row r="4370" spans="1:7">
      <c r="A4370" t="s">
        <v>5973</v>
      </c>
      <c r="B4370" s="2">
        <v>45914</v>
      </c>
      <c r="C4370" t="s">
        <v>77</v>
      </c>
      <c r="D4370" t="s">
        <v>1629</v>
      </c>
      <c r="E4370">
        <v>344.41</v>
      </c>
      <c r="F4370" t="s">
        <v>1578</v>
      </c>
      <c r="G4370" t="s">
        <v>1421</v>
      </c>
    </row>
    <row r="4371" spans="1:7">
      <c r="A4371" t="s">
        <v>5974</v>
      </c>
      <c r="B4371" s="2">
        <v>45914</v>
      </c>
      <c r="C4371" t="s">
        <v>79</v>
      </c>
      <c r="D4371" t="s">
        <v>1629</v>
      </c>
      <c r="E4371">
        <v>347.82</v>
      </c>
      <c r="F4371" t="s">
        <v>1578</v>
      </c>
      <c r="G4371" t="s">
        <v>1421</v>
      </c>
    </row>
    <row r="4372" spans="1:7">
      <c r="A4372" t="s">
        <v>5975</v>
      </c>
      <c r="B4372" s="2">
        <v>45914</v>
      </c>
      <c r="C4372" t="s">
        <v>81</v>
      </c>
      <c r="D4372" t="s">
        <v>1629</v>
      </c>
      <c r="E4372">
        <v>688.82</v>
      </c>
      <c r="F4372" t="s">
        <v>1578</v>
      </c>
      <c r="G4372" t="s">
        <v>1421</v>
      </c>
    </row>
    <row r="4373" spans="1:7">
      <c r="A4373" t="s">
        <v>5976</v>
      </c>
      <c r="B4373" s="2">
        <v>45914</v>
      </c>
      <c r="C4373" t="s">
        <v>108</v>
      </c>
      <c r="D4373" t="s">
        <v>1629</v>
      </c>
      <c r="E4373">
        <v>692.23</v>
      </c>
      <c r="F4373" t="s">
        <v>1578</v>
      </c>
      <c r="G4373" t="s">
        <v>1421</v>
      </c>
    </row>
    <row r="4374" spans="1:7">
      <c r="A4374" t="s">
        <v>5977</v>
      </c>
      <c r="B4374" s="2">
        <v>45914</v>
      </c>
      <c r="C4374" t="s">
        <v>110</v>
      </c>
      <c r="D4374" t="s">
        <v>1629</v>
      </c>
      <c r="E4374">
        <v>347.82</v>
      </c>
      <c r="F4374" t="s">
        <v>1578</v>
      </c>
      <c r="G4374" t="s">
        <v>1421</v>
      </c>
    </row>
    <row r="4375" spans="1:7">
      <c r="A4375" t="s">
        <v>5978</v>
      </c>
      <c r="B4375" s="2">
        <v>45914</v>
      </c>
      <c r="C4375" t="s">
        <v>114</v>
      </c>
      <c r="D4375" t="s">
        <v>1629</v>
      </c>
      <c r="E4375">
        <v>344.41</v>
      </c>
      <c r="F4375" t="s">
        <v>1578</v>
      </c>
      <c r="G4375" t="s">
        <v>1421</v>
      </c>
    </row>
    <row r="4376" spans="1:7">
      <c r="A4376" t="s">
        <v>5979</v>
      </c>
      <c r="B4376" s="2">
        <v>45914</v>
      </c>
      <c r="C4376" t="s">
        <v>117</v>
      </c>
      <c r="D4376" t="s">
        <v>1629</v>
      </c>
      <c r="E4376">
        <v>342.7</v>
      </c>
      <c r="F4376" t="s">
        <v>1578</v>
      </c>
      <c r="G4376" t="s">
        <v>1421</v>
      </c>
    </row>
    <row r="4377" spans="1:7">
      <c r="A4377" t="s">
        <v>5980</v>
      </c>
      <c r="B4377" s="2">
        <v>45914</v>
      </c>
      <c r="C4377" t="s">
        <v>119</v>
      </c>
      <c r="D4377" t="s">
        <v>1629</v>
      </c>
      <c r="E4377">
        <v>344.41</v>
      </c>
      <c r="F4377" t="s">
        <v>1578</v>
      </c>
      <c r="G4377" t="s">
        <v>1421</v>
      </c>
    </row>
    <row r="4378" spans="1:7">
      <c r="A4378" t="s">
        <v>5981</v>
      </c>
      <c r="B4378" s="2">
        <v>45915</v>
      </c>
      <c r="C4378" t="s">
        <v>61</v>
      </c>
      <c r="D4378" t="s">
        <v>1629</v>
      </c>
      <c r="E4378">
        <v>399.84</v>
      </c>
      <c r="F4378" t="s">
        <v>1578</v>
      </c>
      <c r="G4378" t="s">
        <v>1422</v>
      </c>
    </row>
    <row r="4379" spans="1:7">
      <c r="A4379" t="s">
        <v>5982</v>
      </c>
      <c r="B4379" s="2">
        <v>45915</v>
      </c>
      <c r="C4379" t="s">
        <v>65</v>
      </c>
      <c r="D4379" t="s">
        <v>1629</v>
      </c>
      <c r="E4379">
        <v>397.88</v>
      </c>
      <c r="F4379" t="s">
        <v>1578</v>
      </c>
      <c r="G4379" t="s">
        <v>1422</v>
      </c>
    </row>
    <row r="4380" spans="1:7">
      <c r="A4380" t="s">
        <v>5983</v>
      </c>
      <c r="B4380" s="2">
        <v>45915</v>
      </c>
      <c r="C4380" t="s">
        <v>68</v>
      </c>
      <c r="D4380" t="s">
        <v>1629</v>
      </c>
      <c r="E4380">
        <v>399.84</v>
      </c>
      <c r="F4380" t="s">
        <v>1578</v>
      </c>
      <c r="G4380" t="s">
        <v>1422</v>
      </c>
    </row>
    <row r="4381" spans="1:7">
      <c r="A4381" t="s">
        <v>5984</v>
      </c>
      <c r="B4381" s="2">
        <v>45915</v>
      </c>
      <c r="C4381" t="s">
        <v>70</v>
      </c>
      <c r="D4381" t="s">
        <v>1629</v>
      </c>
      <c r="E4381">
        <v>395.92</v>
      </c>
      <c r="F4381" t="s">
        <v>1578</v>
      </c>
      <c r="G4381" t="s">
        <v>1422</v>
      </c>
    </row>
    <row r="4382" spans="1:7">
      <c r="A4382" t="s">
        <v>5985</v>
      </c>
      <c r="B4382" s="2">
        <v>45915</v>
      </c>
      <c r="C4382" t="s">
        <v>75</v>
      </c>
      <c r="D4382" t="s">
        <v>1629</v>
      </c>
      <c r="E4382">
        <v>395.92</v>
      </c>
      <c r="F4382" t="s">
        <v>1578</v>
      </c>
      <c r="G4382" t="s">
        <v>1422</v>
      </c>
    </row>
    <row r="4383" spans="1:7">
      <c r="A4383" t="s">
        <v>5986</v>
      </c>
      <c r="B4383" s="2">
        <v>45915</v>
      </c>
      <c r="C4383" t="s">
        <v>77</v>
      </c>
      <c r="D4383" t="s">
        <v>1629</v>
      </c>
      <c r="E4383">
        <v>395.92</v>
      </c>
      <c r="F4383" t="s">
        <v>1578</v>
      </c>
      <c r="G4383" t="s">
        <v>1422</v>
      </c>
    </row>
    <row r="4384" spans="1:7">
      <c r="A4384" t="s">
        <v>5987</v>
      </c>
      <c r="B4384" s="2">
        <v>45915</v>
      </c>
      <c r="C4384" t="s">
        <v>79</v>
      </c>
      <c r="D4384" t="s">
        <v>1629</v>
      </c>
      <c r="E4384">
        <v>399.84</v>
      </c>
      <c r="F4384" t="s">
        <v>1578</v>
      </c>
      <c r="G4384" t="s">
        <v>1422</v>
      </c>
    </row>
    <row r="4385" spans="1:7">
      <c r="A4385" t="s">
        <v>5988</v>
      </c>
      <c r="B4385" s="2">
        <v>45915</v>
      </c>
      <c r="C4385" t="s">
        <v>81</v>
      </c>
      <c r="D4385" t="s">
        <v>1629</v>
      </c>
      <c r="E4385">
        <v>791.84</v>
      </c>
      <c r="F4385" t="s">
        <v>1578</v>
      </c>
      <c r="G4385" t="s">
        <v>1422</v>
      </c>
    </row>
    <row r="4386" spans="1:7">
      <c r="A4386" t="s">
        <v>5989</v>
      </c>
      <c r="B4386" s="2">
        <v>45915</v>
      </c>
      <c r="C4386" t="s">
        <v>108</v>
      </c>
      <c r="D4386" t="s">
        <v>1629</v>
      </c>
      <c r="E4386">
        <v>795.76</v>
      </c>
      <c r="F4386" t="s">
        <v>1578</v>
      </c>
      <c r="G4386" t="s">
        <v>1422</v>
      </c>
    </row>
    <row r="4387" spans="1:7">
      <c r="A4387" t="s">
        <v>5990</v>
      </c>
      <c r="B4387" s="2">
        <v>45915</v>
      </c>
      <c r="C4387" t="s">
        <v>110</v>
      </c>
      <c r="D4387" t="s">
        <v>1629</v>
      </c>
      <c r="E4387">
        <v>399.84</v>
      </c>
      <c r="F4387" t="s">
        <v>1578</v>
      </c>
      <c r="G4387" t="s">
        <v>1422</v>
      </c>
    </row>
    <row r="4388" spans="1:7">
      <c r="A4388" t="s">
        <v>5991</v>
      </c>
      <c r="B4388" s="2">
        <v>45915</v>
      </c>
      <c r="C4388" t="s">
        <v>114</v>
      </c>
      <c r="D4388" t="s">
        <v>1629</v>
      </c>
      <c r="E4388">
        <v>395.92</v>
      </c>
      <c r="F4388" t="s">
        <v>1578</v>
      </c>
      <c r="G4388" t="s">
        <v>1422</v>
      </c>
    </row>
    <row r="4389" spans="1:7">
      <c r="A4389" t="s">
        <v>5992</v>
      </c>
      <c r="B4389" s="2">
        <v>45915</v>
      </c>
      <c r="C4389" t="s">
        <v>117</v>
      </c>
      <c r="D4389" t="s">
        <v>1629</v>
      </c>
      <c r="E4389">
        <v>393.96</v>
      </c>
      <c r="F4389" t="s">
        <v>1578</v>
      </c>
      <c r="G4389" t="s">
        <v>1422</v>
      </c>
    </row>
    <row r="4390" spans="1:7">
      <c r="A4390" t="s">
        <v>5993</v>
      </c>
      <c r="B4390" s="2">
        <v>45915</v>
      </c>
      <c r="C4390" t="s">
        <v>119</v>
      </c>
      <c r="D4390" t="s">
        <v>1629</v>
      </c>
      <c r="E4390">
        <v>395.92</v>
      </c>
      <c r="F4390" t="s">
        <v>1578</v>
      </c>
      <c r="G4390" t="s">
        <v>1422</v>
      </c>
    </row>
    <row r="4391" spans="1:7">
      <c r="A4391" t="s">
        <v>5994</v>
      </c>
      <c r="B4391" s="2">
        <v>45915</v>
      </c>
      <c r="C4391" t="s">
        <v>75</v>
      </c>
      <c r="D4391" t="s">
        <v>1629</v>
      </c>
      <c r="E4391">
        <v>116.15</v>
      </c>
      <c r="F4391" t="s">
        <v>1578</v>
      </c>
      <c r="G4391" t="s">
        <v>1423</v>
      </c>
    </row>
    <row r="4392" spans="1:7">
      <c r="A4392" t="s">
        <v>5995</v>
      </c>
      <c r="B4392" s="2">
        <v>45915</v>
      </c>
      <c r="C4392" t="s">
        <v>106</v>
      </c>
      <c r="D4392" t="s">
        <v>1629</v>
      </c>
      <c r="E4392">
        <v>118.45</v>
      </c>
      <c r="F4392" t="s">
        <v>1578</v>
      </c>
      <c r="G4392" t="s">
        <v>1423</v>
      </c>
    </row>
    <row r="4393" spans="1:7">
      <c r="A4393" t="s">
        <v>5996</v>
      </c>
      <c r="B4393" s="2">
        <v>45915</v>
      </c>
      <c r="C4393" t="s">
        <v>108</v>
      </c>
      <c r="D4393" t="s">
        <v>1629</v>
      </c>
      <c r="E4393">
        <v>233.45</v>
      </c>
      <c r="F4393" t="s">
        <v>1578</v>
      </c>
      <c r="G4393" t="s">
        <v>1423</v>
      </c>
    </row>
    <row r="4394" spans="1:7">
      <c r="A4394" t="s">
        <v>5997</v>
      </c>
      <c r="B4394" s="2">
        <v>45915</v>
      </c>
      <c r="C4394" t="s">
        <v>110</v>
      </c>
      <c r="D4394" t="s">
        <v>1629</v>
      </c>
      <c r="E4394">
        <v>117.3</v>
      </c>
      <c r="F4394" t="s">
        <v>1578</v>
      </c>
      <c r="G4394" t="s">
        <v>1423</v>
      </c>
    </row>
    <row r="4395" spans="1:7">
      <c r="A4395" t="s">
        <v>5998</v>
      </c>
      <c r="B4395" s="2">
        <v>45915</v>
      </c>
      <c r="C4395" t="s">
        <v>114</v>
      </c>
      <c r="D4395" t="s">
        <v>1629</v>
      </c>
      <c r="E4395">
        <v>116.15</v>
      </c>
      <c r="F4395" t="s">
        <v>1578</v>
      </c>
      <c r="G4395" t="s">
        <v>1423</v>
      </c>
    </row>
    <row r="4396" spans="1:7">
      <c r="A4396" t="s">
        <v>5999</v>
      </c>
      <c r="B4396" s="2">
        <v>45915</v>
      </c>
      <c r="C4396" t="s">
        <v>117</v>
      </c>
      <c r="D4396" t="s">
        <v>1629</v>
      </c>
      <c r="E4396">
        <v>115.57</v>
      </c>
      <c r="F4396" t="s">
        <v>1578</v>
      </c>
      <c r="G4396" t="s">
        <v>1423</v>
      </c>
    </row>
    <row r="4397" spans="1:7">
      <c r="A4397" t="s">
        <v>6000</v>
      </c>
      <c r="B4397" s="2">
        <v>45915</v>
      </c>
      <c r="C4397" t="s">
        <v>119</v>
      </c>
      <c r="D4397" t="s">
        <v>1629</v>
      </c>
      <c r="E4397">
        <v>116.15</v>
      </c>
      <c r="F4397" t="s">
        <v>1578</v>
      </c>
      <c r="G4397" t="s">
        <v>1423</v>
      </c>
    </row>
    <row r="4398" spans="1:7">
      <c r="A4398" t="s">
        <v>6001</v>
      </c>
      <c r="B4398" s="2">
        <v>45915</v>
      </c>
      <c r="C4398" t="s">
        <v>102</v>
      </c>
      <c r="D4398" t="s">
        <v>1683</v>
      </c>
      <c r="E4398">
        <v>320</v>
      </c>
      <c r="F4398" t="s">
        <v>1578</v>
      </c>
      <c r="G4398" t="s">
        <v>843</v>
      </c>
    </row>
    <row r="4399" spans="1:7">
      <c r="A4399" t="s">
        <v>6002</v>
      </c>
      <c r="B4399" s="2">
        <v>45916</v>
      </c>
      <c r="C4399" t="s">
        <v>75</v>
      </c>
      <c r="D4399" t="s">
        <v>1629</v>
      </c>
      <c r="E4399">
        <v>145.44</v>
      </c>
      <c r="F4399" t="s">
        <v>1578</v>
      </c>
      <c r="G4399" t="s">
        <v>1424</v>
      </c>
    </row>
    <row r="4400" spans="1:7">
      <c r="A4400" t="s">
        <v>6003</v>
      </c>
      <c r="B4400" s="2">
        <v>45916</v>
      </c>
      <c r="C4400" t="s">
        <v>91</v>
      </c>
      <c r="D4400" t="s">
        <v>1629</v>
      </c>
      <c r="E4400">
        <v>147.6</v>
      </c>
      <c r="F4400" t="s">
        <v>1578</v>
      </c>
      <c r="G4400" t="s">
        <v>1424</v>
      </c>
    </row>
    <row r="4401" spans="1:7">
      <c r="A4401" t="s">
        <v>6004</v>
      </c>
      <c r="B4401" s="2">
        <v>45916</v>
      </c>
      <c r="C4401" t="s">
        <v>93</v>
      </c>
      <c r="D4401" t="s">
        <v>1629</v>
      </c>
      <c r="E4401">
        <v>146.88</v>
      </c>
      <c r="F4401" t="s">
        <v>1578</v>
      </c>
      <c r="G4401" t="s">
        <v>1424</v>
      </c>
    </row>
    <row r="4402" spans="1:7">
      <c r="A4402" t="s">
        <v>6005</v>
      </c>
      <c r="B4402" s="2">
        <v>45916</v>
      </c>
      <c r="C4402" t="s">
        <v>95</v>
      </c>
      <c r="D4402" t="s">
        <v>1629</v>
      </c>
      <c r="E4402">
        <v>146.16</v>
      </c>
      <c r="F4402" t="s">
        <v>1578</v>
      </c>
      <c r="G4402" t="s">
        <v>1424</v>
      </c>
    </row>
    <row r="4403" spans="1:7">
      <c r="A4403" t="s">
        <v>6006</v>
      </c>
      <c r="B4403" s="2">
        <v>45916</v>
      </c>
      <c r="C4403" t="s">
        <v>97</v>
      </c>
      <c r="D4403" t="s">
        <v>1629</v>
      </c>
      <c r="E4403">
        <v>145.44</v>
      </c>
      <c r="F4403" t="s">
        <v>1578</v>
      </c>
      <c r="G4403" t="s">
        <v>1424</v>
      </c>
    </row>
    <row r="4404" spans="1:7">
      <c r="A4404" t="s">
        <v>6007</v>
      </c>
      <c r="B4404" s="2">
        <v>45916</v>
      </c>
      <c r="C4404" t="s">
        <v>99</v>
      </c>
      <c r="D4404" t="s">
        <v>1629</v>
      </c>
      <c r="E4404">
        <v>74.16</v>
      </c>
      <c r="F4404" t="s">
        <v>1578</v>
      </c>
      <c r="G4404" t="s">
        <v>1424</v>
      </c>
    </row>
    <row r="4405" spans="1:7">
      <c r="A4405" t="s">
        <v>6008</v>
      </c>
      <c r="B4405" s="2">
        <v>45916</v>
      </c>
      <c r="C4405" t="s">
        <v>102</v>
      </c>
      <c r="D4405" t="s">
        <v>1629</v>
      </c>
      <c r="E4405">
        <v>146.88</v>
      </c>
      <c r="F4405" t="s">
        <v>1578</v>
      </c>
      <c r="G4405" t="s">
        <v>1424</v>
      </c>
    </row>
    <row r="4406" spans="1:7">
      <c r="A4406" t="s">
        <v>6009</v>
      </c>
      <c r="B4406" s="2">
        <v>45916</v>
      </c>
      <c r="C4406" t="s">
        <v>108</v>
      </c>
      <c r="D4406" t="s">
        <v>1629</v>
      </c>
      <c r="E4406">
        <v>292.32</v>
      </c>
      <c r="F4406" t="s">
        <v>1578</v>
      </c>
      <c r="G4406" t="s">
        <v>1424</v>
      </c>
    </row>
    <row r="4407" spans="1:7">
      <c r="A4407" t="s">
        <v>6010</v>
      </c>
      <c r="B4407" s="2">
        <v>45916</v>
      </c>
      <c r="C4407" t="s">
        <v>110</v>
      </c>
      <c r="D4407" t="s">
        <v>1629</v>
      </c>
      <c r="E4407">
        <v>146.88</v>
      </c>
      <c r="F4407" t="s">
        <v>1578</v>
      </c>
      <c r="G4407" t="s">
        <v>1424</v>
      </c>
    </row>
    <row r="4408" spans="1:7">
      <c r="A4408" t="s">
        <v>6011</v>
      </c>
      <c r="B4408" s="2">
        <v>45916</v>
      </c>
      <c r="C4408" t="s">
        <v>114</v>
      </c>
      <c r="D4408" t="s">
        <v>1629</v>
      </c>
      <c r="E4408">
        <v>145.44</v>
      </c>
      <c r="F4408" t="s">
        <v>1578</v>
      </c>
      <c r="G4408" t="s">
        <v>1424</v>
      </c>
    </row>
    <row r="4409" spans="1:7">
      <c r="A4409" t="s">
        <v>6012</v>
      </c>
      <c r="B4409" s="2">
        <v>45916</v>
      </c>
      <c r="C4409" t="s">
        <v>117</v>
      </c>
      <c r="D4409" t="s">
        <v>1629</v>
      </c>
      <c r="E4409">
        <v>144.72</v>
      </c>
      <c r="F4409" t="s">
        <v>1578</v>
      </c>
      <c r="G4409" t="s">
        <v>1424</v>
      </c>
    </row>
    <row r="4410" spans="1:7">
      <c r="A4410" t="s">
        <v>6013</v>
      </c>
      <c r="B4410" s="2">
        <v>45916</v>
      </c>
      <c r="C4410" t="s">
        <v>119</v>
      </c>
      <c r="D4410" t="s">
        <v>1629</v>
      </c>
      <c r="E4410">
        <v>145.44</v>
      </c>
      <c r="F4410" t="s">
        <v>1578</v>
      </c>
      <c r="G4410" t="s">
        <v>1424</v>
      </c>
    </row>
    <row r="4411" spans="1:7">
      <c r="A4411" t="s">
        <v>6014</v>
      </c>
      <c r="B4411" s="2">
        <v>45916</v>
      </c>
      <c r="C4411" t="s">
        <v>61</v>
      </c>
      <c r="D4411" t="s">
        <v>1629</v>
      </c>
      <c r="E4411">
        <v>462.06</v>
      </c>
      <c r="F4411" t="s">
        <v>1578</v>
      </c>
      <c r="G4411" t="s">
        <v>1425</v>
      </c>
    </row>
    <row r="4412" spans="1:7">
      <c r="A4412" t="s">
        <v>6015</v>
      </c>
      <c r="B4412" s="2">
        <v>45916</v>
      </c>
      <c r="C4412" t="s">
        <v>65</v>
      </c>
      <c r="D4412" t="s">
        <v>1629</v>
      </c>
      <c r="E4412">
        <v>459.79</v>
      </c>
      <c r="F4412" t="s">
        <v>1578</v>
      </c>
      <c r="G4412" t="s">
        <v>1425</v>
      </c>
    </row>
    <row r="4413" spans="1:7">
      <c r="A4413" t="s">
        <v>6016</v>
      </c>
      <c r="B4413" s="2">
        <v>45916</v>
      </c>
      <c r="C4413" t="s">
        <v>68</v>
      </c>
      <c r="D4413" t="s">
        <v>1629</v>
      </c>
      <c r="E4413">
        <v>462.06</v>
      </c>
      <c r="F4413" t="s">
        <v>1578</v>
      </c>
      <c r="G4413" t="s">
        <v>1425</v>
      </c>
    </row>
    <row r="4414" spans="1:7">
      <c r="A4414" t="s">
        <v>6017</v>
      </c>
      <c r="B4414" s="2">
        <v>45916</v>
      </c>
      <c r="C4414" t="s">
        <v>75</v>
      </c>
      <c r="D4414" t="s">
        <v>1629</v>
      </c>
      <c r="E4414">
        <v>457.53</v>
      </c>
      <c r="F4414" t="s">
        <v>1578</v>
      </c>
      <c r="G4414" t="s">
        <v>1425</v>
      </c>
    </row>
    <row r="4415" spans="1:7">
      <c r="A4415" t="s">
        <v>6018</v>
      </c>
      <c r="B4415" s="2">
        <v>45916</v>
      </c>
      <c r="C4415" t="s">
        <v>79</v>
      </c>
      <c r="D4415" t="s">
        <v>1629</v>
      </c>
      <c r="E4415">
        <v>462.06</v>
      </c>
      <c r="F4415" t="s">
        <v>1578</v>
      </c>
      <c r="G4415" t="s">
        <v>1425</v>
      </c>
    </row>
    <row r="4416" spans="1:7">
      <c r="A4416" t="s">
        <v>6019</v>
      </c>
      <c r="B4416" s="2">
        <v>45916</v>
      </c>
      <c r="C4416" t="s">
        <v>81</v>
      </c>
      <c r="D4416" t="s">
        <v>1629</v>
      </c>
      <c r="E4416">
        <v>915.06</v>
      </c>
      <c r="F4416" t="s">
        <v>1578</v>
      </c>
      <c r="G4416" t="s">
        <v>1425</v>
      </c>
    </row>
    <row r="4417" spans="1:7">
      <c r="A4417" t="s">
        <v>6020</v>
      </c>
      <c r="B4417" s="2">
        <v>45916</v>
      </c>
      <c r="C4417" t="s">
        <v>110</v>
      </c>
      <c r="D4417" t="s">
        <v>1629</v>
      </c>
      <c r="E4417">
        <v>462.06</v>
      </c>
      <c r="F4417" t="s">
        <v>1578</v>
      </c>
      <c r="G4417" t="s">
        <v>1425</v>
      </c>
    </row>
    <row r="4418" spans="1:7">
      <c r="A4418" t="s">
        <v>6021</v>
      </c>
      <c r="B4418" s="2">
        <v>45916</v>
      </c>
      <c r="C4418" t="s">
        <v>114</v>
      </c>
      <c r="D4418" t="s">
        <v>1629</v>
      </c>
      <c r="E4418">
        <v>457.53</v>
      </c>
      <c r="F4418" t="s">
        <v>1578</v>
      </c>
      <c r="G4418" t="s">
        <v>1425</v>
      </c>
    </row>
    <row r="4419" spans="1:7">
      <c r="A4419" t="s">
        <v>6022</v>
      </c>
      <c r="B4419" s="2">
        <v>45916</v>
      </c>
      <c r="C4419" t="s">
        <v>117</v>
      </c>
      <c r="D4419" t="s">
        <v>1629</v>
      </c>
      <c r="E4419">
        <v>455.26</v>
      </c>
      <c r="F4419" t="s">
        <v>1578</v>
      </c>
      <c r="G4419" t="s">
        <v>1425</v>
      </c>
    </row>
    <row r="4420" spans="1:7">
      <c r="A4420" t="s">
        <v>6023</v>
      </c>
      <c r="B4420" s="2">
        <v>45916</v>
      </c>
      <c r="C4420" t="s">
        <v>119</v>
      </c>
      <c r="D4420" t="s">
        <v>1629</v>
      </c>
      <c r="E4420">
        <v>457.53</v>
      </c>
      <c r="F4420" t="s">
        <v>1578</v>
      </c>
      <c r="G4420" t="s">
        <v>1425</v>
      </c>
    </row>
    <row r="4421" spans="1:7">
      <c r="A4421" t="s">
        <v>6024</v>
      </c>
      <c r="B4421" s="2">
        <v>45916</v>
      </c>
      <c r="C4421" t="s">
        <v>104</v>
      </c>
      <c r="D4421" t="s">
        <v>1683</v>
      </c>
      <c r="E4421">
        <v>199</v>
      </c>
      <c r="F4421" t="s">
        <v>1578</v>
      </c>
      <c r="G4421" t="s">
        <v>844</v>
      </c>
    </row>
    <row r="4422" spans="1:7">
      <c r="A4422" t="s">
        <v>6025</v>
      </c>
      <c r="B4422" s="2">
        <v>45917</v>
      </c>
      <c r="C4422" t="s">
        <v>102</v>
      </c>
      <c r="D4422" t="s">
        <v>1683</v>
      </c>
      <c r="E4422">
        <v>539</v>
      </c>
      <c r="F4422" t="s">
        <v>1578</v>
      </c>
      <c r="G4422" t="s">
        <v>846</v>
      </c>
    </row>
    <row r="4423" spans="1:7">
      <c r="A4423" t="s">
        <v>6026</v>
      </c>
      <c r="B4423" s="2">
        <v>45917</v>
      </c>
      <c r="C4423" t="s">
        <v>73</v>
      </c>
      <c r="D4423" t="s">
        <v>1683</v>
      </c>
      <c r="E4423">
        <v>489</v>
      </c>
      <c r="F4423" t="s">
        <v>1578</v>
      </c>
      <c r="G4423" t="s">
        <v>847</v>
      </c>
    </row>
    <row r="4424" spans="1:7">
      <c r="A4424" t="s">
        <v>6027</v>
      </c>
      <c r="B4424" s="2">
        <v>45917</v>
      </c>
      <c r="C4424" t="s">
        <v>117</v>
      </c>
      <c r="D4424" t="s">
        <v>1683</v>
      </c>
      <c r="E4424">
        <v>335</v>
      </c>
      <c r="F4424" t="s">
        <v>1578</v>
      </c>
      <c r="G4424" t="s">
        <v>848</v>
      </c>
    </row>
    <row r="4425" spans="1:7">
      <c r="A4425" t="s">
        <v>6028</v>
      </c>
      <c r="B4425" s="2">
        <v>45918</v>
      </c>
      <c r="C4425" t="s">
        <v>75</v>
      </c>
      <c r="D4425" t="s">
        <v>1629</v>
      </c>
      <c r="E4425">
        <v>391.88</v>
      </c>
      <c r="F4425" t="s">
        <v>1578</v>
      </c>
      <c r="G4425" t="s">
        <v>1426</v>
      </c>
    </row>
    <row r="4426" spans="1:7">
      <c r="A4426" t="s">
        <v>6029</v>
      </c>
      <c r="B4426" s="2">
        <v>45918</v>
      </c>
      <c r="C4426" t="s">
        <v>104</v>
      </c>
      <c r="D4426" t="s">
        <v>1629</v>
      </c>
      <c r="E4426">
        <v>799.28</v>
      </c>
      <c r="F4426" t="s">
        <v>1578</v>
      </c>
      <c r="G4426" t="s">
        <v>1426</v>
      </c>
    </row>
    <row r="4427" spans="1:7">
      <c r="A4427" t="s">
        <v>6030</v>
      </c>
      <c r="B4427" s="2">
        <v>45918</v>
      </c>
      <c r="C4427" t="s">
        <v>108</v>
      </c>
      <c r="D4427" t="s">
        <v>1629</v>
      </c>
      <c r="E4427">
        <v>787.64</v>
      </c>
      <c r="F4427" t="s">
        <v>1578</v>
      </c>
      <c r="G4427" t="s">
        <v>1426</v>
      </c>
    </row>
    <row r="4428" spans="1:7">
      <c r="A4428" t="s">
        <v>6031</v>
      </c>
      <c r="B4428" s="2">
        <v>45918</v>
      </c>
      <c r="C4428" t="s">
        <v>110</v>
      </c>
      <c r="D4428" t="s">
        <v>1629</v>
      </c>
      <c r="E4428">
        <v>395.76</v>
      </c>
      <c r="F4428" t="s">
        <v>1578</v>
      </c>
      <c r="G4428" t="s">
        <v>1426</v>
      </c>
    </row>
    <row r="4429" spans="1:7">
      <c r="A4429" t="s">
        <v>6032</v>
      </c>
      <c r="B4429" s="2">
        <v>45918</v>
      </c>
      <c r="C4429" t="s">
        <v>114</v>
      </c>
      <c r="D4429" t="s">
        <v>1629</v>
      </c>
      <c r="E4429">
        <v>391.88</v>
      </c>
      <c r="F4429" t="s">
        <v>1578</v>
      </c>
      <c r="G4429" t="s">
        <v>1426</v>
      </c>
    </row>
    <row r="4430" spans="1:7">
      <c r="A4430" t="s">
        <v>6033</v>
      </c>
      <c r="B4430" s="2">
        <v>45918</v>
      </c>
      <c r="C4430" t="s">
        <v>117</v>
      </c>
      <c r="D4430" t="s">
        <v>1629</v>
      </c>
      <c r="E4430">
        <v>389.94</v>
      </c>
      <c r="F4430" t="s">
        <v>1578</v>
      </c>
      <c r="G4430" t="s">
        <v>1426</v>
      </c>
    </row>
    <row r="4431" spans="1:7">
      <c r="A4431" t="s">
        <v>6034</v>
      </c>
      <c r="B4431" s="2">
        <v>45918</v>
      </c>
      <c r="C4431" t="s">
        <v>119</v>
      </c>
      <c r="D4431" t="s">
        <v>1629</v>
      </c>
      <c r="E4431">
        <v>391.88</v>
      </c>
      <c r="F4431" t="s">
        <v>1578</v>
      </c>
      <c r="G4431" t="s">
        <v>1426</v>
      </c>
    </row>
    <row r="4432" spans="1:7">
      <c r="A4432" t="s">
        <v>6035</v>
      </c>
      <c r="B4432" s="2">
        <v>45918</v>
      </c>
      <c r="C4432" t="s">
        <v>61</v>
      </c>
      <c r="D4432" t="s">
        <v>1629</v>
      </c>
      <c r="E4432">
        <v>366.18</v>
      </c>
      <c r="F4432" t="s">
        <v>1578</v>
      </c>
      <c r="G4432" t="s">
        <v>1427</v>
      </c>
    </row>
    <row r="4433" spans="1:7">
      <c r="A4433" t="s">
        <v>6036</v>
      </c>
      <c r="B4433" s="2">
        <v>45918</v>
      </c>
      <c r="C4433" t="s">
        <v>65</v>
      </c>
      <c r="D4433" t="s">
        <v>1629</v>
      </c>
      <c r="E4433">
        <v>364.38</v>
      </c>
      <c r="F4433" t="s">
        <v>1578</v>
      </c>
      <c r="G4433" t="s">
        <v>1427</v>
      </c>
    </row>
    <row r="4434" spans="1:7">
      <c r="A4434" t="s">
        <v>6037</v>
      </c>
      <c r="B4434" s="2">
        <v>45918</v>
      </c>
      <c r="C4434" t="s">
        <v>68</v>
      </c>
      <c r="D4434" t="s">
        <v>1629</v>
      </c>
      <c r="E4434">
        <v>366.18</v>
      </c>
      <c r="F4434" t="s">
        <v>1578</v>
      </c>
      <c r="G4434" t="s">
        <v>1427</v>
      </c>
    </row>
    <row r="4435" spans="1:7">
      <c r="A4435" t="s">
        <v>6038</v>
      </c>
      <c r="B4435" s="2">
        <v>45918</v>
      </c>
      <c r="C4435" t="s">
        <v>70</v>
      </c>
      <c r="D4435" t="s">
        <v>1629</v>
      </c>
      <c r="E4435">
        <v>362.59</v>
      </c>
      <c r="F4435" t="s">
        <v>1578</v>
      </c>
      <c r="G4435" t="s">
        <v>1427</v>
      </c>
    </row>
    <row r="4436" spans="1:7">
      <c r="A4436" t="s">
        <v>6039</v>
      </c>
      <c r="B4436" s="2">
        <v>45918</v>
      </c>
      <c r="C4436" t="s">
        <v>73</v>
      </c>
      <c r="D4436" t="s">
        <v>1629</v>
      </c>
      <c r="E4436">
        <v>366.18</v>
      </c>
      <c r="F4436" t="s">
        <v>1578</v>
      </c>
      <c r="G4436" t="s">
        <v>1427</v>
      </c>
    </row>
    <row r="4437" spans="1:7">
      <c r="A4437" t="s">
        <v>6040</v>
      </c>
      <c r="B4437" s="2">
        <v>45918</v>
      </c>
      <c r="C4437" t="s">
        <v>75</v>
      </c>
      <c r="D4437" t="s">
        <v>1629</v>
      </c>
      <c r="E4437">
        <v>362.59</v>
      </c>
      <c r="F4437" t="s">
        <v>1578</v>
      </c>
      <c r="G4437" t="s">
        <v>1427</v>
      </c>
    </row>
    <row r="4438" spans="1:7">
      <c r="A4438" t="s">
        <v>6041</v>
      </c>
      <c r="B4438" s="2">
        <v>45918</v>
      </c>
      <c r="C4438" t="s">
        <v>77</v>
      </c>
      <c r="D4438" t="s">
        <v>1629</v>
      </c>
      <c r="E4438">
        <v>362.59</v>
      </c>
      <c r="F4438" t="s">
        <v>1578</v>
      </c>
      <c r="G4438" t="s">
        <v>1427</v>
      </c>
    </row>
    <row r="4439" spans="1:7">
      <c r="A4439" t="s">
        <v>6042</v>
      </c>
      <c r="B4439" s="2">
        <v>45918</v>
      </c>
      <c r="C4439" t="s">
        <v>79</v>
      </c>
      <c r="D4439" t="s">
        <v>1629</v>
      </c>
      <c r="E4439">
        <v>366.18</v>
      </c>
      <c r="F4439" t="s">
        <v>1578</v>
      </c>
      <c r="G4439" t="s">
        <v>1427</v>
      </c>
    </row>
    <row r="4440" spans="1:7">
      <c r="A4440" t="s">
        <v>6043</v>
      </c>
      <c r="B4440" s="2">
        <v>45918</v>
      </c>
      <c r="C4440" t="s">
        <v>81</v>
      </c>
      <c r="D4440" t="s">
        <v>1629</v>
      </c>
      <c r="E4440">
        <v>725.18</v>
      </c>
      <c r="F4440" t="s">
        <v>1578</v>
      </c>
      <c r="G4440" t="s">
        <v>1427</v>
      </c>
    </row>
    <row r="4441" spans="1:7">
      <c r="A4441" t="s">
        <v>6044</v>
      </c>
      <c r="B4441" s="2">
        <v>45918</v>
      </c>
      <c r="C4441" t="s">
        <v>108</v>
      </c>
      <c r="D4441" t="s">
        <v>1629</v>
      </c>
      <c r="E4441">
        <v>728.77</v>
      </c>
      <c r="F4441" t="s">
        <v>1578</v>
      </c>
      <c r="G4441" t="s">
        <v>1427</v>
      </c>
    </row>
    <row r="4442" spans="1:7">
      <c r="A4442" t="s">
        <v>6045</v>
      </c>
      <c r="B4442" s="2">
        <v>45918</v>
      </c>
      <c r="C4442" t="s">
        <v>110</v>
      </c>
      <c r="D4442" t="s">
        <v>1629</v>
      </c>
      <c r="E4442">
        <v>366.18</v>
      </c>
      <c r="F4442" t="s">
        <v>1578</v>
      </c>
      <c r="G4442" t="s">
        <v>1427</v>
      </c>
    </row>
    <row r="4443" spans="1:7">
      <c r="A4443" t="s">
        <v>6046</v>
      </c>
      <c r="B4443" s="2">
        <v>45918</v>
      </c>
      <c r="C4443" t="s">
        <v>114</v>
      </c>
      <c r="D4443" t="s">
        <v>1629</v>
      </c>
      <c r="E4443">
        <v>362.59</v>
      </c>
      <c r="F4443" t="s">
        <v>1578</v>
      </c>
      <c r="G4443" t="s">
        <v>1427</v>
      </c>
    </row>
    <row r="4444" spans="1:7">
      <c r="A4444" t="s">
        <v>6047</v>
      </c>
      <c r="B4444" s="2">
        <v>45918</v>
      </c>
      <c r="C4444" t="s">
        <v>117</v>
      </c>
      <c r="D4444" t="s">
        <v>1629</v>
      </c>
      <c r="E4444">
        <v>360.79</v>
      </c>
      <c r="F4444" t="s">
        <v>1578</v>
      </c>
      <c r="G4444" t="s">
        <v>1427</v>
      </c>
    </row>
    <row r="4445" spans="1:7">
      <c r="A4445" t="s">
        <v>6048</v>
      </c>
      <c r="B4445" s="2">
        <v>45918</v>
      </c>
      <c r="C4445" t="s">
        <v>119</v>
      </c>
      <c r="D4445" t="s">
        <v>1629</v>
      </c>
      <c r="E4445">
        <v>362.59</v>
      </c>
      <c r="F4445" t="s">
        <v>1578</v>
      </c>
      <c r="G4445" t="s">
        <v>1427</v>
      </c>
    </row>
    <row r="4446" spans="1:7">
      <c r="A4446" t="s">
        <v>6049</v>
      </c>
      <c r="B4446" s="2">
        <v>45918</v>
      </c>
      <c r="C4446" t="s">
        <v>61</v>
      </c>
      <c r="D4446" t="s">
        <v>1629</v>
      </c>
      <c r="E4446">
        <v>102</v>
      </c>
      <c r="F4446" t="s">
        <v>1578</v>
      </c>
      <c r="G4446" t="s">
        <v>1428</v>
      </c>
    </row>
    <row r="4447" spans="1:7">
      <c r="A4447" t="s">
        <v>6050</v>
      </c>
      <c r="B4447" s="2">
        <v>45918</v>
      </c>
      <c r="C4447" t="s">
        <v>65</v>
      </c>
      <c r="D4447" t="s">
        <v>1629</v>
      </c>
      <c r="E4447">
        <v>101.5</v>
      </c>
      <c r="F4447" t="s">
        <v>1578</v>
      </c>
      <c r="G4447" t="s">
        <v>1428</v>
      </c>
    </row>
    <row r="4448" spans="1:7">
      <c r="A4448" t="s">
        <v>6051</v>
      </c>
      <c r="B4448" s="2">
        <v>45918</v>
      </c>
      <c r="C4448" t="s">
        <v>68</v>
      </c>
      <c r="D4448" t="s">
        <v>1629</v>
      </c>
      <c r="E4448">
        <v>102</v>
      </c>
      <c r="F4448" t="s">
        <v>1578</v>
      </c>
      <c r="G4448" t="s">
        <v>1428</v>
      </c>
    </row>
    <row r="4449" spans="1:7">
      <c r="A4449" t="s">
        <v>6052</v>
      </c>
      <c r="B4449" s="2">
        <v>45918</v>
      </c>
      <c r="C4449" t="s">
        <v>70</v>
      </c>
      <c r="D4449" t="s">
        <v>1629</v>
      </c>
      <c r="E4449">
        <v>101</v>
      </c>
      <c r="F4449" t="s">
        <v>1578</v>
      </c>
      <c r="G4449" t="s">
        <v>1428</v>
      </c>
    </row>
    <row r="4450" spans="1:7">
      <c r="A4450" t="s">
        <v>6053</v>
      </c>
      <c r="B4450" s="2">
        <v>45918</v>
      </c>
      <c r="C4450" t="s">
        <v>75</v>
      </c>
      <c r="D4450" t="s">
        <v>1629</v>
      </c>
      <c r="E4450">
        <v>101</v>
      </c>
      <c r="F4450" t="s">
        <v>1578</v>
      </c>
      <c r="G4450" t="s">
        <v>1428</v>
      </c>
    </row>
    <row r="4451" spans="1:7">
      <c r="A4451" t="s">
        <v>6054</v>
      </c>
      <c r="B4451" s="2">
        <v>45918</v>
      </c>
      <c r="C4451" t="s">
        <v>77</v>
      </c>
      <c r="D4451" t="s">
        <v>1629</v>
      </c>
      <c r="E4451">
        <v>101</v>
      </c>
      <c r="F4451" t="s">
        <v>1578</v>
      </c>
      <c r="G4451" t="s">
        <v>1428</v>
      </c>
    </row>
    <row r="4452" spans="1:7">
      <c r="A4452" t="s">
        <v>6055</v>
      </c>
      <c r="B4452" s="2">
        <v>45918</v>
      </c>
      <c r="C4452" t="s">
        <v>79</v>
      </c>
      <c r="D4452" t="s">
        <v>1629</v>
      </c>
      <c r="E4452">
        <v>102</v>
      </c>
      <c r="F4452" t="s">
        <v>1578</v>
      </c>
      <c r="G4452" t="s">
        <v>1428</v>
      </c>
    </row>
    <row r="4453" spans="1:7">
      <c r="A4453" t="s">
        <v>6056</v>
      </c>
      <c r="B4453" s="2">
        <v>45918</v>
      </c>
      <c r="C4453" t="s">
        <v>81</v>
      </c>
      <c r="D4453" t="s">
        <v>1629</v>
      </c>
      <c r="E4453">
        <v>202</v>
      </c>
      <c r="F4453" t="s">
        <v>1578</v>
      </c>
      <c r="G4453" t="s">
        <v>1428</v>
      </c>
    </row>
    <row r="4454" spans="1:7">
      <c r="A4454" t="s">
        <v>6057</v>
      </c>
      <c r="B4454" s="2">
        <v>45918</v>
      </c>
      <c r="C4454" t="s">
        <v>110</v>
      </c>
      <c r="D4454" t="s">
        <v>1629</v>
      </c>
      <c r="E4454">
        <v>102</v>
      </c>
      <c r="F4454" t="s">
        <v>1578</v>
      </c>
      <c r="G4454" t="s">
        <v>1428</v>
      </c>
    </row>
    <row r="4455" spans="1:7">
      <c r="A4455" t="s">
        <v>6058</v>
      </c>
      <c r="B4455" s="2">
        <v>45918</v>
      </c>
      <c r="C4455" t="s">
        <v>114</v>
      </c>
      <c r="D4455" t="s">
        <v>1629</v>
      </c>
      <c r="E4455">
        <v>101</v>
      </c>
      <c r="F4455" t="s">
        <v>1578</v>
      </c>
      <c r="G4455" t="s">
        <v>1428</v>
      </c>
    </row>
    <row r="4456" spans="1:7">
      <c r="A4456" t="s">
        <v>6059</v>
      </c>
      <c r="B4456" s="2">
        <v>45918</v>
      </c>
      <c r="C4456" t="s">
        <v>117</v>
      </c>
      <c r="D4456" t="s">
        <v>1629</v>
      </c>
      <c r="E4456">
        <v>100.5</v>
      </c>
      <c r="F4456" t="s">
        <v>1578</v>
      </c>
      <c r="G4456" t="s">
        <v>1428</v>
      </c>
    </row>
    <row r="4457" spans="1:7">
      <c r="A4457" t="s">
        <v>6060</v>
      </c>
      <c r="B4457" s="2">
        <v>45918</v>
      </c>
      <c r="C4457" t="s">
        <v>119</v>
      </c>
      <c r="D4457" t="s">
        <v>1629</v>
      </c>
      <c r="E4457">
        <v>101</v>
      </c>
      <c r="F4457" t="s">
        <v>1578</v>
      </c>
      <c r="G4457" t="s">
        <v>1428</v>
      </c>
    </row>
    <row r="4458" spans="1:7">
      <c r="A4458" t="s">
        <v>6061</v>
      </c>
      <c r="B4458" s="2">
        <v>45918</v>
      </c>
      <c r="C4458" t="s">
        <v>110</v>
      </c>
      <c r="D4458" t="s">
        <v>1683</v>
      </c>
      <c r="E4458">
        <v>501</v>
      </c>
      <c r="F4458" t="s">
        <v>1578</v>
      </c>
      <c r="G4458" t="s">
        <v>849</v>
      </c>
    </row>
    <row r="4459" spans="1:7">
      <c r="A4459" t="s">
        <v>6062</v>
      </c>
      <c r="B4459" s="2">
        <v>45918</v>
      </c>
      <c r="C4459" t="s">
        <v>97</v>
      </c>
      <c r="D4459" t="s">
        <v>1683</v>
      </c>
      <c r="E4459">
        <v>98</v>
      </c>
      <c r="F4459" t="s">
        <v>1578</v>
      </c>
      <c r="G4459" t="s">
        <v>850</v>
      </c>
    </row>
    <row r="4460" spans="1:7">
      <c r="A4460" t="s">
        <v>6063</v>
      </c>
      <c r="B4460" s="2">
        <v>45919</v>
      </c>
      <c r="C4460" t="s">
        <v>61</v>
      </c>
      <c r="D4460" t="s">
        <v>1629</v>
      </c>
      <c r="E4460">
        <v>452.88</v>
      </c>
      <c r="F4460" t="s">
        <v>1578</v>
      </c>
      <c r="G4460" t="s">
        <v>1429</v>
      </c>
    </row>
    <row r="4461" spans="1:7">
      <c r="A4461" t="s">
        <v>6064</v>
      </c>
      <c r="B4461" s="2">
        <v>45919</v>
      </c>
      <c r="C4461" t="s">
        <v>65</v>
      </c>
      <c r="D4461" t="s">
        <v>1629</v>
      </c>
      <c r="E4461">
        <v>450.66</v>
      </c>
      <c r="F4461" t="s">
        <v>1578</v>
      </c>
      <c r="G4461" t="s">
        <v>1429</v>
      </c>
    </row>
    <row r="4462" spans="1:7">
      <c r="A4462" t="s">
        <v>6065</v>
      </c>
      <c r="B4462" s="2">
        <v>45919</v>
      </c>
      <c r="C4462" t="s">
        <v>68</v>
      </c>
      <c r="D4462" t="s">
        <v>1629</v>
      </c>
      <c r="E4462">
        <v>452.88</v>
      </c>
      <c r="F4462" t="s">
        <v>1578</v>
      </c>
      <c r="G4462" t="s">
        <v>1429</v>
      </c>
    </row>
    <row r="4463" spans="1:7">
      <c r="A4463" t="s">
        <v>6066</v>
      </c>
      <c r="B4463" s="2">
        <v>45919</v>
      </c>
      <c r="C4463" t="s">
        <v>70</v>
      </c>
      <c r="D4463" t="s">
        <v>1629</v>
      </c>
      <c r="E4463">
        <v>448.44</v>
      </c>
      <c r="F4463" t="s">
        <v>1578</v>
      </c>
      <c r="G4463" t="s">
        <v>1429</v>
      </c>
    </row>
    <row r="4464" spans="1:7">
      <c r="A4464" t="s">
        <v>6067</v>
      </c>
      <c r="B4464" s="2">
        <v>45919</v>
      </c>
      <c r="C4464" t="s">
        <v>75</v>
      </c>
      <c r="D4464" t="s">
        <v>1629</v>
      </c>
      <c r="E4464">
        <v>448.44</v>
      </c>
      <c r="F4464" t="s">
        <v>1578</v>
      </c>
      <c r="G4464" t="s">
        <v>1429</v>
      </c>
    </row>
    <row r="4465" spans="1:7">
      <c r="A4465" t="s">
        <v>6068</v>
      </c>
      <c r="B4465" s="2">
        <v>45919</v>
      </c>
      <c r="C4465" t="s">
        <v>77</v>
      </c>
      <c r="D4465" t="s">
        <v>1629</v>
      </c>
      <c r="E4465">
        <v>448.44</v>
      </c>
      <c r="F4465" t="s">
        <v>1578</v>
      </c>
      <c r="G4465" t="s">
        <v>1429</v>
      </c>
    </row>
    <row r="4466" spans="1:7">
      <c r="A4466" t="s">
        <v>6069</v>
      </c>
      <c r="B4466" s="2">
        <v>45919</v>
      </c>
      <c r="C4466" t="s">
        <v>79</v>
      </c>
      <c r="D4466" t="s">
        <v>1629</v>
      </c>
      <c r="E4466">
        <v>452.88</v>
      </c>
      <c r="F4466" t="s">
        <v>1578</v>
      </c>
      <c r="G4466" t="s">
        <v>1429</v>
      </c>
    </row>
    <row r="4467" spans="1:7">
      <c r="A4467" t="s">
        <v>6070</v>
      </c>
      <c r="B4467" s="2">
        <v>45919</v>
      </c>
      <c r="C4467" t="s">
        <v>81</v>
      </c>
      <c r="D4467" t="s">
        <v>1629</v>
      </c>
      <c r="E4467">
        <v>896.88</v>
      </c>
      <c r="F4467" t="s">
        <v>1578</v>
      </c>
      <c r="G4467" t="s">
        <v>1429</v>
      </c>
    </row>
    <row r="4468" spans="1:7">
      <c r="A4468" t="s">
        <v>6071</v>
      </c>
      <c r="B4468" s="2">
        <v>45919</v>
      </c>
      <c r="C4468" t="s">
        <v>108</v>
      </c>
      <c r="D4468" t="s">
        <v>1629</v>
      </c>
      <c r="E4468">
        <v>901.32</v>
      </c>
      <c r="F4468" t="s">
        <v>1578</v>
      </c>
      <c r="G4468" t="s">
        <v>1429</v>
      </c>
    </row>
    <row r="4469" spans="1:7">
      <c r="A4469" t="s">
        <v>6072</v>
      </c>
      <c r="B4469" s="2">
        <v>45919</v>
      </c>
      <c r="C4469" t="s">
        <v>110</v>
      </c>
      <c r="D4469" t="s">
        <v>1629</v>
      </c>
      <c r="E4469">
        <v>452.88</v>
      </c>
      <c r="F4469" t="s">
        <v>1578</v>
      </c>
      <c r="G4469" t="s">
        <v>1429</v>
      </c>
    </row>
    <row r="4470" spans="1:7">
      <c r="A4470" t="s">
        <v>6073</v>
      </c>
      <c r="B4470" s="2">
        <v>45919</v>
      </c>
      <c r="C4470" t="s">
        <v>114</v>
      </c>
      <c r="D4470" t="s">
        <v>1629</v>
      </c>
      <c r="E4470">
        <v>448.44</v>
      </c>
      <c r="F4470" t="s">
        <v>1578</v>
      </c>
      <c r="G4470" t="s">
        <v>1429</v>
      </c>
    </row>
    <row r="4471" spans="1:7">
      <c r="A4471" t="s">
        <v>6074</v>
      </c>
      <c r="B4471" s="2">
        <v>45919</v>
      </c>
      <c r="C4471" t="s">
        <v>117</v>
      </c>
      <c r="D4471" t="s">
        <v>1629</v>
      </c>
      <c r="E4471">
        <v>446.22</v>
      </c>
      <c r="F4471" t="s">
        <v>1578</v>
      </c>
      <c r="G4471" t="s">
        <v>1429</v>
      </c>
    </row>
    <row r="4472" spans="1:7">
      <c r="A4472" t="s">
        <v>6075</v>
      </c>
      <c r="B4472" s="2">
        <v>45919</v>
      </c>
      <c r="C4472" t="s">
        <v>119</v>
      </c>
      <c r="D4472" t="s">
        <v>1629</v>
      </c>
      <c r="E4472">
        <v>448.44</v>
      </c>
      <c r="F4472" t="s">
        <v>1578</v>
      </c>
      <c r="G4472" t="s">
        <v>1429</v>
      </c>
    </row>
    <row r="4473" spans="1:7">
      <c r="A4473" t="s">
        <v>6076</v>
      </c>
      <c r="B4473" s="2">
        <v>45919</v>
      </c>
      <c r="C4473" t="s">
        <v>61</v>
      </c>
      <c r="D4473" t="s">
        <v>1629</v>
      </c>
      <c r="E4473">
        <v>80.58</v>
      </c>
      <c r="F4473" t="s">
        <v>1578</v>
      </c>
      <c r="G4473" t="s">
        <v>1430</v>
      </c>
    </row>
    <row r="4474" spans="1:7">
      <c r="A4474" t="s">
        <v>6077</v>
      </c>
      <c r="B4474" s="2">
        <v>45919</v>
      </c>
      <c r="C4474" t="s">
        <v>65</v>
      </c>
      <c r="D4474" t="s">
        <v>1629</v>
      </c>
      <c r="E4474">
        <v>80.180000000000007</v>
      </c>
      <c r="F4474" t="s">
        <v>1578</v>
      </c>
      <c r="G4474" t="s">
        <v>1430</v>
      </c>
    </row>
    <row r="4475" spans="1:7">
      <c r="A4475" t="s">
        <v>6078</v>
      </c>
      <c r="B4475" s="2">
        <v>45919</v>
      </c>
      <c r="C4475" t="s">
        <v>68</v>
      </c>
      <c r="D4475" t="s">
        <v>1629</v>
      </c>
      <c r="E4475">
        <v>80.58</v>
      </c>
      <c r="F4475" t="s">
        <v>1578</v>
      </c>
      <c r="G4475" t="s">
        <v>1430</v>
      </c>
    </row>
    <row r="4476" spans="1:7">
      <c r="A4476" t="s">
        <v>6079</v>
      </c>
      <c r="B4476" s="2">
        <v>45919</v>
      </c>
      <c r="C4476" t="s">
        <v>70</v>
      </c>
      <c r="D4476" t="s">
        <v>1629</v>
      </c>
      <c r="E4476">
        <v>79.790000000000006</v>
      </c>
      <c r="F4476" t="s">
        <v>1578</v>
      </c>
      <c r="G4476" t="s">
        <v>1430</v>
      </c>
    </row>
    <row r="4477" spans="1:7">
      <c r="A4477" t="s">
        <v>6080</v>
      </c>
      <c r="B4477" s="2">
        <v>45919</v>
      </c>
      <c r="C4477" t="s">
        <v>75</v>
      </c>
      <c r="D4477" t="s">
        <v>1629</v>
      </c>
      <c r="E4477">
        <v>79.790000000000006</v>
      </c>
      <c r="F4477" t="s">
        <v>1578</v>
      </c>
      <c r="G4477" t="s">
        <v>1430</v>
      </c>
    </row>
    <row r="4478" spans="1:7">
      <c r="A4478" t="s">
        <v>6081</v>
      </c>
      <c r="B4478" s="2">
        <v>45919</v>
      </c>
      <c r="C4478" t="s">
        <v>77</v>
      </c>
      <c r="D4478" t="s">
        <v>1629</v>
      </c>
      <c r="E4478">
        <v>79.790000000000006</v>
      </c>
      <c r="F4478" t="s">
        <v>1578</v>
      </c>
      <c r="G4478" t="s">
        <v>1430</v>
      </c>
    </row>
    <row r="4479" spans="1:7">
      <c r="A4479" t="s">
        <v>6082</v>
      </c>
      <c r="B4479" s="2">
        <v>45919</v>
      </c>
      <c r="C4479" t="s">
        <v>79</v>
      </c>
      <c r="D4479" t="s">
        <v>1629</v>
      </c>
      <c r="E4479">
        <v>80.58</v>
      </c>
      <c r="F4479" t="s">
        <v>1578</v>
      </c>
      <c r="G4479" t="s">
        <v>1430</v>
      </c>
    </row>
    <row r="4480" spans="1:7">
      <c r="A4480" t="s">
        <v>6083</v>
      </c>
      <c r="B4480" s="2">
        <v>45919</v>
      </c>
      <c r="C4480" t="s">
        <v>81</v>
      </c>
      <c r="D4480" t="s">
        <v>1629</v>
      </c>
      <c r="E4480">
        <v>159.58000000000001</v>
      </c>
      <c r="F4480" t="s">
        <v>1578</v>
      </c>
      <c r="G4480" t="s">
        <v>1430</v>
      </c>
    </row>
    <row r="4481" spans="1:7">
      <c r="A4481" t="s">
        <v>6084</v>
      </c>
      <c r="B4481" s="2">
        <v>45919</v>
      </c>
      <c r="C4481" t="s">
        <v>110</v>
      </c>
      <c r="D4481" t="s">
        <v>1629</v>
      </c>
      <c r="E4481">
        <v>80.58</v>
      </c>
      <c r="F4481" t="s">
        <v>1578</v>
      </c>
      <c r="G4481" t="s">
        <v>1430</v>
      </c>
    </row>
    <row r="4482" spans="1:7">
      <c r="A4482" t="s">
        <v>6085</v>
      </c>
      <c r="B4482" s="2">
        <v>45919</v>
      </c>
      <c r="C4482" t="s">
        <v>114</v>
      </c>
      <c r="D4482" t="s">
        <v>1629</v>
      </c>
      <c r="E4482">
        <v>79.790000000000006</v>
      </c>
      <c r="F4482" t="s">
        <v>1578</v>
      </c>
      <c r="G4482" t="s">
        <v>1430</v>
      </c>
    </row>
    <row r="4483" spans="1:7">
      <c r="A4483" t="s">
        <v>6086</v>
      </c>
      <c r="B4483" s="2">
        <v>45919</v>
      </c>
      <c r="C4483" t="s">
        <v>117</v>
      </c>
      <c r="D4483" t="s">
        <v>1629</v>
      </c>
      <c r="E4483">
        <v>79.400000000000006</v>
      </c>
      <c r="F4483" t="s">
        <v>1578</v>
      </c>
      <c r="G4483" t="s">
        <v>1430</v>
      </c>
    </row>
    <row r="4484" spans="1:7">
      <c r="A4484" t="s">
        <v>6087</v>
      </c>
      <c r="B4484" s="2">
        <v>45919</v>
      </c>
      <c r="C4484" t="s">
        <v>119</v>
      </c>
      <c r="D4484" t="s">
        <v>1629</v>
      </c>
      <c r="E4484">
        <v>79.790000000000006</v>
      </c>
      <c r="F4484" t="s">
        <v>1578</v>
      </c>
      <c r="G4484" t="s">
        <v>1430</v>
      </c>
    </row>
    <row r="4485" spans="1:7">
      <c r="A4485" t="s">
        <v>6088</v>
      </c>
      <c r="B4485" s="2">
        <v>45919</v>
      </c>
      <c r="C4485" t="s">
        <v>75</v>
      </c>
      <c r="D4485" t="s">
        <v>1683</v>
      </c>
      <c r="E4485">
        <v>198</v>
      </c>
      <c r="F4485" t="s">
        <v>1578</v>
      </c>
      <c r="G4485" t="s">
        <v>851</v>
      </c>
    </row>
    <row r="4486" spans="1:7">
      <c r="A4486" t="s">
        <v>6089</v>
      </c>
      <c r="B4486" s="2">
        <v>45919</v>
      </c>
      <c r="C4486" t="s">
        <v>93</v>
      </c>
      <c r="D4486" t="s">
        <v>1683</v>
      </c>
      <c r="E4486">
        <v>406</v>
      </c>
      <c r="F4486" t="s">
        <v>1578</v>
      </c>
      <c r="G4486" t="s">
        <v>852</v>
      </c>
    </row>
    <row r="4487" spans="1:7">
      <c r="A4487" t="s">
        <v>6090</v>
      </c>
      <c r="B4487" s="2">
        <v>45919</v>
      </c>
      <c r="C4487" t="s">
        <v>65</v>
      </c>
      <c r="D4487" t="s">
        <v>1683</v>
      </c>
      <c r="E4487">
        <v>293</v>
      </c>
      <c r="F4487" t="s">
        <v>1578</v>
      </c>
      <c r="G4487" t="s">
        <v>853</v>
      </c>
    </row>
    <row r="4488" spans="1:7">
      <c r="A4488" t="s">
        <v>6091</v>
      </c>
      <c r="B4488" s="2">
        <v>45920</v>
      </c>
      <c r="C4488" t="s">
        <v>61</v>
      </c>
      <c r="D4488" t="s">
        <v>1629</v>
      </c>
      <c r="E4488">
        <v>303.95999999999998</v>
      </c>
      <c r="F4488" t="s">
        <v>1578</v>
      </c>
      <c r="G4488" t="s">
        <v>1431</v>
      </c>
    </row>
    <row r="4489" spans="1:7">
      <c r="A4489" t="s">
        <v>6092</v>
      </c>
      <c r="B4489" s="2">
        <v>45920</v>
      </c>
      <c r="C4489" t="s">
        <v>65</v>
      </c>
      <c r="D4489" t="s">
        <v>1629</v>
      </c>
      <c r="E4489">
        <v>302.47000000000003</v>
      </c>
      <c r="F4489" t="s">
        <v>1578</v>
      </c>
      <c r="G4489" t="s">
        <v>1431</v>
      </c>
    </row>
    <row r="4490" spans="1:7">
      <c r="A4490" t="s">
        <v>6093</v>
      </c>
      <c r="B4490" s="2">
        <v>45920</v>
      </c>
      <c r="C4490" t="s">
        <v>68</v>
      </c>
      <c r="D4490" t="s">
        <v>1629</v>
      </c>
      <c r="E4490">
        <v>303.95999999999998</v>
      </c>
      <c r="F4490" t="s">
        <v>1578</v>
      </c>
      <c r="G4490" t="s">
        <v>1431</v>
      </c>
    </row>
    <row r="4491" spans="1:7">
      <c r="A4491" t="s">
        <v>6094</v>
      </c>
      <c r="B4491" s="2">
        <v>45920</v>
      </c>
      <c r="C4491" t="s">
        <v>70</v>
      </c>
      <c r="D4491" t="s">
        <v>1629</v>
      </c>
      <c r="E4491">
        <v>300.98</v>
      </c>
      <c r="F4491" t="s">
        <v>1578</v>
      </c>
      <c r="G4491" t="s">
        <v>1431</v>
      </c>
    </row>
    <row r="4492" spans="1:7">
      <c r="A4492" t="s">
        <v>6095</v>
      </c>
      <c r="B4492" s="2">
        <v>45920</v>
      </c>
      <c r="C4492" t="s">
        <v>75</v>
      </c>
      <c r="D4492" t="s">
        <v>1629</v>
      </c>
      <c r="E4492">
        <v>300.98</v>
      </c>
      <c r="F4492" t="s">
        <v>1578</v>
      </c>
      <c r="G4492" t="s">
        <v>1431</v>
      </c>
    </row>
    <row r="4493" spans="1:7">
      <c r="A4493" t="s">
        <v>6096</v>
      </c>
      <c r="B4493" s="2">
        <v>45920</v>
      </c>
      <c r="C4493" t="s">
        <v>77</v>
      </c>
      <c r="D4493" t="s">
        <v>1629</v>
      </c>
      <c r="E4493">
        <v>300.98</v>
      </c>
      <c r="F4493" t="s">
        <v>1578</v>
      </c>
      <c r="G4493" t="s">
        <v>1431</v>
      </c>
    </row>
    <row r="4494" spans="1:7">
      <c r="A4494" t="s">
        <v>6097</v>
      </c>
      <c r="B4494" s="2">
        <v>45920</v>
      </c>
      <c r="C4494" t="s">
        <v>79</v>
      </c>
      <c r="D4494" t="s">
        <v>1629</v>
      </c>
      <c r="E4494">
        <v>303.95999999999998</v>
      </c>
      <c r="F4494" t="s">
        <v>1578</v>
      </c>
      <c r="G4494" t="s">
        <v>1431</v>
      </c>
    </row>
    <row r="4495" spans="1:7">
      <c r="A4495" t="s">
        <v>6098</v>
      </c>
      <c r="B4495" s="2">
        <v>45920</v>
      </c>
      <c r="C4495" t="s">
        <v>81</v>
      </c>
      <c r="D4495" t="s">
        <v>1629</v>
      </c>
      <c r="E4495">
        <v>601.96</v>
      </c>
      <c r="F4495" t="s">
        <v>1578</v>
      </c>
      <c r="G4495" t="s">
        <v>1431</v>
      </c>
    </row>
    <row r="4496" spans="1:7">
      <c r="A4496" t="s">
        <v>6099</v>
      </c>
      <c r="B4496" s="2">
        <v>45920</v>
      </c>
      <c r="C4496" t="s">
        <v>108</v>
      </c>
      <c r="D4496" t="s">
        <v>1629</v>
      </c>
      <c r="E4496">
        <v>604.94000000000005</v>
      </c>
      <c r="F4496" t="s">
        <v>1578</v>
      </c>
      <c r="G4496" t="s">
        <v>1431</v>
      </c>
    </row>
    <row r="4497" spans="1:7">
      <c r="A4497" t="s">
        <v>6100</v>
      </c>
      <c r="B4497" s="2">
        <v>45920</v>
      </c>
      <c r="C4497" t="s">
        <v>110</v>
      </c>
      <c r="D4497" t="s">
        <v>1629</v>
      </c>
      <c r="E4497">
        <v>303.95999999999998</v>
      </c>
      <c r="F4497" t="s">
        <v>1578</v>
      </c>
      <c r="G4497" t="s">
        <v>1431</v>
      </c>
    </row>
    <row r="4498" spans="1:7">
      <c r="A4498" t="s">
        <v>6101</v>
      </c>
      <c r="B4498" s="2">
        <v>45920</v>
      </c>
      <c r="C4498" t="s">
        <v>114</v>
      </c>
      <c r="D4498" t="s">
        <v>1629</v>
      </c>
      <c r="E4498">
        <v>300.98</v>
      </c>
      <c r="F4498" t="s">
        <v>1578</v>
      </c>
      <c r="G4498" t="s">
        <v>1431</v>
      </c>
    </row>
    <row r="4499" spans="1:7">
      <c r="A4499" t="s">
        <v>6102</v>
      </c>
      <c r="B4499" s="2">
        <v>45920</v>
      </c>
      <c r="C4499" t="s">
        <v>117</v>
      </c>
      <c r="D4499" t="s">
        <v>1629</v>
      </c>
      <c r="E4499">
        <v>299.49</v>
      </c>
      <c r="F4499" t="s">
        <v>1578</v>
      </c>
      <c r="G4499" t="s">
        <v>1431</v>
      </c>
    </row>
    <row r="4500" spans="1:7">
      <c r="A4500" t="s">
        <v>6103</v>
      </c>
      <c r="B4500" s="2">
        <v>45920</v>
      </c>
      <c r="C4500" t="s">
        <v>119</v>
      </c>
      <c r="D4500" t="s">
        <v>1629</v>
      </c>
      <c r="E4500">
        <v>300.98</v>
      </c>
      <c r="F4500" t="s">
        <v>1578</v>
      </c>
      <c r="G4500" t="s">
        <v>1431</v>
      </c>
    </row>
    <row r="4501" spans="1:7">
      <c r="A4501" t="s">
        <v>6104</v>
      </c>
      <c r="B4501" s="2">
        <v>45920</v>
      </c>
      <c r="C4501" t="s">
        <v>75</v>
      </c>
      <c r="D4501" t="s">
        <v>1629</v>
      </c>
      <c r="E4501">
        <v>247.45</v>
      </c>
      <c r="F4501" t="s">
        <v>1578</v>
      </c>
      <c r="G4501" t="s">
        <v>1432</v>
      </c>
    </row>
    <row r="4502" spans="1:7">
      <c r="A4502" t="s">
        <v>6105</v>
      </c>
      <c r="B4502" s="2">
        <v>45920</v>
      </c>
      <c r="C4502" t="s">
        <v>106</v>
      </c>
      <c r="D4502" t="s">
        <v>1629</v>
      </c>
      <c r="E4502">
        <v>252.35</v>
      </c>
      <c r="F4502" t="s">
        <v>1578</v>
      </c>
      <c r="G4502" t="s">
        <v>1432</v>
      </c>
    </row>
    <row r="4503" spans="1:7">
      <c r="A4503" t="s">
        <v>6106</v>
      </c>
      <c r="B4503" s="2">
        <v>45920</v>
      </c>
      <c r="C4503" t="s">
        <v>108</v>
      </c>
      <c r="D4503" t="s">
        <v>1629</v>
      </c>
      <c r="E4503">
        <v>497.35</v>
      </c>
      <c r="F4503" t="s">
        <v>1578</v>
      </c>
      <c r="G4503" t="s">
        <v>1432</v>
      </c>
    </row>
    <row r="4504" spans="1:7">
      <c r="A4504" t="s">
        <v>6107</v>
      </c>
      <c r="B4504" s="2">
        <v>45920</v>
      </c>
      <c r="C4504" t="s">
        <v>110</v>
      </c>
      <c r="D4504" t="s">
        <v>1629</v>
      </c>
      <c r="E4504">
        <v>249.9</v>
      </c>
      <c r="F4504" t="s">
        <v>1578</v>
      </c>
      <c r="G4504" t="s">
        <v>1432</v>
      </c>
    </row>
    <row r="4505" spans="1:7">
      <c r="A4505" t="s">
        <v>6108</v>
      </c>
      <c r="B4505" s="2">
        <v>45920</v>
      </c>
      <c r="C4505" t="s">
        <v>114</v>
      </c>
      <c r="D4505" t="s">
        <v>1629</v>
      </c>
      <c r="E4505">
        <v>247.45</v>
      </c>
      <c r="F4505" t="s">
        <v>1578</v>
      </c>
      <c r="G4505" t="s">
        <v>1432</v>
      </c>
    </row>
    <row r="4506" spans="1:7">
      <c r="A4506" t="s">
        <v>6109</v>
      </c>
      <c r="B4506" s="2">
        <v>45920</v>
      </c>
      <c r="C4506" t="s">
        <v>117</v>
      </c>
      <c r="D4506" t="s">
        <v>1629</v>
      </c>
      <c r="E4506">
        <v>246.22</v>
      </c>
      <c r="F4506" t="s">
        <v>1578</v>
      </c>
      <c r="G4506" t="s">
        <v>1432</v>
      </c>
    </row>
    <row r="4507" spans="1:7">
      <c r="A4507" t="s">
        <v>6110</v>
      </c>
      <c r="B4507" s="2">
        <v>45920</v>
      </c>
      <c r="C4507" t="s">
        <v>119</v>
      </c>
      <c r="D4507" t="s">
        <v>1629</v>
      </c>
      <c r="E4507">
        <v>247.45</v>
      </c>
      <c r="F4507" t="s">
        <v>1578</v>
      </c>
      <c r="G4507" t="s">
        <v>1432</v>
      </c>
    </row>
    <row r="4508" spans="1:7">
      <c r="A4508" t="s">
        <v>6111</v>
      </c>
      <c r="B4508" s="2">
        <v>45920</v>
      </c>
      <c r="C4508" t="s">
        <v>119</v>
      </c>
      <c r="D4508" t="s">
        <v>1683</v>
      </c>
      <c r="E4508">
        <v>250</v>
      </c>
      <c r="F4508" t="s">
        <v>1578</v>
      </c>
      <c r="G4508" t="s">
        <v>854</v>
      </c>
    </row>
    <row r="4509" spans="1:7">
      <c r="A4509" t="s">
        <v>6112</v>
      </c>
      <c r="B4509" s="2">
        <v>45920</v>
      </c>
      <c r="C4509" t="s">
        <v>84</v>
      </c>
      <c r="D4509" t="s">
        <v>1683</v>
      </c>
      <c r="E4509">
        <v>177</v>
      </c>
      <c r="F4509" t="s">
        <v>1578</v>
      </c>
      <c r="G4509" t="s">
        <v>855</v>
      </c>
    </row>
    <row r="4510" spans="1:7">
      <c r="A4510" t="s">
        <v>6113</v>
      </c>
      <c r="B4510" s="2">
        <v>45920</v>
      </c>
      <c r="C4510" t="s">
        <v>114</v>
      </c>
      <c r="D4510" t="s">
        <v>1683</v>
      </c>
      <c r="E4510">
        <v>440</v>
      </c>
      <c r="F4510" t="s">
        <v>1578</v>
      </c>
      <c r="G4510" t="s">
        <v>856</v>
      </c>
    </row>
    <row r="4511" spans="1:7">
      <c r="A4511" t="s">
        <v>6114</v>
      </c>
      <c r="B4511" s="2">
        <v>45920</v>
      </c>
      <c r="C4511" t="s">
        <v>93</v>
      </c>
      <c r="D4511" t="s">
        <v>1683</v>
      </c>
      <c r="E4511">
        <v>231</v>
      </c>
      <c r="F4511" t="s">
        <v>1578</v>
      </c>
      <c r="G4511" t="s">
        <v>857</v>
      </c>
    </row>
    <row r="4512" spans="1:7">
      <c r="A4512" t="s">
        <v>6115</v>
      </c>
      <c r="B4512" s="2">
        <v>45921</v>
      </c>
      <c r="C4512" t="s">
        <v>75</v>
      </c>
      <c r="D4512" t="s">
        <v>1629</v>
      </c>
      <c r="E4512">
        <v>309.06</v>
      </c>
      <c r="F4512" t="s">
        <v>1578</v>
      </c>
      <c r="G4512" t="s">
        <v>1433</v>
      </c>
    </row>
    <row r="4513" spans="1:7">
      <c r="A4513" t="s">
        <v>6116</v>
      </c>
      <c r="B4513" s="2">
        <v>45921</v>
      </c>
      <c r="C4513" t="s">
        <v>104</v>
      </c>
      <c r="D4513" t="s">
        <v>1629</v>
      </c>
      <c r="E4513">
        <v>630.36</v>
      </c>
      <c r="F4513" t="s">
        <v>1578</v>
      </c>
      <c r="G4513" t="s">
        <v>1433</v>
      </c>
    </row>
    <row r="4514" spans="1:7">
      <c r="A4514" t="s">
        <v>6117</v>
      </c>
      <c r="B4514" s="2">
        <v>45921</v>
      </c>
      <c r="C4514" t="s">
        <v>108</v>
      </c>
      <c r="D4514" t="s">
        <v>1629</v>
      </c>
      <c r="E4514">
        <v>621.17999999999995</v>
      </c>
      <c r="F4514" t="s">
        <v>1578</v>
      </c>
      <c r="G4514" t="s">
        <v>1433</v>
      </c>
    </row>
    <row r="4515" spans="1:7">
      <c r="A4515" t="s">
        <v>6118</v>
      </c>
      <c r="B4515" s="2">
        <v>45921</v>
      </c>
      <c r="C4515" t="s">
        <v>110</v>
      </c>
      <c r="D4515" t="s">
        <v>1629</v>
      </c>
      <c r="E4515">
        <v>312.12</v>
      </c>
      <c r="F4515" t="s">
        <v>1578</v>
      </c>
      <c r="G4515" t="s">
        <v>1433</v>
      </c>
    </row>
    <row r="4516" spans="1:7">
      <c r="A4516" t="s">
        <v>6119</v>
      </c>
      <c r="B4516" s="2">
        <v>45921</v>
      </c>
      <c r="C4516" t="s">
        <v>114</v>
      </c>
      <c r="D4516" t="s">
        <v>1629</v>
      </c>
      <c r="E4516">
        <v>309.06</v>
      </c>
      <c r="F4516" t="s">
        <v>1578</v>
      </c>
      <c r="G4516" t="s">
        <v>1433</v>
      </c>
    </row>
    <row r="4517" spans="1:7">
      <c r="A4517" t="s">
        <v>6120</v>
      </c>
      <c r="B4517" s="2">
        <v>45921</v>
      </c>
      <c r="C4517" t="s">
        <v>117</v>
      </c>
      <c r="D4517" t="s">
        <v>1629</v>
      </c>
      <c r="E4517">
        <v>307.52999999999997</v>
      </c>
      <c r="F4517" t="s">
        <v>1578</v>
      </c>
      <c r="G4517" t="s">
        <v>1433</v>
      </c>
    </row>
    <row r="4518" spans="1:7">
      <c r="A4518" t="s">
        <v>6121</v>
      </c>
      <c r="B4518" s="2">
        <v>45921</v>
      </c>
      <c r="C4518" t="s">
        <v>119</v>
      </c>
      <c r="D4518" t="s">
        <v>1629</v>
      </c>
      <c r="E4518">
        <v>309.06</v>
      </c>
      <c r="F4518" t="s">
        <v>1578</v>
      </c>
      <c r="G4518" t="s">
        <v>1433</v>
      </c>
    </row>
    <row r="4519" spans="1:7">
      <c r="A4519" t="s">
        <v>6122</v>
      </c>
      <c r="B4519" s="2">
        <v>45921</v>
      </c>
      <c r="C4519" t="s">
        <v>61</v>
      </c>
      <c r="D4519" t="s">
        <v>1629</v>
      </c>
      <c r="E4519">
        <v>311.10000000000002</v>
      </c>
      <c r="F4519" t="s">
        <v>1578</v>
      </c>
      <c r="G4519" t="s">
        <v>1434</v>
      </c>
    </row>
    <row r="4520" spans="1:7">
      <c r="A4520" t="s">
        <v>6123</v>
      </c>
      <c r="B4520" s="2">
        <v>45921</v>
      </c>
      <c r="C4520" t="s">
        <v>65</v>
      </c>
      <c r="D4520" t="s">
        <v>1629</v>
      </c>
      <c r="E4520">
        <v>309.58</v>
      </c>
      <c r="F4520" t="s">
        <v>1578</v>
      </c>
      <c r="G4520" t="s">
        <v>1434</v>
      </c>
    </row>
    <row r="4521" spans="1:7">
      <c r="A4521" t="s">
        <v>6124</v>
      </c>
      <c r="B4521" s="2">
        <v>45921</v>
      </c>
      <c r="C4521" t="s">
        <v>75</v>
      </c>
      <c r="D4521" t="s">
        <v>1629</v>
      </c>
      <c r="E4521">
        <v>308.05</v>
      </c>
      <c r="F4521" t="s">
        <v>1578</v>
      </c>
      <c r="G4521" t="s">
        <v>1434</v>
      </c>
    </row>
    <row r="4522" spans="1:7">
      <c r="A4522" t="s">
        <v>6125</v>
      </c>
      <c r="B4522" s="2">
        <v>45921</v>
      </c>
      <c r="C4522" t="s">
        <v>79</v>
      </c>
      <c r="D4522" t="s">
        <v>1629</v>
      </c>
      <c r="E4522">
        <v>311.10000000000002</v>
      </c>
      <c r="F4522" t="s">
        <v>1578</v>
      </c>
      <c r="G4522" t="s">
        <v>1434</v>
      </c>
    </row>
    <row r="4523" spans="1:7">
      <c r="A4523" t="s">
        <v>6126</v>
      </c>
      <c r="B4523" s="2">
        <v>45921</v>
      </c>
      <c r="C4523" t="s">
        <v>81</v>
      </c>
      <c r="D4523" t="s">
        <v>1629</v>
      </c>
      <c r="E4523">
        <v>616.1</v>
      </c>
      <c r="F4523" t="s">
        <v>1578</v>
      </c>
      <c r="G4523" t="s">
        <v>1434</v>
      </c>
    </row>
    <row r="4524" spans="1:7">
      <c r="A4524" t="s">
        <v>6127</v>
      </c>
      <c r="B4524" s="2">
        <v>45921</v>
      </c>
      <c r="C4524" t="s">
        <v>84</v>
      </c>
      <c r="D4524" t="s">
        <v>1629</v>
      </c>
      <c r="E4524">
        <v>109.95</v>
      </c>
      <c r="F4524" t="s">
        <v>1578</v>
      </c>
      <c r="G4524" t="s">
        <v>1434</v>
      </c>
    </row>
    <row r="4525" spans="1:7">
      <c r="A4525" t="s">
        <v>6128</v>
      </c>
      <c r="B4525" s="2">
        <v>45921</v>
      </c>
      <c r="C4525" t="s">
        <v>89</v>
      </c>
      <c r="D4525" t="s">
        <v>1629</v>
      </c>
      <c r="E4525">
        <v>468.94</v>
      </c>
      <c r="F4525" t="s">
        <v>1578</v>
      </c>
      <c r="G4525" t="s">
        <v>1434</v>
      </c>
    </row>
    <row r="4526" spans="1:7">
      <c r="A4526" t="s">
        <v>6129</v>
      </c>
      <c r="B4526" s="2">
        <v>45921</v>
      </c>
      <c r="C4526" t="s">
        <v>110</v>
      </c>
      <c r="D4526" t="s">
        <v>1629</v>
      </c>
      <c r="E4526">
        <v>311.10000000000002</v>
      </c>
      <c r="F4526" t="s">
        <v>1578</v>
      </c>
      <c r="G4526" t="s">
        <v>1434</v>
      </c>
    </row>
    <row r="4527" spans="1:7">
      <c r="A4527" t="s">
        <v>6130</v>
      </c>
      <c r="B4527" s="2">
        <v>45921</v>
      </c>
      <c r="C4527" t="s">
        <v>114</v>
      </c>
      <c r="D4527" t="s">
        <v>1629</v>
      </c>
      <c r="E4527">
        <v>308.05</v>
      </c>
      <c r="F4527" t="s">
        <v>1578</v>
      </c>
      <c r="G4527" t="s">
        <v>1434</v>
      </c>
    </row>
    <row r="4528" spans="1:7">
      <c r="A4528" t="s">
        <v>6131</v>
      </c>
      <c r="B4528" s="2">
        <v>45921</v>
      </c>
      <c r="C4528" t="s">
        <v>117</v>
      </c>
      <c r="D4528" t="s">
        <v>1629</v>
      </c>
      <c r="E4528">
        <v>306.52</v>
      </c>
      <c r="F4528" t="s">
        <v>1578</v>
      </c>
      <c r="G4528" t="s">
        <v>1434</v>
      </c>
    </row>
    <row r="4529" spans="1:7">
      <c r="A4529" t="s">
        <v>6132</v>
      </c>
      <c r="B4529" s="2">
        <v>45921</v>
      </c>
      <c r="C4529" t="s">
        <v>119</v>
      </c>
      <c r="D4529" t="s">
        <v>1629</v>
      </c>
      <c r="E4529">
        <v>308.05</v>
      </c>
      <c r="F4529" t="s">
        <v>1578</v>
      </c>
      <c r="G4529" t="s">
        <v>1434</v>
      </c>
    </row>
    <row r="4530" spans="1:7">
      <c r="A4530" t="s">
        <v>6133</v>
      </c>
      <c r="B4530" s="2">
        <v>45921</v>
      </c>
      <c r="C4530" t="s">
        <v>68</v>
      </c>
      <c r="D4530" t="s">
        <v>1683</v>
      </c>
      <c r="E4530">
        <v>953</v>
      </c>
      <c r="F4530" t="s">
        <v>1578</v>
      </c>
      <c r="G4530" t="s">
        <v>858</v>
      </c>
    </row>
    <row r="4531" spans="1:7">
      <c r="A4531" t="s">
        <v>6134</v>
      </c>
      <c r="B4531" s="2">
        <v>45922</v>
      </c>
      <c r="C4531" t="s">
        <v>61</v>
      </c>
      <c r="D4531" t="s">
        <v>1629</v>
      </c>
      <c r="E4531">
        <v>308.04000000000002</v>
      </c>
      <c r="F4531" t="s">
        <v>1578</v>
      </c>
      <c r="G4531" t="s">
        <v>1435</v>
      </c>
    </row>
    <row r="4532" spans="1:7">
      <c r="A4532" t="s">
        <v>6135</v>
      </c>
      <c r="B4532" s="2">
        <v>45922</v>
      </c>
      <c r="C4532" t="s">
        <v>65</v>
      </c>
      <c r="D4532" t="s">
        <v>1629</v>
      </c>
      <c r="E4532">
        <v>306.52999999999997</v>
      </c>
      <c r="F4532" t="s">
        <v>1578</v>
      </c>
      <c r="G4532" t="s">
        <v>1435</v>
      </c>
    </row>
    <row r="4533" spans="1:7">
      <c r="A4533" t="s">
        <v>6136</v>
      </c>
      <c r="B4533" s="2">
        <v>45922</v>
      </c>
      <c r="C4533" t="s">
        <v>68</v>
      </c>
      <c r="D4533" t="s">
        <v>1629</v>
      </c>
      <c r="E4533">
        <v>308.04000000000002</v>
      </c>
      <c r="F4533" t="s">
        <v>1578</v>
      </c>
      <c r="G4533" t="s">
        <v>1435</v>
      </c>
    </row>
    <row r="4534" spans="1:7">
      <c r="A4534" t="s">
        <v>6137</v>
      </c>
      <c r="B4534" s="2">
        <v>45922</v>
      </c>
      <c r="C4534" t="s">
        <v>70</v>
      </c>
      <c r="D4534" t="s">
        <v>1629</v>
      </c>
      <c r="E4534">
        <v>305.02</v>
      </c>
      <c r="F4534" t="s">
        <v>1578</v>
      </c>
      <c r="G4534" t="s">
        <v>1435</v>
      </c>
    </row>
    <row r="4535" spans="1:7">
      <c r="A4535" t="s">
        <v>6138</v>
      </c>
      <c r="B4535" s="2">
        <v>45922</v>
      </c>
      <c r="C4535" t="s">
        <v>73</v>
      </c>
      <c r="D4535" t="s">
        <v>1629</v>
      </c>
      <c r="E4535">
        <v>308.04000000000002</v>
      </c>
      <c r="F4535" t="s">
        <v>1578</v>
      </c>
      <c r="G4535" t="s">
        <v>1435</v>
      </c>
    </row>
    <row r="4536" spans="1:7">
      <c r="A4536" t="s">
        <v>6139</v>
      </c>
      <c r="B4536" s="2">
        <v>45922</v>
      </c>
      <c r="C4536" t="s">
        <v>75</v>
      </c>
      <c r="D4536" t="s">
        <v>1629</v>
      </c>
      <c r="E4536">
        <v>305.02</v>
      </c>
      <c r="F4536" t="s">
        <v>1578</v>
      </c>
      <c r="G4536" t="s">
        <v>1435</v>
      </c>
    </row>
    <row r="4537" spans="1:7">
      <c r="A4537" t="s">
        <v>6140</v>
      </c>
      <c r="B4537" s="2">
        <v>45922</v>
      </c>
      <c r="C4537" t="s">
        <v>77</v>
      </c>
      <c r="D4537" t="s">
        <v>1629</v>
      </c>
      <c r="E4537">
        <v>305.02</v>
      </c>
      <c r="F4537" t="s">
        <v>1578</v>
      </c>
      <c r="G4537" t="s">
        <v>1435</v>
      </c>
    </row>
    <row r="4538" spans="1:7">
      <c r="A4538" t="s">
        <v>6141</v>
      </c>
      <c r="B4538" s="2">
        <v>45922</v>
      </c>
      <c r="C4538" t="s">
        <v>79</v>
      </c>
      <c r="D4538" t="s">
        <v>1629</v>
      </c>
      <c r="E4538">
        <v>308.04000000000002</v>
      </c>
      <c r="F4538" t="s">
        <v>1578</v>
      </c>
      <c r="G4538" t="s">
        <v>1435</v>
      </c>
    </row>
    <row r="4539" spans="1:7">
      <c r="A4539" t="s">
        <v>6142</v>
      </c>
      <c r="B4539" s="2">
        <v>45922</v>
      </c>
      <c r="C4539" t="s">
        <v>81</v>
      </c>
      <c r="D4539" t="s">
        <v>1629</v>
      </c>
      <c r="E4539">
        <v>610.04</v>
      </c>
      <c r="F4539" t="s">
        <v>1578</v>
      </c>
      <c r="G4539" t="s">
        <v>1435</v>
      </c>
    </row>
    <row r="4540" spans="1:7">
      <c r="A4540" t="s">
        <v>6143</v>
      </c>
      <c r="B4540" s="2">
        <v>45922</v>
      </c>
      <c r="C4540" t="s">
        <v>108</v>
      </c>
      <c r="D4540" t="s">
        <v>1629</v>
      </c>
      <c r="E4540">
        <v>613.05999999999995</v>
      </c>
      <c r="F4540" t="s">
        <v>1578</v>
      </c>
      <c r="G4540" t="s">
        <v>1435</v>
      </c>
    </row>
    <row r="4541" spans="1:7">
      <c r="A4541" t="s">
        <v>6144</v>
      </c>
      <c r="B4541" s="2">
        <v>45922</v>
      </c>
      <c r="C4541" t="s">
        <v>110</v>
      </c>
      <c r="D4541" t="s">
        <v>1629</v>
      </c>
      <c r="E4541">
        <v>308.04000000000002</v>
      </c>
      <c r="F4541" t="s">
        <v>1578</v>
      </c>
      <c r="G4541" t="s">
        <v>1435</v>
      </c>
    </row>
    <row r="4542" spans="1:7">
      <c r="A4542" t="s">
        <v>6145</v>
      </c>
      <c r="B4542" s="2">
        <v>45922</v>
      </c>
      <c r="C4542" t="s">
        <v>114</v>
      </c>
      <c r="D4542" t="s">
        <v>1629</v>
      </c>
      <c r="E4542">
        <v>305.02</v>
      </c>
      <c r="F4542" t="s">
        <v>1578</v>
      </c>
      <c r="G4542" t="s">
        <v>1435</v>
      </c>
    </row>
    <row r="4543" spans="1:7">
      <c r="A4543" t="s">
        <v>6146</v>
      </c>
      <c r="B4543" s="2">
        <v>45922</v>
      </c>
      <c r="C4543" t="s">
        <v>117</v>
      </c>
      <c r="D4543" t="s">
        <v>1629</v>
      </c>
      <c r="E4543">
        <v>303.51</v>
      </c>
      <c r="F4543" t="s">
        <v>1578</v>
      </c>
      <c r="G4543" t="s">
        <v>1435</v>
      </c>
    </row>
    <row r="4544" spans="1:7">
      <c r="A4544" t="s">
        <v>6147</v>
      </c>
      <c r="B4544" s="2">
        <v>45922</v>
      </c>
      <c r="C4544" t="s">
        <v>119</v>
      </c>
      <c r="D4544" t="s">
        <v>1629</v>
      </c>
      <c r="E4544">
        <v>305.02</v>
      </c>
      <c r="F4544" t="s">
        <v>1578</v>
      </c>
      <c r="G4544" t="s">
        <v>1435</v>
      </c>
    </row>
    <row r="4545" spans="1:7">
      <c r="A4545" t="s">
        <v>6148</v>
      </c>
      <c r="B4545" s="2">
        <v>45922</v>
      </c>
      <c r="C4545" t="s">
        <v>61</v>
      </c>
      <c r="D4545" t="s">
        <v>1629</v>
      </c>
      <c r="E4545">
        <v>107.1</v>
      </c>
      <c r="F4545" t="s">
        <v>1578</v>
      </c>
      <c r="G4545" t="s">
        <v>1436</v>
      </c>
    </row>
    <row r="4546" spans="1:7">
      <c r="A4546" t="s">
        <v>6149</v>
      </c>
      <c r="B4546" s="2">
        <v>45922</v>
      </c>
      <c r="C4546" t="s">
        <v>65</v>
      </c>
      <c r="D4546" t="s">
        <v>1629</v>
      </c>
      <c r="E4546">
        <v>106.57</v>
      </c>
      <c r="F4546" t="s">
        <v>1578</v>
      </c>
      <c r="G4546" t="s">
        <v>1436</v>
      </c>
    </row>
    <row r="4547" spans="1:7">
      <c r="A4547" t="s">
        <v>6150</v>
      </c>
      <c r="B4547" s="2">
        <v>45922</v>
      </c>
      <c r="C4547" t="s">
        <v>68</v>
      </c>
      <c r="D4547" t="s">
        <v>1629</v>
      </c>
      <c r="E4547">
        <v>107.1</v>
      </c>
      <c r="F4547" t="s">
        <v>1578</v>
      </c>
      <c r="G4547" t="s">
        <v>1436</v>
      </c>
    </row>
    <row r="4548" spans="1:7">
      <c r="A4548" t="s">
        <v>6151</v>
      </c>
      <c r="B4548" s="2">
        <v>45922</v>
      </c>
      <c r="C4548" t="s">
        <v>75</v>
      </c>
      <c r="D4548" t="s">
        <v>1629</v>
      </c>
      <c r="E4548">
        <v>106.05</v>
      </c>
      <c r="F4548" t="s">
        <v>1578</v>
      </c>
      <c r="G4548" t="s">
        <v>1436</v>
      </c>
    </row>
    <row r="4549" spans="1:7">
      <c r="A4549" t="s">
        <v>6152</v>
      </c>
      <c r="B4549" s="2">
        <v>45922</v>
      </c>
      <c r="C4549" t="s">
        <v>79</v>
      </c>
      <c r="D4549" t="s">
        <v>1629</v>
      </c>
      <c r="E4549">
        <v>107.1</v>
      </c>
      <c r="F4549" t="s">
        <v>1578</v>
      </c>
      <c r="G4549" t="s">
        <v>1436</v>
      </c>
    </row>
    <row r="4550" spans="1:7">
      <c r="A4550" t="s">
        <v>6153</v>
      </c>
      <c r="B4550" s="2">
        <v>45922</v>
      </c>
      <c r="C4550" t="s">
        <v>81</v>
      </c>
      <c r="D4550" t="s">
        <v>1629</v>
      </c>
      <c r="E4550">
        <v>212.1</v>
      </c>
      <c r="F4550" t="s">
        <v>1578</v>
      </c>
      <c r="G4550" t="s">
        <v>1436</v>
      </c>
    </row>
    <row r="4551" spans="1:7">
      <c r="A4551" t="s">
        <v>6154</v>
      </c>
      <c r="B4551" s="2">
        <v>45922</v>
      </c>
      <c r="C4551" t="s">
        <v>97</v>
      </c>
      <c r="D4551" t="s">
        <v>1629</v>
      </c>
      <c r="E4551">
        <v>107.1</v>
      </c>
      <c r="F4551" t="s">
        <v>1578</v>
      </c>
      <c r="G4551" t="s">
        <v>1436</v>
      </c>
    </row>
    <row r="4552" spans="1:7">
      <c r="A4552" t="s">
        <v>6155</v>
      </c>
      <c r="B4552" s="2">
        <v>45922</v>
      </c>
      <c r="C4552" t="s">
        <v>110</v>
      </c>
      <c r="D4552" t="s">
        <v>1629</v>
      </c>
      <c r="E4552">
        <v>107.1</v>
      </c>
      <c r="F4552" t="s">
        <v>1578</v>
      </c>
      <c r="G4552" t="s">
        <v>1436</v>
      </c>
    </row>
    <row r="4553" spans="1:7">
      <c r="A4553" t="s">
        <v>6156</v>
      </c>
      <c r="B4553" s="2">
        <v>45922</v>
      </c>
      <c r="C4553" t="s">
        <v>114</v>
      </c>
      <c r="D4553" t="s">
        <v>1629</v>
      </c>
      <c r="E4553">
        <v>106.05</v>
      </c>
      <c r="F4553" t="s">
        <v>1578</v>
      </c>
      <c r="G4553" t="s">
        <v>1436</v>
      </c>
    </row>
    <row r="4554" spans="1:7">
      <c r="A4554" t="s">
        <v>6157</v>
      </c>
      <c r="B4554" s="2">
        <v>45922</v>
      </c>
      <c r="C4554" t="s">
        <v>117</v>
      </c>
      <c r="D4554" t="s">
        <v>1629</v>
      </c>
      <c r="E4554">
        <v>105.52</v>
      </c>
      <c r="F4554" t="s">
        <v>1578</v>
      </c>
      <c r="G4554" t="s">
        <v>1436</v>
      </c>
    </row>
    <row r="4555" spans="1:7">
      <c r="A4555" t="s">
        <v>6158</v>
      </c>
      <c r="B4555" s="2">
        <v>45922</v>
      </c>
      <c r="C4555" t="s">
        <v>119</v>
      </c>
      <c r="D4555" t="s">
        <v>1629</v>
      </c>
      <c r="E4555">
        <v>106.05</v>
      </c>
      <c r="F4555" t="s">
        <v>1578</v>
      </c>
      <c r="G4555" t="s">
        <v>1436</v>
      </c>
    </row>
    <row r="4556" spans="1:7">
      <c r="A4556" t="s">
        <v>6159</v>
      </c>
      <c r="B4556" s="2">
        <v>45923</v>
      </c>
      <c r="C4556" t="s">
        <v>95</v>
      </c>
      <c r="D4556" t="s">
        <v>1683</v>
      </c>
      <c r="E4556">
        <v>516</v>
      </c>
      <c r="F4556" t="s">
        <v>1578</v>
      </c>
      <c r="G4556" t="s">
        <v>859</v>
      </c>
    </row>
    <row r="4557" spans="1:7">
      <c r="A4557" t="s">
        <v>6160</v>
      </c>
      <c r="B4557" s="2">
        <v>45923</v>
      </c>
      <c r="C4557" t="s">
        <v>117</v>
      </c>
      <c r="D4557" t="s">
        <v>1683</v>
      </c>
      <c r="E4557">
        <v>279</v>
      </c>
      <c r="F4557" t="s">
        <v>1578</v>
      </c>
      <c r="G4557" t="s">
        <v>860</v>
      </c>
    </row>
    <row r="4558" spans="1:7">
      <c r="A4558" t="s">
        <v>6161</v>
      </c>
      <c r="B4558" s="2">
        <v>45923</v>
      </c>
      <c r="C4558" t="s">
        <v>77</v>
      </c>
      <c r="D4558" t="s">
        <v>1683</v>
      </c>
      <c r="E4558">
        <v>964</v>
      </c>
      <c r="F4558" t="s">
        <v>1578</v>
      </c>
      <c r="G4558" t="s">
        <v>861</v>
      </c>
    </row>
    <row r="4559" spans="1:7">
      <c r="A4559" t="s">
        <v>6162</v>
      </c>
      <c r="B4559" s="2">
        <v>45924</v>
      </c>
      <c r="C4559" t="s">
        <v>75</v>
      </c>
      <c r="D4559" t="s">
        <v>1629</v>
      </c>
      <c r="E4559">
        <v>127.26</v>
      </c>
      <c r="F4559" t="s">
        <v>1578</v>
      </c>
      <c r="G4559" t="s">
        <v>1437</v>
      </c>
    </row>
    <row r="4560" spans="1:7">
      <c r="A4560" t="s">
        <v>6163</v>
      </c>
      <c r="B4560" s="2">
        <v>45924</v>
      </c>
      <c r="C4560" t="s">
        <v>104</v>
      </c>
      <c r="D4560" t="s">
        <v>1629</v>
      </c>
      <c r="E4560">
        <v>259.56</v>
      </c>
      <c r="F4560" t="s">
        <v>1578</v>
      </c>
      <c r="G4560" t="s">
        <v>1437</v>
      </c>
    </row>
    <row r="4561" spans="1:7">
      <c r="A4561" t="s">
        <v>6164</v>
      </c>
      <c r="B4561" s="2">
        <v>45924</v>
      </c>
      <c r="C4561" t="s">
        <v>108</v>
      </c>
      <c r="D4561" t="s">
        <v>1629</v>
      </c>
      <c r="E4561">
        <v>255.78</v>
      </c>
      <c r="F4561" t="s">
        <v>1578</v>
      </c>
      <c r="G4561" t="s">
        <v>1437</v>
      </c>
    </row>
    <row r="4562" spans="1:7">
      <c r="A4562" t="s">
        <v>6165</v>
      </c>
      <c r="B4562" s="2">
        <v>45924</v>
      </c>
      <c r="C4562" t="s">
        <v>110</v>
      </c>
      <c r="D4562" t="s">
        <v>1629</v>
      </c>
      <c r="E4562">
        <v>128.52000000000001</v>
      </c>
      <c r="F4562" t="s">
        <v>1578</v>
      </c>
      <c r="G4562" t="s">
        <v>1437</v>
      </c>
    </row>
    <row r="4563" spans="1:7">
      <c r="A4563" t="s">
        <v>6166</v>
      </c>
      <c r="B4563" s="2">
        <v>45924</v>
      </c>
      <c r="C4563" t="s">
        <v>114</v>
      </c>
      <c r="D4563" t="s">
        <v>1629</v>
      </c>
      <c r="E4563">
        <v>127.26</v>
      </c>
      <c r="F4563" t="s">
        <v>1578</v>
      </c>
      <c r="G4563" t="s">
        <v>1437</v>
      </c>
    </row>
    <row r="4564" spans="1:7">
      <c r="A4564" t="s">
        <v>6167</v>
      </c>
      <c r="B4564" s="2">
        <v>45924</v>
      </c>
      <c r="C4564" t="s">
        <v>117</v>
      </c>
      <c r="D4564" t="s">
        <v>1629</v>
      </c>
      <c r="E4564">
        <v>126.63</v>
      </c>
      <c r="F4564" t="s">
        <v>1578</v>
      </c>
      <c r="G4564" t="s">
        <v>1437</v>
      </c>
    </row>
    <row r="4565" spans="1:7">
      <c r="A4565" t="s">
        <v>6168</v>
      </c>
      <c r="B4565" s="2">
        <v>45924</v>
      </c>
      <c r="C4565" t="s">
        <v>119</v>
      </c>
      <c r="D4565" t="s">
        <v>1629</v>
      </c>
      <c r="E4565">
        <v>127.26</v>
      </c>
      <c r="F4565" t="s">
        <v>1578</v>
      </c>
      <c r="G4565" t="s">
        <v>1437</v>
      </c>
    </row>
    <row r="4566" spans="1:7">
      <c r="A4566" t="s">
        <v>6169</v>
      </c>
      <c r="B4566" s="2">
        <v>45924</v>
      </c>
      <c r="C4566" t="s">
        <v>61</v>
      </c>
      <c r="D4566" t="s">
        <v>1629</v>
      </c>
      <c r="E4566">
        <v>500.82</v>
      </c>
      <c r="F4566" t="s">
        <v>1578</v>
      </c>
      <c r="G4566" t="s">
        <v>1438</v>
      </c>
    </row>
    <row r="4567" spans="1:7">
      <c r="A4567" t="s">
        <v>6170</v>
      </c>
      <c r="B4567" s="2">
        <v>45924</v>
      </c>
      <c r="C4567" t="s">
        <v>65</v>
      </c>
      <c r="D4567" t="s">
        <v>1629</v>
      </c>
      <c r="E4567">
        <v>498.36</v>
      </c>
      <c r="F4567" t="s">
        <v>1578</v>
      </c>
      <c r="G4567" t="s">
        <v>1438</v>
      </c>
    </row>
    <row r="4568" spans="1:7">
      <c r="A4568" t="s">
        <v>6171</v>
      </c>
      <c r="B4568" s="2">
        <v>45924</v>
      </c>
      <c r="C4568" t="s">
        <v>68</v>
      </c>
      <c r="D4568" t="s">
        <v>1629</v>
      </c>
      <c r="E4568">
        <v>500.82</v>
      </c>
      <c r="F4568" t="s">
        <v>1578</v>
      </c>
      <c r="G4568" t="s">
        <v>1438</v>
      </c>
    </row>
    <row r="4569" spans="1:7">
      <c r="A4569" t="s">
        <v>6172</v>
      </c>
      <c r="B4569" s="2">
        <v>45924</v>
      </c>
      <c r="C4569" t="s">
        <v>70</v>
      </c>
      <c r="D4569" t="s">
        <v>1629</v>
      </c>
      <c r="E4569">
        <v>495.91</v>
      </c>
      <c r="F4569" t="s">
        <v>1578</v>
      </c>
      <c r="G4569" t="s">
        <v>1438</v>
      </c>
    </row>
    <row r="4570" spans="1:7">
      <c r="A4570" t="s">
        <v>6173</v>
      </c>
      <c r="B4570" s="2">
        <v>45924</v>
      </c>
      <c r="C4570" t="s">
        <v>75</v>
      </c>
      <c r="D4570" t="s">
        <v>1629</v>
      </c>
      <c r="E4570">
        <v>495.91</v>
      </c>
      <c r="F4570" t="s">
        <v>1578</v>
      </c>
      <c r="G4570" t="s">
        <v>1438</v>
      </c>
    </row>
    <row r="4571" spans="1:7">
      <c r="A4571" t="s">
        <v>6174</v>
      </c>
      <c r="B4571" s="2">
        <v>45924</v>
      </c>
      <c r="C4571" t="s">
        <v>77</v>
      </c>
      <c r="D4571" t="s">
        <v>1629</v>
      </c>
      <c r="E4571">
        <v>495.91</v>
      </c>
      <c r="F4571" t="s">
        <v>1578</v>
      </c>
      <c r="G4571" t="s">
        <v>1438</v>
      </c>
    </row>
    <row r="4572" spans="1:7">
      <c r="A4572" t="s">
        <v>6175</v>
      </c>
      <c r="B4572" s="2">
        <v>45924</v>
      </c>
      <c r="C4572" t="s">
        <v>79</v>
      </c>
      <c r="D4572" t="s">
        <v>1629</v>
      </c>
      <c r="E4572">
        <v>500.82</v>
      </c>
      <c r="F4572" t="s">
        <v>1578</v>
      </c>
      <c r="G4572" t="s">
        <v>1438</v>
      </c>
    </row>
    <row r="4573" spans="1:7">
      <c r="A4573" t="s">
        <v>6176</v>
      </c>
      <c r="B4573" s="2">
        <v>45924</v>
      </c>
      <c r="C4573" t="s">
        <v>81</v>
      </c>
      <c r="D4573" t="s">
        <v>1629</v>
      </c>
      <c r="E4573">
        <v>991.82</v>
      </c>
      <c r="F4573" t="s">
        <v>1578</v>
      </c>
      <c r="G4573" t="s">
        <v>1438</v>
      </c>
    </row>
    <row r="4574" spans="1:7">
      <c r="A4574" t="s">
        <v>6177</v>
      </c>
      <c r="B4574" s="2">
        <v>45924</v>
      </c>
      <c r="C4574" t="s">
        <v>110</v>
      </c>
      <c r="D4574" t="s">
        <v>1629</v>
      </c>
      <c r="E4574">
        <v>500.82</v>
      </c>
      <c r="F4574" t="s">
        <v>1578</v>
      </c>
      <c r="G4574" t="s">
        <v>1438</v>
      </c>
    </row>
    <row r="4575" spans="1:7">
      <c r="A4575" t="s">
        <v>6178</v>
      </c>
      <c r="B4575" s="2">
        <v>45924</v>
      </c>
      <c r="C4575" t="s">
        <v>114</v>
      </c>
      <c r="D4575" t="s">
        <v>1629</v>
      </c>
      <c r="E4575">
        <v>495.91</v>
      </c>
      <c r="F4575" t="s">
        <v>1578</v>
      </c>
      <c r="G4575" t="s">
        <v>1438</v>
      </c>
    </row>
    <row r="4576" spans="1:7">
      <c r="A4576" t="s">
        <v>6179</v>
      </c>
      <c r="B4576" s="2">
        <v>45924</v>
      </c>
      <c r="C4576" t="s">
        <v>117</v>
      </c>
      <c r="D4576" t="s">
        <v>1629</v>
      </c>
      <c r="E4576">
        <v>493.45</v>
      </c>
      <c r="F4576" t="s">
        <v>1578</v>
      </c>
      <c r="G4576" t="s">
        <v>1438</v>
      </c>
    </row>
    <row r="4577" spans="1:7">
      <c r="A4577" t="s">
        <v>6180</v>
      </c>
      <c r="B4577" s="2">
        <v>45924</v>
      </c>
      <c r="C4577" t="s">
        <v>119</v>
      </c>
      <c r="D4577" t="s">
        <v>1629</v>
      </c>
      <c r="E4577">
        <v>495.91</v>
      </c>
      <c r="F4577" t="s">
        <v>1578</v>
      </c>
      <c r="G4577" t="s">
        <v>1438</v>
      </c>
    </row>
    <row r="4578" spans="1:7">
      <c r="A4578" t="s">
        <v>6181</v>
      </c>
      <c r="B4578" s="2">
        <v>45925</v>
      </c>
      <c r="C4578" t="s">
        <v>79</v>
      </c>
      <c r="D4578" t="s">
        <v>1683</v>
      </c>
      <c r="E4578">
        <v>295</v>
      </c>
      <c r="F4578" t="s">
        <v>1578</v>
      </c>
      <c r="G4578" t="s">
        <v>862</v>
      </c>
    </row>
    <row r="4579" spans="1:7">
      <c r="A4579" t="s">
        <v>6182</v>
      </c>
      <c r="B4579" s="2">
        <v>45925</v>
      </c>
      <c r="C4579" t="s">
        <v>87</v>
      </c>
      <c r="D4579" t="s">
        <v>1683</v>
      </c>
      <c r="E4579">
        <v>92</v>
      </c>
      <c r="F4579" t="s">
        <v>1578</v>
      </c>
      <c r="G4579" t="s">
        <v>863</v>
      </c>
    </row>
    <row r="4580" spans="1:7">
      <c r="A4580" t="s">
        <v>6183</v>
      </c>
      <c r="B4580" s="2">
        <v>45926</v>
      </c>
      <c r="C4580" t="s">
        <v>61</v>
      </c>
      <c r="D4580" t="s">
        <v>1629</v>
      </c>
      <c r="E4580">
        <v>216.24</v>
      </c>
      <c r="F4580" t="s">
        <v>1578</v>
      </c>
      <c r="G4580" t="s">
        <v>1439</v>
      </c>
    </row>
    <row r="4581" spans="1:7">
      <c r="A4581" t="s">
        <v>6184</v>
      </c>
      <c r="B4581" s="2">
        <v>45926</v>
      </c>
      <c r="C4581" t="s">
        <v>65</v>
      </c>
      <c r="D4581" t="s">
        <v>1629</v>
      </c>
      <c r="E4581">
        <v>215.18</v>
      </c>
      <c r="F4581" t="s">
        <v>1578</v>
      </c>
      <c r="G4581" t="s">
        <v>1439</v>
      </c>
    </row>
    <row r="4582" spans="1:7">
      <c r="A4582" t="s">
        <v>6185</v>
      </c>
      <c r="B4582" s="2">
        <v>45926</v>
      </c>
      <c r="C4582" t="s">
        <v>68</v>
      </c>
      <c r="D4582" t="s">
        <v>1629</v>
      </c>
      <c r="E4582">
        <v>216.24</v>
      </c>
      <c r="F4582" t="s">
        <v>1578</v>
      </c>
      <c r="G4582" t="s">
        <v>1439</v>
      </c>
    </row>
    <row r="4583" spans="1:7">
      <c r="A4583" t="s">
        <v>6186</v>
      </c>
      <c r="B4583" s="2">
        <v>45926</v>
      </c>
      <c r="C4583" t="s">
        <v>70</v>
      </c>
      <c r="D4583" t="s">
        <v>1629</v>
      </c>
      <c r="E4583">
        <v>214.12</v>
      </c>
      <c r="F4583" t="s">
        <v>1578</v>
      </c>
      <c r="G4583" t="s">
        <v>1439</v>
      </c>
    </row>
    <row r="4584" spans="1:7">
      <c r="A4584" t="s">
        <v>6187</v>
      </c>
      <c r="B4584" s="2">
        <v>45926</v>
      </c>
      <c r="C4584" t="s">
        <v>75</v>
      </c>
      <c r="D4584" t="s">
        <v>1629</v>
      </c>
      <c r="E4584">
        <v>214.12</v>
      </c>
      <c r="F4584" t="s">
        <v>1578</v>
      </c>
      <c r="G4584" t="s">
        <v>1439</v>
      </c>
    </row>
    <row r="4585" spans="1:7">
      <c r="A4585" t="s">
        <v>6188</v>
      </c>
      <c r="B4585" s="2">
        <v>45926</v>
      </c>
      <c r="C4585" t="s">
        <v>77</v>
      </c>
      <c r="D4585" t="s">
        <v>1629</v>
      </c>
      <c r="E4585">
        <v>214.12</v>
      </c>
      <c r="F4585" t="s">
        <v>1578</v>
      </c>
      <c r="G4585" t="s">
        <v>1439</v>
      </c>
    </row>
    <row r="4586" spans="1:7">
      <c r="A4586" t="s">
        <v>6189</v>
      </c>
      <c r="B4586" s="2">
        <v>45926</v>
      </c>
      <c r="C4586" t="s">
        <v>79</v>
      </c>
      <c r="D4586" t="s">
        <v>1629</v>
      </c>
      <c r="E4586">
        <v>216.24</v>
      </c>
      <c r="F4586" t="s">
        <v>1578</v>
      </c>
      <c r="G4586" t="s">
        <v>1439</v>
      </c>
    </row>
    <row r="4587" spans="1:7">
      <c r="A4587" t="s">
        <v>6190</v>
      </c>
      <c r="B4587" s="2">
        <v>45926</v>
      </c>
      <c r="C4587" t="s">
        <v>81</v>
      </c>
      <c r="D4587" t="s">
        <v>1629</v>
      </c>
      <c r="E4587">
        <v>428.24</v>
      </c>
      <c r="F4587" t="s">
        <v>1578</v>
      </c>
      <c r="G4587" t="s">
        <v>1439</v>
      </c>
    </row>
    <row r="4588" spans="1:7">
      <c r="A4588" t="s">
        <v>6191</v>
      </c>
      <c r="B4588" s="2">
        <v>45926</v>
      </c>
      <c r="C4588" t="s">
        <v>110</v>
      </c>
      <c r="D4588" t="s">
        <v>1629</v>
      </c>
      <c r="E4588">
        <v>216.24</v>
      </c>
      <c r="F4588" t="s">
        <v>1578</v>
      </c>
      <c r="G4588" t="s">
        <v>1439</v>
      </c>
    </row>
    <row r="4589" spans="1:7">
      <c r="A4589" t="s">
        <v>6192</v>
      </c>
      <c r="B4589" s="2">
        <v>45926</v>
      </c>
      <c r="C4589" t="s">
        <v>114</v>
      </c>
      <c r="D4589" t="s">
        <v>1629</v>
      </c>
      <c r="E4589">
        <v>214.12</v>
      </c>
      <c r="F4589" t="s">
        <v>1578</v>
      </c>
      <c r="G4589" t="s">
        <v>1439</v>
      </c>
    </row>
    <row r="4590" spans="1:7">
      <c r="A4590" t="s">
        <v>6193</v>
      </c>
      <c r="B4590" s="2">
        <v>45926</v>
      </c>
      <c r="C4590" t="s">
        <v>117</v>
      </c>
      <c r="D4590" t="s">
        <v>1629</v>
      </c>
      <c r="E4590">
        <v>213.06</v>
      </c>
      <c r="F4590" t="s">
        <v>1578</v>
      </c>
      <c r="G4590" t="s">
        <v>1439</v>
      </c>
    </row>
    <row r="4591" spans="1:7">
      <c r="A4591" t="s">
        <v>6194</v>
      </c>
      <c r="B4591" s="2">
        <v>45926</v>
      </c>
      <c r="C4591" t="s">
        <v>119</v>
      </c>
      <c r="D4591" t="s">
        <v>1629</v>
      </c>
      <c r="E4591">
        <v>214.12</v>
      </c>
      <c r="F4591" t="s">
        <v>1578</v>
      </c>
      <c r="G4591" t="s">
        <v>1439</v>
      </c>
    </row>
    <row r="4592" spans="1:7">
      <c r="A4592" t="s">
        <v>6195</v>
      </c>
      <c r="B4592" s="2">
        <v>45926</v>
      </c>
      <c r="C4592" t="s">
        <v>84</v>
      </c>
      <c r="D4592" t="s">
        <v>1683</v>
      </c>
      <c r="E4592">
        <v>633</v>
      </c>
      <c r="F4592" t="s">
        <v>1578</v>
      </c>
      <c r="G4592" t="s">
        <v>864</v>
      </c>
    </row>
    <row r="4593" spans="1:7">
      <c r="A4593" t="s">
        <v>6196</v>
      </c>
      <c r="B4593" s="2">
        <v>45927</v>
      </c>
      <c r="C4593" t="s">
        <v>61</v>
      </c>
      <c r="D4593" t="s">
        <v>1629</v>
      </c>
      <c r="E4593">
        <v>373.32</v>
      </c>
      <c r="F4593" t="s">
        <v>1578</v>
      </c>
      <c r="G4593" t="s">
        <v>1440</v>
      </c>
    </row>
    <row r="4594" spans="1:7">
      <c r="A4594" t="s">
        <v>6197</v>
      </c>
      <c r="B4594" s="2">
        <v>45927</v>
      </c>
      <c r="C4594" t="s">
        <v>65</v>
      </c>
      <c r="D4594" t="s">
        <v>1629</v>
      </c>
      <c r="E4594">
        <v>371.49</v>
      </c>
      <c r="F4594" t="s">
        <v>1578</v>
      </c>
      <c r="G4594" t="s">
        <v>1440</v>
      </c>
    </row>
    <row r="4595" spans="1:7">
      <c r="A4595" t="s">
        <v>6198</v>
      </c>
      <c r="B4595" s="2">
        <v>45927</v>
      </c>
      <c r="C4595" t="s">
        <v>68</v>
      </c>
      <c r="D4595" t="s">
        <v>1629</v>
      </c>
      <c r="E4595">
        <v>373.32</v>
      </c>
      <c r="F4595" t="s">
        <v>1578</v>
      </c>
      <c r="G4595" t="s">
        <v>1440</v>
      </c>
    </row>
    <row r="4596" spans="1:7">
      <c r="A4596" t="s">
        <v>6199</v>
      </c>
      <c r="B4596" s="2">
        <v>45927</v>
      </c>
      <c r="C4596" t="s">
        <v>70</v>
      </c>
      <c r="D4596" t="s">
        <v>1629</v>
      </c>
      <c r="E4596">
        <v>369.66</v>
      </c>
      <c r="F4596" t="s">
        <v>1578</v>
      </c>
      <c r="G4596" t="s">
        <v>1440</v>
      </c>
    </row>
    <row r="4597" spans="1:7">
      <c r="A4597" t="s">
        <v>6200</v>
      </c>
      <c r="B4597" s="2">
        <v>45927</v>
      </c>
      <c r="C4597" t="s">
        <v>75</v>
      </c>
      <c r="D4597" t="s">
        <v>1629</v>
      </c>
      <c r="E4597">
        <v>369.66</v>
      </c>
      <c r="F4597" t="s">
        <v>1578</v>
      </c>
      <c r="G4597" t="s">
        <v>1440</v>
      </c>
    </row>
    <row r="4598" spans="1:7">
      <c r="A4598" t="s">
        <v>6201</v>
      </c>
      <c r="B4598" s="2">
        <v>45927</v>
      </c>
      <c r="C4598" t="s">
        <v>77</v>
      </c>
      <c r="D4598" t="s">
        <v>1629</v>
      </c>
      <c r="E4598">
        <v>369.66</v>
      </c>
      <c r="F4598" t="s">
        <v>1578</v>
      </c>
      <c r="G4598" t="s">
        <v>1440</v>
      </c>
    </row>
    <row r="4599" spans="1:7">
      <c r="A4599" t="s">
        <v>6202</v>
      </c>
      <c r="B4599" s="2">
        <v>45927</v>
      </c>
      <c r="C4599" t="s">
        <v>79</v>
      </c>
      <c r="D4599" t="s">
        <v>1629</v>
      </c>
      <c r="E4599">
        <v>373.32</v>
      </c>
      <c r="F4599" t="s">
        <v>1578</v>
      </c>
      <c r="G4599" t="s">
        <v>1440</v>
      </c>
    </row>
    <row r="4600" spans="1:7">
      <c r="A4600" t="s">
        <v>6203</v>
      </c>
      <c r="B4600" s="2">
        <v>45927</v>
      </c>
      <c r="C4600" t="s">
        <v>81</v>
      </c>
      <c r="D4600" t="s">
        <v>1629</v>
      </c>
      <c r="E4600">
        <v>739.32</v>
      </c>
      <c r="F4600" t="s">
        <v>1578</v>
      </c>
      <c r="G4600" t="s">
        <v>1440</v>
      </c>
    </row>
    <row r="4601" spans="1:7">
      <c r="A4601" t="s">
        <v>6204</v>
      </c>
      <c r="B4601" s="2">
        <v>45927</v>
      </c>
      <c r="C4601" t="s">
        <v>110</v>
      </c>
      <c r="D4601" t="s">
        <v>1629</v>
      </c>
      <c r="E4601">
        <v>373.32</v>
      </c>
      <c r="F4601" t="s">
        <v>1578</v>
      </c>
      <c r="G4601" t="s">
        <v>1440</v>
      </c>
    </row>
    <row r="4602" spans="1:7">
      <c r="A4602" t="s">
        <v>6205</v>
      </c>
      <c r="B4602" s="2">
        <v>45927</v>
      </c>
      <c r="C4602" t="s">
        <v>114</v>
      </c>
      <c r="D4602" t="s">
        <v>1629</v>
      </c>
      <c r="E4602">
        <v>369.66</v>
      </c>
      <c r="F4602" t="s">
        <v>1578</v>
      </c>
      <c r="G4602" t="s">
        <v>1440</v>
      </c>
    </row>
    <row r="4603" spans="1:7">
      <c r="A4603" t="s">
        <v>6206</v>
      </c>
      <c r="B4603" s="2">
        <v>45927</v>
      </c>
      <c r="C4603" t="s">
        <v>117</v>
      </c>
      <c r="D4603" t="s">
        <v>1629</v>
      </c>
      <c r="E4603">
        <v>367.83</v>
      </c>
      <c r="F4603" t="s">
        <v>1578</v>
      </c>
      <c r="G4603" t="s">
        <v>1440</v>
      </c>
    </row>
    <row r="4604" spans="1:7">
      <c r="A4604" t="s">
        <v>6207</v>
      </c>
      <c r="B4604" s="2">
        <v>45927</v>
      </c>
      <c r="C4604" t="s">
        <v>119</v>
      </c>
      <c r="D4604" t="s">
        <v>1629</v>
      </c>
      <c r="E4604">
        <v>369.66</v>
      </c>
      <c r="F4604" t="s">
        <v>1578</v>
      </c>
      <c r="G4604" t="s">
        <v>1440</v>
      </c>
    </row>
    <row r="4605" spans="1:7">
      <c r="A4605" t="s">
        <v>6208</v>
      </c>
      <c r="B4605" s="2">
        <v>45927</v>
      </c>
      <c r="C4605" t="s">
        <v>89</v>
      </c>
      <c r="D4605" t="s">
        <v>1683</v>
      </c>
      <c r="E4605">
        <v>273</v>
      </c>
      <c r="F4605" t="s">
        <v>1578</v>
      </c>
      <c r="G4605" t="s">
        <v>866</v>
      </c>
    </row>
    <row r="4606" spans="1:7">
      <c r="A4606" t="s">
        <v>6209</v>
      </c>
      <c r="B4606" s="2">
        <v>45927</v>
      </c>
      <c r="C4606" t="s">
        <v>99</v>
      </c>
      <c r="D4606" t="s">
        <v>1683</v>
      </c>
      <c r="E4606">
        <v>297</v>
      </c>
      <c r="F4606" t="s">
        <v>1578</v>
      </c>
      <c r="G4606" t="s">
        <v>867</v>
      </c>
    </row>
    <row r="4607" spans="1:7">
      <c r="A4607" t="s">
        <v>6210</v>
      </c>
      <c r="B4607" s="2">
        <v>45927</v>
      </c>
      <c r="C4607" t="s">
        <v>114</v>
      </c>
      <c r="D4607" t="s">
        <v>1683</v>
      </c>
      <c r="E4607">
        <v>140</v>
      </c>
      <c r="F4607" t="s">
        <v>1578</v>
      </c>
      <c r="G4607" t="s">
        <v>868</v>
      </c>
    </row>
    <row r="4608" spans="1:7">
      <c r="A4608" t="s">
        <v>6211</v>
      </c>
      <c r="B4608" s="2">
        <v>45927</v>
      </c>
      <c r="C4608" t="s">
        <v>75</v>
      </c>
      <c r="D4608" t="s">
        <v>1683</v>
      </c>
      <c r="E4608">
        <v>290</v>
      </c>
      <c r="F4608" t="s">
        <v>1578</v>
      </c>
      <c r="G4608" t="s">
        <v>869</v>
      </c>
    </row>
    <row r="4609" spans="1:7">
      <c r="A4609" t="s">
        <v>6212</v>
      </c>
      <c r="B4609" s="2">
        <v>45928</v>
      </c>
      <c r="C4609" t="s">
        <v>110</v>
      </c>
      <c r="D4609" t="s">
        <v>1683</v>
      </c>
      <c r="E4609">
        <v>322</v>
      </c>
      <c r="F4609" t="s">
        <v>1578</v>
      </c>
      <c r="G4609" t="s">
        <v>871</v>
      </c>
    </row>
    <row r="4610" spans="1:7">
      <c r="A4610" t="s">
        <v>6213</v>
      </c>
      <c r="B4610" s="2">
        <v>45929</v>
      </c>
      <c r="C4610" t="s">
        <v>61</v>
      </c>
      <c r="D4610" t="s">
        <v>1629</v>
      </c>
      <c r="E4610">
        <v>327.42</v>
      </c>
      <c r="F4610" t="s">
        <v>1578</v>
      </c>
      <c r="G4610" t="s">
        <v>1441</v>
      </c>
    </row>
    <row r="4611" spans="1:7">
      <c r="A4611" t="s">
        <v>6214</v>
      </c>
      <c r="B4611" s="2">
        <v>45929</v>
      </c>
      <c r="C4611" t="s">
        <v>65</v>
      </c>
      <c r="D4611" t="s">
        <v>1629</v>
      </c>
      <c r="E4611">
        <v>325.81</v>
      </c>
      <c r="F4611" t="s">
        <v>1578</v>
      </c>
      <c r="G4611" t="s">
        <v>1441</v>
      </c>
    </row>
    <row r="4612" spans="1:7">
      <c r="A4612" t="s">
        <v>6215</v>
      </c>
      <c r="B4612" s="2">
        <v>45929</v>
      </c>
      <c r="C4612" t="s">
        <v>68</v>
      </c>
      <c r="D4612" t="s">
        <v>1629</v>
      </c>
      <c r="E4612">
        <v>327.42</v>
      </c>
      <c r="F4612" t="s">
        <v>1578</v>
      </c>
      <c r="G4612" t="s">
        <v>1441</v>
      </c>
    </row>
    <row r="4613" spans="1:7">
      <c r="A4613" t="s">
        <v>6216</v>
      </c>
      <c r="B4613" s="2">
        <v>45929</v>
      </c>
      <c r="C4613" t="s">
        <v>70</v>
      </c>
      <c r="D4613" t="s">
        <v>1629</v>
      </c>
      <c r="E4613">
        <v>324.20999999999998</v>
      </c>
      <c r="F4613" t="s">
        <v>1578</v>
      </c>
      <c r="G4613" t="s">
        <v>1441</v>
      </c>
    </row>
    <row r="4614" spans="1:7">
      <c r="A4614" t="s">
        <v>6217</v>
      </c>
      <c r="B4614" s="2">
        <v>45929</v>
      </c>
      <c r="C4614" t="s">
        <v>75</v>
      </c>
      <c r="D4614" t="s">
        <v>1629</v>
      </c>
      <c r="E4614">
        <v>324.20999999999998</v>
      </c>
      <c r="F4614" t="s">
        <v>1578</v>
      </c>
      <c r="G4614" t="s">
        <v>1441</v>
      </c>
    </row>
    <row r="4615" spans="1:7">
      <c r="A4615" t="s">
        <v>6218</v>
      </c>
      <c r="B4615" s="2">
        <v>45929</v>
      </c>
      <c r="C4615" t="s">
        <v>77</v>
      </c>
      <c r="D4615" t="s">
        <v>1629</v>
      </c>
      <c r="E4615">
        <v>324.20999999999998</v>
      </c>
      <c r="F4615" t="s">
        <v>1578</v>
      </c>
      <c r="G4615" t="s">
        <v>1441</v>
      </c>
    </row>
    <row r="4616" spans="1:7">
      <c r="A4616" t="s">
        <v>6219</v>
      </c>
      <c r="B4616" s="2">
        <v>45929</v>
      </c>
      <c r="C4616" t="s">
        <v>79</v>
      </c>
      <c r="D4616" t="s">
        <v>1629</v>
      </c>
      <c r="E4616">
        <v>327.42</v>
      </c>
      <c r="F4616" t="s">
        <v>1578</v>
      </c>
      <c r="G4616" t="s">
        <v>1441</v>
      </c>
    </row>
    <row r="4617" spans="1:7">
      <c r="A4617" t="s">
        <v>6220</v>
      </c>
      <c r="B4617" s="2">
        <v>45929</v>
      </c>
      <c r="C4617" t="s">
        <v>81</v>
      </c>
      <c r="D4617" t="s">
        <v>1629</v>
      </c>
      <c r="E4617">
        <v>648.41999999999996</v>
      </c>
      <c r="F4617" t="s">
        <v>1578</v>
      </c>
      <c r="G4617" t="s">
        <v>1441</v>
      </c>
    </row>
    <row r="4618" spans="1:7">
      <c r="A4618" t="s">
        <v>6221</v>
      </c>
      <c r="B4618" s="2">
        <v>45929</v>
      </c>
      <c r="C4618" t="s">
        <v>110</v>
      </c>
      <c r="D4618" t="s">
        <v>1629</v>
      </c>
      <c r="E4618">
        <v>327.42</v>
      </c>
      <c r="F4618" t="s">
        <v>1578</v>
      </c>
      <c r="G4618" t="s">
        <v>1441</v>
      </c>
    </row>
    <row r="4619" spans="1:7">
      <c r="A4619" t="s">
        <v>6222</v>
      </c>
      <c r="B4619" s="2">
        <v>45929</v>
      </c>
      <c r="C4619" t="s">
        <v>114</v>
      </c>
      <c r="D4619" t="s">
        <v>1629</v>
      </c>
      <c r="E4619">
        <v>324.20999999999998</v>
      </c>
      <c r="F4619" t="s">
        <v>1578</v>
      </c>
      <c r="G4619" t="s">
        <v>1441</v>
      </c>
    </row>
    <row r="4620" spans="1:7">
      <c r="A4620" t="s">
        <v>6223</v>
      </c>
      <c r="B4620" s="2">
        <v>45929</v>
      </c>
      <c r="C4620" t="s">
        <v>117</v>
      </c>
      <c r="D4620" t="s">
        <v>1629</v>
      </c>
      <c r="E4620">
        <v>322.60000000000002</v>
      </c>
      <c r="F4620" t="s">
        <v>1578</v>
      </c>
      <c r="G4620" t="s">
        <v>1441</v>
      </c>
    </row>
    <row r="4621" spans="1:7">
      <c r="A4621" t="s">
        <v>6224</v>
      </c>
      <c r="B4621" s="2">
        <v>45929</v>
      </c>
      <c r="C4621" t="s">
        <v>119</v>
      </c>
      <c r="D4621" t="s">
        <v>1629</v>
      </c>
      <c r="E4621">
        <v>324.20999999999998</v>
      </c>
      <c r="F4621" t="s">
        <v>1578</v>
      </c>
      <c r="G4621" t="s">
        <v>1441</v>
      </c>
    </row>
    <row r="4622" spans="1:7">
      <c r="A4622" t="s">
        <v>6225</v>
      </c>
      <c r="B4622" s="2">
        <v>45929</v>
      </c>
      <c r="C4622" t="s">
        <v>79</v>
      </c>
      <c r="D4622" t="s">
        <v>1683</v>
      </c>
      <c r="E4622">
        <v>81</v>
      </c>
      <c r="F4622" t="s">
        <v>1578</v>
      </c>
      <c r="G4622" t="s">
        <v>872</v>
      </c>
    </row>
    <row r="4623" spans="1:7">
      <c r="A4623" t="s">
        <v>6226</v>
      </c>
      <c r="B4623" s="2">
        <v>45929</v>
      </c>
      <c r="C4623" t="s">
        <v>91</v>
      </c>
      <c r="D4623" t="s">
        <v>1683</v>
      </c>
      <c r="E4623">
        <v>483</v>
      </c>
      <c r="F4623" t="s">
        <v>1578</v>
      </c>
      <c r="G4623" t="s">
        <v>873</v>
      </c>
    </row>
    <row r="4624" spans="1:7">
      <c r="A4624" t="s">
        <v>6227</v>
      </c>
      <c r="B4624" s="2">
        <v>45930</v>
      </c>
      <c r="C4624" t="s">
        <v>75</v>
      </c>
      <c r="D4624" t="s">
        <v>1629</v>
      </c>
      <c r="E4624">
        <v>105.04</v>
      </c>
      <c r="F4624" t="s">
        <v>1578</v>
      </c>
      <c r="G4624" t="s">
        <v>1442</v>
      </c>
    </row>
    <row r="4625" spans="1:7">
      <c r="A4625" t="s">
        <v>6228</v>
      </c>
      <c r="B4625" s="2">
        <v>45930</v>
      </c>
      <c r="C4625" t="s">
        <v>91</v>
      </c>
      <c r="D4625" t="s">
        <v>1629</v>
      </c>
      <c r="E4625">
        <v>106.6</v>
      </c>
      <c r="F4625" t="s">
        <v>1578</v>
      </c>
      <c r="G4625" t="s">
        <v>1442</v>
      </c>
    </row>
    <row r="4626" spans="1:7">
      <c r="A4626" t="s">
        <v>6229</v>
      </c>
      <c r="B4626" s="2">
        <v>45930</v>
      </c>
      <c r="C4626" t="s">
        <v>93</v>
      </c>
      <c r="D4626" t="s">
        <v>1629</v>
      </c>
      <c r="E4626">
        <v>106.08</v>
      </c>
      <c r="F4626" t="s">
        <v>1578</v>
      </c>
      <c r="G4626" t="s">
        <v>1442</v>
      </c>
    </row>
    <row r="4627" spans="1:7">
      <c r="A4627" t="s">
        <v>6230</v>
      </c>
      <c r="B4627" s="2">
        <v>45930</v>
      </c>
      <c r="C4627" t="s">
        <v>95</v>
      </c>
      <c r="D4627" t="s">
        <v>1629</v>
      </c>
      <c r="E4627">
        <v>105.56</v>
      </c>
      <c r="F4627" t="s">
        <v>1578</v>
      </c>
      <c r="G4627" t="s">
        <v>1442</v>
      </c>
    </row>
    <row r="4628" spans="1:7">
      <c r="A4628" t="s">
        <v>6231</v>
      </c>
      <c r="B4628" s="2">
        <v>45930</v>
      </c>
      <c r="C4628" t="s">
        <v>97</v>
      </c>
      <c r="D4628" t="s">
        <v>1629</v>
      </c>
      <c r="E4628">
        <v>105.04</v>
      </c>
      <c r="F4628" t="s">
        <v>1578</v>
      </c>
      <c r="G4628" t="s">
        <v>1442</v>
      </c>
    </row>
    <row r="4629" spans="1:7">
      <c r="A4629" t="s">
        <v>6232</v>
      </c>
      <c r="B4629" s="2">
        <v>45930</v>
      </c>
      <c r="C4629" t="s">
        <v>99</v>
      </c>
      <c r="D4629" t="s">
        <v>1629</v>
      </c>
      <c r="E4629">
        <v>128.54</v>
      </c>
      <c r="F4629" t="s">
        <v>1578</v>
      </c>
      <c r="G4629" t="s">
        <v>1442</v>
      </c>
    </row>
    <row r="4630" spans="1:7">
      <c r="A4630" t="s">
        <v>6233</v>
      </c>
      <c r="B4630" s="2">
        <v>45930</v>
      </c>
      <c r="C4630" t="s">
        <v>102</v>
      </c>
      <c r="D4630" t="s">
        <v>1629</v>
      </c>
      <c r="E4630">
        <v>106.08</v>
      </c>
      <c r="F4630" t="s">
        <v>1578</v>
      </c>
      <c r="G4630" t="s">
        <v>1442</v>
      </c>
    </row>
    <row r="4631" spans="1:7">
      <c r="A4631" t="s">
        <v>6234</v>
      </c>
      <c r="B4631" s="2">
        <v>45930</v>
      </c>
      <c r="C4631" t="s">
        <v>108</v>
      </c>
      <c r="D4631" t="s">
        <v>1629</v>
      </c>
      <c r="E4631">
        <v>211.12</v>
      </c>
      <c r="F4631" t="s">
        <v>1578</v>
      </c>
      <c r="G4631" t="s">
        <v>1442</v>
      </c>
    </row>
    <row r="4632" spans="1:7">
      <c r="A4632" t="s">
        <v>6235</v>
      </c>
      <c r="B4632" s="2">
        <v>45930</v>
      </c>
      <c r="C4632" t="s">
        <v>110</v>
      </c>
      <c r="D4632" t="s">
        <v>1629</v>
      </c>
      <c r="E4632">
        <v>106.08</v>
      </c>
      <c r="F4632" t="s">
        <v>1578</v>
      </c>
      <c r="G4632" t="s">
        <v>1442</v>
      </c>
    </row>
    <row r="4633" spans="1:7">
      <c r="A4633" t="s">
        <v>6236</v>
      </c>
      <c r="B4633" s="2">
        <v>45930</v>
      </c>
      <c r="C4633" t="s">
        <v>114</v>
      </c>
      <c r="D4633" t="s">
        <v>1629</v>
      </c>
      <c r="E4633">
        <v>105.04</v>
      </c>
      <c r="F4633" t="s">
        <v>1578</v>
      </c>
      <c r="G4633" t="s">
        <v>1442</v>
      </c>
    </row>
    <row r="4634" spans="1:7">
      <c r="A4634" t="s">
        <v>6237</v>
      </c>
      <c r="B4634" s="2">
        <v>45930</v>
      </c>
      <c r="C4634" t="s">
        <v>117</v>
      </c>
      <c r="D4634" t="s">
        <v>1629</v>
      </c>
      <c r="E4634">
        <v>104.52</v>
      </c>
      <c r="F4634" t="s">
        <v>1578</v>
      </c>
      <c r="G4634" t="s">
        <v>1442</v>
      </c>
    </row>
    <row r="4635" spans="1:7">
      <c r="A4635" t="s">
        <v>6238</v>
      </c>
      <c r="B4635" s="2">
        <v>45930</v>
      </c>
      <c r="C4635" t="s">
        <v>119</v>
      </c>
      <c r="D4635" t="s">
        <v>1629</v>
      </c>
      <c r="E4635">
        <v>105.04</v>
      </c>
      <c r="F4635" t="s">
        <v>1578</v>
      </c>
      <c r="G4635" t="s">
        <v>1442</v>
      </c>
    </row>
    <row r="4636" spans="1:7">
      <c r="A4636" t="s">
        <v>6239</v>
      </c>
      <c r="B4636" s="2">
        <v>45930</v>
      </c>
      <c r="C4636" t="s">
        <v>75</v>
      </c>
      <c r="D4636" t="s">
        <v>1629</v>
      </c>
      <c r="E4636">
        <v>215.13</v>
      </c>
      <c r="F4636" t="s">
        <v>1578</v>
      </c>
      <c r="G4636" t="s">
        <v>1443</v>
      </c>
    </row>
    <row r="4637" spans="1:7">
      <c r="A4637" t="s">
        <v>6240</v>
      </c>
      <c r="B4637" s="2">
        <v>45930</v>
      </c>
      <c r="C4637" t="s">
        <v>91</v>
      </c>
      <c r="D4637" t="s">
        <v>1629</v>
      </c>
      <c r="E4637">
        <v>218.32</v>
      </c>
      <c r="F4637" t="s">
        <v>1578</v>
      </c>
      <c r="G4637" t="s">
        <v>1443</v>
      </c>
    </row>
    <row r="4638" spans="1:7">
      <c r="A4638" t="s">
        <v>6241</v>
      </c>
      <c r="B4638" s="2">
        <v>45930</v>
      </c>
      <c r="C4638" t="s">
        <v>93</v>
      </c>
      <c r="D4638" t="s">
        <v>1629</v>
      </c>
      <c r="E4638">
        <v>217.26</v>
      </c>
      <c r="F4638" t="s">
        <v>1578</v>
      </c>
      <c r="G4638" t="s">
        <v>1443</v>
      </c>
    </row>
    <row r="4639" spans="1:7">
      <c r="A4639" t="s">
        <v>6242</v>
      </c>
      <c r="B4639" s="2">
        <v>45930</v>
      </c>
      <c r="C4639" t="s">
        <v>95</v>
      </c>
      <c r="D4639" t="s">
        <v>1629</v>
      </c>
      <c r="E4639">
        <v>216.2</v>
      </c>
      <c r="F4639" t="s">
        <v>1578</v>
      </c>
      <c r="G4639" t="s">
        <v>1443</v>
      </c>
    </row>
    <row r="4640" spans="1:7">
      <c r="A4640" t="s">
        <v>6243</v>
      </c>
      <c r="B4640" s="2">
        <v>45930</v>
      </c>
      <c r="C4640" t="s">
        <v>97</v>
      </c>
      <c r="D4640" t="s">
        <v>1629</v>
      </c>
      <c r="E4640">
        <v>215.13</v>
      </c>
      <c r="F4640" t="s">
        <v>1578</v>
      </c>
      <c r="G4640" t="s">
        <v>1443</v>
      </c>
    </row>
    <row r="4641" spans="1:7">
      <c r="A4641" t="s">
        <v>6244</v>
      </c>
      <c r="B4641" s="2">
        <v>45930</v>
      </c>
      <c r="C4641" t="s">
        <v>99</v>
      </c>
      <c r="D4641" t="s">
        <v>1629</v>
      </c>
      <c r="E4641">
        <v>263.27</v>
      </c>
      <c r="F4641" t="s">
        <v>1578</v>
      </c>
      <c r="G4641" t="s">
        <v>1443</v>
      </c>
    </row>
    <row r="4642" spans="1:7">
      <c r="A4642" t="s">
        <v>6245</v>
      </c>
      <c r="B4642" s="2">
        <v>45930</v>
      </c>
      <c r="C4642" t="s">
        <v>102</v>
      </c>
      <c r="D4642" t="s">
        <v>1629</v>
      </c>
      <c r="E4642">
        <v>217.26</v>
      </c>
      <c r="F4642" t="s">
        <v>1578</v>
      </c>
      <c r="G4642" t="s">
        <v>1443</v>
      </c>
    </row>
    <row r="4643" spans="1:7">
      <c r="A4643" t="s">
        <v>6246</v>
      </c>
      <c r="B4643" s="2">
        <v>45930</v>
      </c>
      <c r="C4643" t="s">
        <v>108</v>
      </c>
      <c r="D4643" t="s">
        <v>1629</v>
      </c>
      <c r="E4643">
        <v>432.39</v>
      </c>
      <c r="F4643" t="s">
        <v>1578</v>
      </c>
      <c r="G4643" t="s">
        <v>1443</v>
      </c>
    </row>
    <row r="4644" spans="1:7">
      <c r="A4644" t="s">
        <v>6247</v>
      </c>
      <c r="B4644" s="2">
        <v>45930</v>
      </c>
      <c r="C4644" t="s">
        <v>110</v>
      </c>
      <c r="D4644" t="s">
        <v>1629</v>
      </c>
      <c r="E4644">
        <v>217.26</v>
      </c>
      <c r="F4644" t="s">
        <v>1578</v>
      </c>
      <c r="G4644" t="s">
        <v>1443</v>
      </c>
    </row>
    <row r="4645" spans="1:7">
      <c r="A4645" t="s">
        <v>6248</v>
      </c>
      <c r="B4645" s="2">
        <v>45930</v>
      </c>
      <c r="C4645" t="s">
        <v>114</v>
      </c>
      <c r="D4645" t="s">
        <v>1629</v>
      </c>
      <c r="E4645">
        <v>215.13</v>
      </c>
      <c r="F4645" t="s">
        <v>1578</v>
      </c>
      <c r="G4645" t="s">
        <v>1443</v>
      </c>
    </row>
    <row r="4646" spans="1:7">
      <c r="A4646" t="s">
        <v>6249</v>
      </c>
      <c r="B4646" s="2">
        <v>45930</v>
      </c>
      <c r="C4646" t="s">
        <v>117</v>
      </c>
      <c r="D4646" t="s">
        <v>1629</v>
      </c>
      <c r="E4646">
        <v>214.06</v>
      </c>
      <c r="F4646" t="s">
        <v>1578</v>
      </c>
      <c r="G4646" t="s">
        <v>1443</v>
      </c>
    </row>
    <row r="4647" spans="1:7">
      <c r="A4647" t="s">
        <v>6250</v>
      </c>
      <c r="B4647" s="2">
        <v>45930</v>
      </c>
      <c r="C4647" t="s">
        <v>119</v>
      </c>
      <c r="D4647" t="s">
        <v>1629</v>
      </c>
      <c r="E4647">
        <v>215.13</v>
      </c>
      <c r="F4647" t="s">
        <v>1578</v>
      </c>
      <c r="G4647" t="s">
        <v>1443</v>
      </c>
    </row>
    <row r="4648" spans="1:7">
      <c r="A4648" t="s">
        <v>6251</v>
      </c>
      <c r="B4648" s="2">
        <v>45930</v>
      </c>
      <c r="C4648" t="s">
        <v>79</v>
      </c>
      <c r="D4648" t="s">
        <v>1683</v>
      </c>
      <c r="E4648">
        <v>331</v>
      </c>
      <c r="F4648" t="s">
        <v>1578</v>
      </c>
      <c r="G4648" t="s">
        <v>874</v>
      </c>
    </row>
    <row r="4649" spans="1:7">
      <c r="A4649" t="s">
        <v>6252</v>
      </c>
      <c r="B4649" s="2">
        <v>45930</v>
      </c>
      <c r="C4649" t="s">
        <v>87</v>
      </c>
      <c r="D4649" t="s">
        <v>1683</v>
      </c>
      <c r="E4649">
        <v>125</v>
      </c>
      <c r="F4649" t="s">
        <v>1578</v>
      </c>
      <c r="G4649" t="s">
        <v>875</v>
      </c>
    </row>
    <row r="4650" spans="1:7">
      <c r="A4650" t="s">
        <v>6253</v>
      </c>
      <c r="B4650" s="2">
        <v>45930</v>
      </c>
      <c r="C4650" t="s">
        <v>99</v>
      </c>
      <c r="D4650" t="s">
        <v>1683</v>
      </c>
      <c r="E4650">
        <v>127</v>
      </c>
      <c r="F4650" t="s">
        <v>1578</v>
      </c>
      <c r="G4650" t="s">
        <v>876</v>
      </c>
    </row>
    <row r="4651" spans="1:7">
      <c r="A4651" t="s">
        <v>6254</v>
      </c>
      <c r="B4651" s="2">
        <v>45930</v>
      </c>
      <c r="C4651" t="s">
        <v>110</v>
      </c>
      <c r="D4651" t="s">
        <v>1683</v>
      </c>
      <c r="E4651">
        <v>216</v>
      </c>
      <c r="F4651" t="s">
        <v>1578</v>
      </c>
      <c r="G4651" t="s">
        <v>877</v>
      </c>
    </row>
    <row r="4652" spans="1:7">
      <c r="A4652" t="s">
        <v>6255</v>
      </c>
      <c r="B4652" s="2">
        <v>45931</v>
      </c>
      <c r="C4652" t="s">
        <v>61</v>
      </c>
      <c r="D4652" t="s">
        <v>1629</v>
      </c>
      <c r="E4652">
        <v>347.82</v>
      </c>
      <c r="F4652" t="s">
        <v>1578</v>
      </c>
      <c r="G4652" t="s">
        <v>1444</v>
      </c>
    </row>
    <row r="4653" spans="1:7">
      <c r="A4653" t="s">
        <v>6256</v>
      </c>
      <c r="B4653" s="2">
        <v>45931</v>
      </c>
      <c r="C4653" t="s">
        <v>65</v>
      </c>
      <c r="D4653" t="s">
        <v>1629</v>
      </c>
      <c r="E4653">
        <v>346.11</v>
      </c>
      <c r="F4653" t="s">
        <v>1578</v>
      </c>
      <c r="G4653" t="s">
        <v>1444</v>
      </c>
    </row>
    <row r="4654" spans="1:7">
      <c r="A4654" t="s">
        <v>6257</v>
      </c>
      <c r="B4654" s="2">
        <v>45931</v>
      </c>
      <c r="C4654" t="s">
        <v>68</v>
      </c>
      <c r="D4654" t="s">
        <v>1629</v>
      </c>
      <c r="E4654">
        <v>347.82</v>
      </c>
      <c r="F4654" t="s">
        <v>1578</v>
      </c>
      <c r="G4654" t="s">
        <v>1444</v>
      </c>
    </row>
    <row r="4655" spans="1:7">
      <c r="A4655" t="s">
        <v>6258</v>
      </c>
      <c r="B4655" s="2">
        <v>45931</v>
      </c>
      <c r="C4655" t="s">
        <v>70</v>
      </c>
      <c r="D4655" t="s">
        <v>1629</v>
      </c>
      <c r="E4655">
        <v>344.41</v>
      </c>
      <c r="F4655" t="s">
        <v>1578</v>
      </c>
      <c r="G4655" t="s">
        <v>1444</v>
      </c>
    </row>
    <row r="4656" spans="1:7">
      <c r="A4656" t="s">
        <v>6259</v>
      </c>
      <c r="B4656" s="2">
        <v>45931</v>
      </c>
      <c r="C4656" t="s">
        <v>75</v>
      </c>
      <c r="D4656" t="s">
        <v>1629</v>
      </c>
      <c r="E4656">
        <v>344.41</v>
      </c>
      <c r="F4656" t="s">
        <v>1578</v>
      </c>
      <c r="G4656" t="s">
        <v>1444</v>
      </c>
    </row>
    <row r="4657" spans="1:7">
      <c r="A4657" t="s">
        <v>6260</v>
      </c>
      <c r="B4657" s="2">
        <v>45931</v>
      </c>
      <c r="C4657" t="s">
        <v>77</v>
      </c>
      <c r="D4657" t="s">
        <v>1629</v>
      </c>
      <c r="E4657">
        <v>344.41</v>
      </c>
      <c r="F4657" t="s">
        <v>1578</v>
      </c>
      <c r="G4657" t="s">
        <v>1444</v>
      </c>
    </row>
    <row r="4658" spans="1:7">
      <c r="A4658" t="s">
        <v>6261</v>
      </c>
      <c r="B4658" s="2">
        <v>45931</v>
      </c>
      <c r="C4658" t="s">
        <v>79</v>
      </c>
      <c r="D4658" t="s">
        <v>1629</v>
      </c>
      <c r="E4658">
        <v>347.82</v>
      </c>
      <c r="F4658" t="s">
        <v>1578</v>
      </c>
      <c r="G4658" t="s">
        <v>1444</v>
      </c>
    </row>
    <row r="4659" spans="1:7">
      <c r="A4659" t="s">
        <v>6262</v>
      </c>
      <c r="B4659" s="2">
        <v>45931</v>
      </c>
      <c r="C4659" t="s">
        <v>81</v>
      </c>
      <c r="D4659" t="s">
        <v>1629</v>
      </c>
      <c r="E4659">
        <v>688.82</v>
      </c>
      <c r="F4659" t="s">
        <v>1578</v>
      </c>
      <c r="G4659" t="s">
        <v>1444</v>
      </c>
    </row>
    <row r="4660" spans="1:7">
      <c r="A4660" t="s">
        <v>6263</v>
      </c>
      <c r="B4660" s="2">
        <v>45931</v>
      </c>
      <c r="C4660" t="s">
        <v>110</v>
      </c>
      <c r="D4660" t="s">
        <v>1629</v>
      </c>
      <c r="E4660">
        <v>347.82</v>
      </c>
      <c r="F4660" t="s">
        <v>1578</v>
      </c>
      <c r="G4660" t="s">
        <v>1444</v>
      </c>
    </row>
    <row r="4661" spans="1:7">
      <c r="A4661" t="s">
        <v>6264</v>
      </c>
      <c r="B4661" s="2">
        <v>45931</v>
      </c>
      <c r="C4661" t="s">
        <v>114</v>
      </c>
      <c r="D4661" t="s">
        <v>1629</v>
      </c>
      <c r="E4661">
        <v>344.41</v>
      </c>
      <c r="F4661" t="s">
        <v>1578</v>
      </c>
      <c r="G4661" t="s">
        <v>1444</v>
      </c>
    </row>
    <row r="4662" spans="1:7">
      <c r="A4662" t="s">
        <v>6265</v>
      </c>
      <c r="B4662" s="2">
        <v>45931</v>
      </c>
      <c r="C4662" t="s">
        <v>117</v>
      </c>
      <c r="D4662" t="s">
        <v>1629</v>
      </c>
      <c r="E4662">
        <v>342.7</v>
      </c>
      <c r="F4662" t="s">
        <v>1578</v>
      </c>
      <c r="G4662" t="s">
        <v>1444</v>
      </c>
    </row>
    <row r="4663" spans="1:7">
      <c r="A4663" t="s">
        <v>6266</v>
      </c>
      <c r="B4663" s="2">
        <v>45931</v>
      </c>
      <c r="C4663" t="s">
        <v>119</v>
      </c>
      <c r="D4663" t="s">
        <v>1629</v>
      </c>
      <c r="E4663">
        <v>344.41</v>
      </c>
      <c r="F4663" t="s">
        <v>1578</v>
      </c>
      <c r="G4663" t="s">
        <v>1444</v>
      </c>
    </row>
    <row r="4664" spans="1:7">
      <c r="A4664" t="s">
        <v>6267</v>
      </c>
      <c r="B4664" s="2">
        <v>45931</v>
      </c>
      <c r="C4664" t="s">
        <v>117</v>
      </c>
      <c r="D4664" t="s">
        <v>1683</v>
      </c>
      <c r="E4664">
        <v>128</v>
      </c>
      <c r="F4664" t="s">
        <v>1578</v>
      </c>
      <c r="G4664" t="s">
        <v>878</v>
      </c>
    </row>
    <row r="4665" spans="1:7">
      <c r="A4665" t="s">
        <v>6268</v>
      </c>
      <c r="B4665" s="2">
        <v>45932</v>
      </c>
      <c r="C4665" t="s">
        <v>117</v>
      </c>
      <c r="D4665" t="s">
        <v>1683</v>
      </c>
      <c r="E4665">
        <v>221</v>
      </c>
      <c r="F4665" t="s">
        <v>1578</v>
      </c>
      <c r="G4665" t="s">
        <v>879</v>
      </c>
    </row>
    <row r="4666" spans="1:7">
      <c r="A4666" t="s">
        <v>6269</v>
      </c>
      <c r="B4666" s="2">
        <v>45932</v>
      </c>
      <c r="C4666" t="s">
        <v>108</v>
      </c>
      <c r="D4666" t="s">
        <v>1683</v>
      </c>
      <c r="E4666">
        <v>228</v>
      </c>
      <c r="F4666" t="s">
        <v>1578</v>
      </c>
      <c r="G4666" t="s">
        <v>880</v>
      </c>
    </row>
    <row r="4667" spans="1:7">
      <c r="A4667" t="s">
        <v>6270</v>
      </c>
      <c r="B4667" s="2">
        <v>45933</v>
      </c>
      <c r="C4667" t="s">
        <v>75</v>
      </c>
      <c r="D4667" t="s">
        <v>1629</v>
      </c>
      <c r="E4667">
        <v>193.92</v>
      </c>
      <c r="F4667" t="s">
        <v>1578</v>
      </c>
      <c r="G4667" t="s">
        <v>1445</v>
      </c>
    </row>
    <row r="4668" spans="1:7">
      <c r="A4668" t="s">
        <v>6271</v>
      </c>
      <c r="B4668" s="2">
        <v>45933</v>
      </c>
      <c r="C4668" t="s">
        <v>106</v>
      </c>
      <c r="D4668" t="s">
        <v>1629</v>
      </c>
      <c r="E4668">
        <v>197.76</v>
      </c>
      <c r="F4668" t="s">
        <v>1578</v>
      </c>
      <c r="G4668" t="s">
        <v>1445</v>
      </c>
    </row>
    <row r="4669" spans="1:7">
      <c r="A4669" t="s">
        <v>6272</v>
      </c>
      <c r="B4669" s="2">
        <v>45933</v>
      </c>
      <c r="C4669" t="s">
        <v>108</v>
      </c>
      <c r="D4669" t="s">
        <v>1629</v>
      </c>
      <c r="E4669">
        <v>389.76</v>
      </c>
      <c r="F4669" t="s">
        <v>1578</v>
      </c>
      <c r="G4669" t="s">
        <v>1445</v>
      </c>
    </row>
    <row r="4670" spans="1:7">
      <c r="A4670" t="s">
        <v>6273</v>
      </c>
      <c r="B4670" s="2">
        <v>45933</v>
      </c>
      <c r="C4670" t="s">
        <v>110</v>
      </c>
      <c r="D4670" t="s">
        <v>1629</v>
      </c>
      <c r="E4670">
        <v>195.84</v>
      </c>
      <c r="F4670" t="s">
        <v>1578</v>
      </c>
      <c r="G4670" t="s">
        <v>1445</v>
      </c>
    </row>
    <row r="4671" spans="1:7">
      <c r="A4671" t="s">
        <v>6274</v>
      </c>
      <c r="B4671" s="2">
        <v>45933</v>
      </c>
      <c r="C4671" t="s">
        <v>114</v>
      </c>
      <c r="D4671" t="s">
        <v>1629</v>
      </c>
      <c r="E4671">
        <v>193.92</v>
      </c>
      <c r="F4671" t="s">
        <v>1578</v>
      </c>
      <c r="G4671" t="s">
        <v>1445</v>
      </c>
    </row>
    <row r="4672" spans="1:7">
      <c r="A4672" t="s">
        <v>6275</v>
      </c>
      <c r="B4672" s="2">
        <v>45933</v>
      </c>
      <c r="C4672" t="s">
        <v>117</v>
      </c>
      <c r="D4672" t="s">
        <v>1629</v>
      </c>
      <c r="E4672">
        <v>192.96</v>
      </c>
      <c r="F4672" t="s">
        <v>1578</v>
      </c>
      <c r="G4672" t="s">
        <v>1445</v>
      </c>
    </row>
    <row r="4673" spans="1:7">
      <c r="A4673" t="s">
        <v>6276</v>
      </c>
      <c r="B4673" s="2">
        <v>45933</v>
      </c>
      <c r="C4673" t="s">
        <v>119</v>
      </c>
      <c r="D4673" t="s">
        <v>1629</v>
      </c>
      <c r="E4673">
        <v>193.92</v>
      </c>
      <c r="F4673" t="s">
        <v>1578</v>
      </c>
      <c r="G4673" t="s">
        <v>1445</v>
      </c>
    </row>
    <row r="4674" spans="1:7">
      <c r="A4674" t="s">
        <v>6277</v>
      </c>
      <c r="B4674" s="2">
        <v>45934</v>
      </c>
      <c r="C4674" t="s">
        <v>75</v>
      </c>
      <c r="D4674" t="s">
        <v>1629</v>
      </c>
      <c r="E4674">
        <v>175.74</v>
      </c>
      <c r="F4674" t="s">
        <v>1578</v>
      </c>
      <c r="G4674" t="s">
        <v>1446</v>
      </c>
    </row>
    <row r="4675" spans="1:7">
      <c r="A4675" t="s">
        <v>6278</v>
      </c>
      <c r="B4675" s="2">
        <v>45934</v>
      </c>
      <c r="C4675" t="s">
        <v>91</v>
      </c>
      <c r="D4675" t="s">
        <v>1629</v>
      </c>
      <c r="E4675">
        <v>178.35</v>
      </c>
      <c r="F4675" t="s">
        <v>1578</v>
      </c>
      <c r="G4675" t="s">
        <v>1446</v>
      </c>
    </row>
    <row r="4676" spans="1:7">
      <c r="A4676" t="s">
        <v>6279</v>
      </c>
      <c r="B4676" s="2">
        <v>45934</v>
      </c>
      <c r="C4676" t="s">
        <v>93</v>
      </c>
      <c r="D4676" t="s">
        <v>1629</v>
      </c>
      <c r="E4676">
        <v>177.48</v>
      </c>
      <c r="F4676" t="s">
        <v>1578</v>
      </c>
      <c r="G4676" t="s">
        <v>1446</v>
      </c>
    </row>
    <row r="4677" spans="1:7">
      <c r="A4677" t="s">
        <v>6280</v>
      </c>
      <c r="B4677" s="2">
        <v>45934</v>
      </c>
      <c r="C4677" t="s">
        <v>95</v>
      </c>
      <c r="D4677" t="s">
        <v>1629</v>
      </c>
      <c r="E4677">
        <v>176.61</v>
      </c>
      <c r="F4677" t="s">
        <v>1578</v>
      </c>
      <c r="G4677" t="s">
        <v>1446</v>
      </c>
    </row>
    <row r="4678" spans="1:7">
      <c r="A4678" t="s">
        <v>6281</v>
      </c>
      <c r="B4678" s="2">
        <v>45934</v>
      </c>
      <c r="C4678" t="s">
        <v>97</v>
      </c>
      <c r="D4678" t="s">
        <v>1629</v>
      </c>
      <c r="E4678">
        <v>175.74</v>
      </c>
      <c r="F4678" t="s">
        <v>1578</v>
      </c>
      <c r="G4678" t="s">
        <v>1446</v>
      </c>
    </row>
    <row r="4679" spans="1:7">
      <c r="A4679" t="s">
        <v>6282</v>
      </c>
      <c r="B4679" s="2">
        <v>45934</v>
      </c>
      <c r="C4679" t="s">
        <v>99</v>
      </c>
      <c r="D4679" t="s">
        <v>1629</v>
      </c>
      <c r="E4679">
        <v>215.06</v>
      </c>
      <c r="F4679" t="s">
        <v>1578</v>
      </c>
      <c r="G4679" t="s">
        <v>1446</v>
      </c>
    </row>
    <row r="4680" spans="1:7">
      <c r="A4680" t="s">
        <v>6283</v>
      </c>
      <c r="B4680" s="2">
        <v>45934</v>
      </c>
      <c r="C4680" t="s">
        <v>102</v>
      </c>
      <c r="D4680" t="s">
        <v>1629</v>
      </c>
      <c r="E4680">
        <v>177.48</v>
      </c>
      <c r="F4680" t="s">
        <v>1578</v>
      </c>
      <c r="G4680" t="s">
        <v>1446</v>
      </c>
    </row>
    <row r="4681" spans="1:7">
      <c r="A4681" t="s">
        <v>6284</v>
      </c>
      <c r="B4681" s="2">
        <v>45934</v>
      </c>
      <c r="C4681" t="s">
        <v>108</v>
      </c>
      <c r="D4681" t="s">
        <v>1629</v>
      </c>
      <c r="E4681">
        <v>353.22</v>
      </c>
      <c r="F4681" t="s">
        <v>1578</v>
      </c>
      <c r="G4681" t="s">
        <v>1446</v>
      </c>
    </row>
    <row r="4682" spans="1:7">
      <c r="A4682" t="s">
        <v>6285</v>
      </c>
      <c r="B4682" s="2">
        <v>45934</v>
      </c>
      <c r="C4682" t="s">
        <v>110</v>
      </c>
      <c r="D4682" t="s">
        <v>1629</v>
      </c>
      <c r="E4682">
        <v>177.48</v>
      </c>
      <c r="F4682" t="s">
        <v>1578</v>
      </c>
      <c r="G4682" t="s">
        <v>1446</v>
      </c>
    </row>
    <row r="4683" spans="1:7">
      <c r="A4683" t="s">
        <v>6286</v>
      </c>
      <c r="B4683" s="2">
        <v>45934</v>
      </c>
      <c r="C4683" t="s">
        <v>114</v>
      </c>
      <c r="D4683" t="s">
        <v>1629</v>
      </c>
      <c r="E4683">
        <v>175.74</v>
      </c>
      <c r="F4683" t="s">
        <v>1578</v>
      </c>
      <c r="G4683" t="s">
        <v>1446</v>
      </c>
    </row>
    <row r="4684" spans="1:7">
      <c r="A4684" t="s">
        <v>6287</v>
      </c>
      <c r="B4684" s="2">
        <v>45934</v>
      </c>
      <c r="C4684" t="s">
        <v>117</v>
      </c>
      <c r="D4684" t="s">
        <v>1629</v>
      </c>
      <c r="E4684">
        <v>174.87</v>
      </c>
      <c r="F4684" t="s">
        <v>1578</v>
      </c>
      <c r="G4684" t="s">
        <v>1446</v>
      </c>
    </row>
    <row r="4685" spans="1:7">
      <c r="A4685" t="s">
        <v>6288</v>
      </c>
      <c r="B4685" s="2">
        <v>45934</v>
      </c>
      <c r="C4685" t="s">
        <v>119</v>
      </c>
      <c r="D4685" t="s">
        <v>1629</v>
      </c>
      <c r="E4685">
        <v>175.74</v>
      </c>
      <c r="F4685" t="s">
        <v>1578</v>
      </c>
      <c r="G4685" t="s">
        <v>1446</v>
      </c>
    </row>
    <row r="4686" spans="1:7">
      <c r="A4686" t="s">
        <v>6289</v>
      </c>
      <c r="B4686" s="2">
        <v>45934</v>
      </c>
      <c r="C4686" t="s">
        <v>73</v>
      </c>
      <c r="D4686" t="s">
        <v>1683</v>
      </c>
      <c r="E4686">
        <v>375</v>
      </c>
      <c r="F4686" t="s">
        <v>1578</v>
      </c>
      <c r="G4686" t="s">
        <v>881</v>
      </c>
    </row>
    <row r="4687" spans="1:7">
      <c r="A4687" t="s">
        <v>6290</v>
      </c>
      <c r="B4687" s="2">
        <v>45934</v>
      </c>
      <c r="C4687" t="s">
        <v>114</v>
      </c>
      <c r="D4687" t="s">
        <v>1683</v>
      </c>
      <c r="E4687">
        <v>251</v>
      </c>
      <c r="F4687" t="s">
        <v>1578</v>
      </c>
      <c r="G4687" t="s">
        <v>882</v>
      </c>
    </row>
    <row r="4688" spans="1:7">
      <c r="A4688" t="s">
        <v>6291</v>
      </c>
      <c r="B4688" s="2">
        <v>45935</v>
      </c>
      <c r="C4688" t="s">
        <v>61</v>
      </c>
      <c r="D4688" t="s">
        <v>1629</v>
      </c>
      <c r="E4688">
        <v>205.02</v>
      </c>
      <c r="F4688" t="s">
        <v>1578</v>
      </c>
      <c r="G4688" t="s">
        <v>1447</v>
      </c>
    </row>
    <row r="4689" spans="1:7">
      <c r="A4689" t="s">
        <v>6292</v>
      </c>
      <c r="B4689" s="2">
        <v>45935</v>
      </c>
      <c r="C4689" t="s">
        <v>65</v>
      </c>
      <c r="D4689" t="s">
        <v>1629</v>
      </c>
      <c r="E4689">
        <v>204.02</v>
      </c>
      <c r="F4689" t="s">
        <v>1578</v>
      </c>
      <c r="G4689" t="s">
        <v>1447</v>
      </c>
    </row>
    <row r="4690" spans="1:7">
      <c r="A4690" t="s">
        <v>6293</v>
      </c>
      <c r="B4690" s="2">
        <v>45935</v>
      </c>
      <c r="C4690" t="s">
        <v>68</v>
      </c>
      <c r="D4690" t="s">
        <v>1629</v>
      </c>
      <c r="E4690">
        <v>205.02</v>
      </c>
      <c r="F4690" t="s">
        <v>1578</v>
      </c>
      <c r="G4690" t="s">
        <v>1447</v>
      </c>
    </row>
    <row r="4691" spans="1:7">
      <c r="A4691" t="s">
        <v>6294</v>
      </c>
      <c r="B4691" s="2">
        <v>45935</v>
      </c>
      <c r="C4691" t="s">
        <v>75</v>
      </c>
      <c r="D4691" t="s">
        <v>1629</v>
      </c>
      <c r="E4691">
        <v>203.01</v>
      </c>
      <c r="F4691" t="s">
        <v>1578</v>
      </c>
      <c r="G4691" t="s">
        <v>1447</v>
      </c>
    </row>
    <row r="4692" spans="1:7">
      <c r="A4692" t="s">
        <v>6295</v>
      </c>
      <c r="B4692" s="2">
        <v>45935</v>
      </c>
      <c r="C4692" t="s">
        <v>79</v>
      </c>
      <c r="D4692" t="s">
        <v>1629</v>
      </c>
      <c r="E4692">
        <v>205.02</v>
      </c>
      <c r="F4692" t="s">
        <v>1578</v>
      </c>
      <c r="G4692" t="s">
        <v>1447</v>
      </c>
    </row>
    <row r="4693" spans="1:7">
      <c r="A4693" t="s">
        <v>6296</v>
      </c>
      <c r="B4693" s="2">
        <v>45935</v>
      </c>
      <c r="C4693" t="s">
        <v>81</v>
      </c>
      <c r="D4693" t="s">
        <v>1629</v>
      </c>
      <c r="E4693">
        <v>406.02</v>
      </c>
      <c r="F4693" t="s">
        <v>1578</v>
      </c>
      <c r="G4693" t="s">
        <v>1447</v>
      </c>
    </row>
    <row r="4694" spans="1:7">
      <c r="A4694" t="s">
        <v>6297</v>
      </c>
      <c r="B4694" s="2">
        <v>45935</v>
      </c>
      <c r="C4694" t="s">
        <v>110</v>
      </c>
      <c r="D4694" t="s">
        <v>1629</v>
      </c>
      <c r="E4694">
        <v>205.02</v>
      </c>
      <c r="F4694" t="s">
        <v>1578</v>
      </c>
      <c r="G4694" t="s">
        <v>1447</v>
      </c>
    </row>
    <row r="4695" spans="1:7">
      <c r="A4695" t="s">
        <v>6298</v>
      </c>
      <c r="B4695" s="2">
        <v>45935</v>
      </c>
      <c r="C4695" t="s">
        <v>114</v>
      </c>
      <c r="D4695" t="s">
        <v>1629</v>
      </c>
      <c r="E4695">
        <v>203.01</v>
      </c>
      <c r="F4695" t="s">
        <v>1578</v>
      </c>
      <c r="G4695" t="s">
        <v>1447</v>
      </c>
    </row>
    <row r="4696" spans="1:7">
      <c r="A4696" t="s">
        <v>6299</v>
      </c>
      <c r="B4696" s="2">
        <v>45935</v>
      </c>
      <c r="C4696" t="s">
        <v>117</v>
      </c>
      <c r="D4696" t="s">
        <v>1629</v>
      </c>
      <c r="E4696">
        <v>202</v>
      </c>
      <c r="F4696" t="s">
        <v>1578</v>
      </c>
      <c r="G4696" t="s">
        <v>1447</v>
      </c>
    </row>
    <row r="4697" spans="1:7">
      <c r="A4697" t="s">
        <v>6300</v>
      </c>
      <c r="B4697" s="2">
        <v>45935</v>
      </c>
      <c r="C4697" t="s">
        <v>119</v>
      </c>
      <c r="D4697" t="s">
        <v>1629</v>
      </c>
      <c r="E4697">
        <v>203.01</v>
      </c>
      <c r="F4697" t="s">
        <v>1578</v>
      </c>
      <c r="G4697" t="s">
        <v>1447</v>
      </c>
    </row>
    <row r="4698" spans="1:7">
      <c r="A4698" t="s">
        <v>6301</v>
      </c>
      <c r="B4698" s="2">
        <v>45935</v>
      </c>
      <c r="C4698" t="s">
        <v>61</v>
      </c>
      <c r="D4698" t="s">
        <v>1629</v>
      </c>
      <c r="E4698">
        <v>390.66</v>
      </c>
      <c r="F4698" t="s">
        <v>1578</v>
      </c>
      <c r="G4698" t="s">
        <v>1448</v>
      </c>
    </row>
    <row r="4699" spans="1:7">
      <c r="A4699" t="s">
        <v>6302</v>
      </c>
      <c r="B4699" s="2">
        <v>45935</v>
      </c>
      <c r="C4699" t="s">
        <v>65</v>
      </c>
      <c r="D4699" t="s">
        <v>1629</v>
      </c>
      <c r="E4699">
        <v>388.74</v>
      </c>
      <c r="F4699" t="s">
        <v>1578</v>
      </c>
      <c r="G4699" t="s">
        <v>1448</v>
      </c>
    </row>
    <row r="4700" spans="1:7">
      <c r="A4700" t="s">
        <v>6303</v>
      </c>
      <c r="B4700" s="2">
        <v>45935</v>
      </c>
      <c r="C4700" t="s">
        <v>68</v>
      </c>
      <c r="D4700" t="s">
        <v>1629</v>
      </c>
      <c r="E4700">
        <v>390.66</v>
      </c>
      <c r="F4700" t="s">
        <v>1578</v>
      </c>
      <c r="G4700" t="s">
        <v>1448</v>
      </c>
    </row>
    <row r="4701" spans="1:7">
      <c r="A4701" t="s">
        <v>6304</v>
      </c>
      <c r="B4701" s="2">
        <v>45935</v>
      </c>
      <c r="C4701" t="s">
        <v>70</v>
      </c>
      <c r="D4701" t="s">
        <v>1629</v>
      </c>
      <c r="E4701">
        <v>386.83</v>
      </c>
      <c r="F4701" t="s">
        <v>1578</v>
      </c>
      <c r="G4701" t="s">
        <v>1448</v>
      </c>
    </row>
    <row r="4702" spans="1:7">
      <c r="A4702" t="s">
        <v>6305</v>
      </c>
      <c r="B4702" s="2">
        <v>45935</v>
      </c>
      <c r="C4702" t="s">
        <v>73</v>
      </c>
      <c r="D4702" t="s">
        <v>1629</v>
      </c>
      <c r="E4702">
        <v>390.66</v>
      </c>
      <c r="F4702" t="s">
        <v>1578</v>
      </c>
      <c r="G4702" t="s">
        <v>1448</v>
      </c>
    </row>
    <row r="4703" spans="1:7">
      <c r="A4703" t="s">
        <v>6306</v>
      </c>
      <c r="B4703" s="2">
        <v>45935</v>
      </c>
      <c r="C4703" t="s">
        <v>75</v>
      </c>
      <c r="D4703" t="s">
        <v>1629</v>
      </c>
      <c r="E4703">
        <v>386.83</v>
      </c>
      <c r="F4703" t="s">
        <v>1578</v>
      </c>
      <c r="G4703" t="s">
        <v>1448</v>
      </c>
    </row>
    <row r="4704" spans="1:7">
      <c r="A4704" t="s">
        <v>6307</v>
      </c>
      <c r="B4704" s="2">
        <v>45935</v>
      </c>
      <c r="C4704" t="s">
        <v>77</v>
      </c>
      <c r="D4704" t="s">
        <v>1629</v>
      </c>
      <c r="E4704">
        <v>386.83</v>
      </c>
      <c r="F4704" t="s">
        <v>1578</v>
      </c>
      <c r="G4704" t="s">
        <v>1448</v>
      </c>
    </row>
    <row r="4705" spans="1:7">
      <c r="A4705" t="s">
        <v>6308</v>
      </c>
      <c r="B4705" s="2">
        <v>45935</v>
      </c>
      <c r="C4705" t="s">
        <v>79</v>
      </c>
      <c r="D4705" t="s">
        <v>1629</v>
      </c>
      <c r="E4705">
        <v>390.66</v>
      </c>
      <c r="F4705" t="s">
        <v>1578</v>
      </c>
      <c r="G4705" t="s">
        <v>1448</v>
      </c>
    </row>
    <row r="4706" spans="1:7">
      <c r="A4706" t="s">
        <v>6309</v>
      </c>
      <c r="B4706" s="2">
        <v>45935</v>
      </c>
      <c r="C4706" t="s">
        <v>81</v>
      </c>
      <c r="D4706" t="s">
        <v>1629</v>
      </c>
      <c r="E4706">
        <v>773.66</v>
      </c>
      <c r="F4706" t="s">
        <v>1578</v>
      </c>
      <c r="G4706" t="s">
        <v>1448</v>
      </c>
    </row>
    <row r="4707" spans="1:7">
      <c r="A4707" t="s">
        <v>6310</v>
      </c>
      <c r="B4707" s="2">
        <v>45935</v>
      </c>
      <c r="C4707" t="s">
        <v>108</v>
      </c>
      <c r="D4707" t="s">
        <v>1629</v>
      </c>
      <c r="E4707">
        <v>777.49</v>
      </c>
      <c r="F4707" t="s">
        <v>1578</v>
      </c>
      <c r="G4707" t="s">
        <v>1448</v>
      </c>
    </row>
    <row r="4708" spans="1:7">
      <c r="A4708" t="s">
        <v>6311</v>
      </c>
      <c r="B4708" s="2">
        <v>45935</v>
      </c>
      <c r="C4708" t="s">
        <v>110</v>
      </c>
      <c r="D4708" t="s">
        <v>1629</v>
      </c>
      <c r="E4708">
        <v>390.66</v>
      </c>
      <c r="F4708" t="s">
        <v>1578</v>
      </c>
      <c r="G4708" t="s">
        <v>1448</v>
      </c>
    </row>
    <row r="4709" spans="1:7">
      <c r="A4709" t="s">
        <v>6312</v>
      </c>
      <c r="B4709" s="2">
        <v>45935</v>
      </c>
      <c r="C4709" t="s">
        <v>114</v>
      </c>
      <c r="D4709" t="s">
        <v>1629</v>
      </c>
      <c r="E4709">
        <v>386.83</v>
      </c>
      <c r="F4709" t="s">
        <v>1578</v>
      </c>
      <c r="G4709" t="s">
        <v>1448</v>
      </c>
    </row>
    <row r="4710" spans="1:7">
      <c r="A4710" t="s">
        <v>6313</v>
      </c>
      <c r="B4710" s="2">
        <v>45935</v>
      </c>
      <c r="C4710" t="s">
        <v>117</v>
      </c>
      <c r="D4710" t="s">
        <v>1629</v>
      </c>
      <c r="E4710">
        <v>384.92</v>
      </c>
      <c r="F4710" t="s">
        <v>1578</v>
      </c>
      <c r="G4710" t="s">
        <v>1448</v>
      </c>
    </row>
    <row r="4711" spans="1:7">
      <c r="A4711" t="s">
        <v>6314</v>
      </c>
      <c r="B4711" s="2">
        <v>45935</v>
      </c>
      <c r="C4711" t="s">
        <v>119</v>
      </c>
      <c r="D4711" t="s">
        <v>1629</v>
      </c>
      <c r="E4711">
        <v>386.83</v>
      </c>
      <c r="F4711" t="s">
        <v>1578</v>
      </c>
      <c r="G4711" t="s">
        <v>1448</v>
      </c>
    </row>
    <row r="4712" spans="1:7">
      <c r="A4712" t="s">
        <v>6315</v>
      </c>
      <c r="B4712" s="2">
        <v>45935</v>
      </c>
      <c r="C4712" t="s">
        <v>61</v>
      </c>
      <c r="D4712" t="s">
        <v>1629</v>
      </c>
      <c r="E4712">
        <v>208.08</v>
      </c>
      <c r="F4712" t="s">
        <v>1578</v>
      </c>
      <c r="G4712" t="s">
        <v>1449</v>
      </c>
    </row>
    <row r="4713" spans="1:7">
      <c r="A4713" t="s">
        <v>6316</v>
      </c>
      <c r="B4713" s="2">
        <v>45935</v>
      </c>
      <c r="C4713" t="s">
        <v>65</v>
      </c>
      <c r="D4713" t="s">
        <v>1629</v>
      </c>
      <c r="E4713">
        <v>207.06</v>
      </c>
      <c r="F4713" t="s">
        <v>1578</v>
      </c>
      <c r="G4713" t="s">
        <v>1449</v>
      </c>
    </row>
    <row r="4714" spans="1:7">
      <c r="A4714" t="s">
        <v>6317</v>
      </c>
      <c r="B4714" s="2">
        <v>45935</v>
      </c>
      <c r="C4714" t="s">
        <v>68</v>
      </c>
      <c r="D4714" t="s">
        <v>1629</v>
      </c>
      <c r="E4714">
        <v>208.08</v>
      </c>
      <c r="F4714" t="s">
        <v>1578</v>
      </c>
      <c r="G4714" t="s">
        <v>1449</v>
      </c>
    </row>
    <row r="4715" spans="1:7">
      <c r="A4715" t="s">
        <v>6318</v>
      </c>
      <c r="B4715" s="2">
        <v>45935</v>
      </c>
      <c r="C4715" t="s">
        <v>70</v>
      </c>
      <c r="D4715" t="s">
        <v>1629</v>
      </c>
      <c r="E4715">
        <v>206.04</v>
      </c>
      <c r="F4715" t="s">
        <v>1578</v>
      </c>
      <c r="G4715" t="s">
        <v>1449</v>
      </c>
    </row>
    <row r="4716" spans="1:7">
      <c r="A4716" t="s">
        <v>6319</v>
      </c>
      <c r="B4716" s="2">
        <v>45935</v>
      </c>
      <c r="C4716" t="s">
        <v>75</v>
      </c>
      <c r="D4716" t="s">
        <v>1629</v>
      </c>
      <c r="E4716">
        <v>206.04</v>
      </c>
      <c r="F4716" t="s">
        <v>1578</v>
      </c>
      <c r="G4716" t="s">
        <v>1449</v>
      </c>
    </row>
    <row r="4717" spans="1:7">
      <c r="A4717" t="s">
        <v>6320</v>
      </c>
      <c r="B4717" s="2">
        <v>45935</v>
      </c>
      <c r="C4717" t="s">
        <v>77</v>
      </c>
      <c r="D4717" t="s">
        <v>1629</v>
      </c>
      <c r="E4717">
        <v>206.04</v>
      </c>
      <c r="F4717" t="s">
        <v>1578</v>
      </c>
      <c r="G4717" t="s">
        <v>1449</v>
      </c>
    </row>
    <row r="4718" spans="1:7">
      <c r="A4718" t="s">
        <v>6321</v>
      </c>
      <c r="B4718" s="2">
        <v>45935</v>
      </c>
      <c r="C4718" t="s">
        <v>79</v>
      </c>
      <c r="D4718" t="s">
        <v>1629</v>
      </c>
      <c r="E4718">
        <v>208.08</v>
      </c>
      <c r="F4718" t="s">
        <v>1578</v>
      </c>
      <c r="G4718" t="s">
        <v>1449</v>
      </c>
    </row>
    <row r="4719" spans="1:7">
      <c r="A4719" t="s">
        <v>6322</v>
      </c>
      <c r="B4719" s="2">
        <v>45935</v>
      </c>
      <c r="C4719" t="s">
        <v>81</v>
      </c>
      <c r="D4719" t="s">
        <v>1629</v>
      </c>
      <c r="E4719">
        <v>412.08</v>
      </c>
      <c r="F4719" t="s">
        <v>1578</v>
      </c>
      <c r="G4719" t="s">
        <v>1449</v>
      </c>
    </row>
    <row r="4720" spans="1:7">
      <c r="A4720" t="s">
        <v>6323</v>
      </c>
      <c r="B4720" s="2">
        <v>45935</v>
      </c>
      <c r="C4720" t="s">
        <v>108</v>
      </c>
      <c r="D4720" t="s">
        <v>1629</v>
      </c>
      <c r="E4720">
        <v>414.12</v>
      </c>
      <c r="F4720" t="s">
        <v>1578</v>
      </c>
      <c r="G4720" t="s">
        <v>1449</v>
      </c>
    </row>
    <row r="4721" spans="1:7">
      <c r="A4721" t="s">
        <v>6324</v>
      </c>
      <c r="B4721" s="2">
        <v>45935</v>
      </c>
      <c r="C4721" t="s">
        <v>110</v>
      </c>
      <c r="D4721" t="s">
        <v>1629</v>
      </c>
      <c r="E4721">
        <v>208.08</v>
      </c>
      <c r="F4721" t="s">
        <v>1578</v>
      </c>
      <c r="G4721" t="s">
        <v>1449</v>
      </c>
    </row>
    <row r="4722" spans="1:7">
      <c r="A4722" t="s">
        <v>6325</v>
      </c>
      <c r="B4722" s="2">
        <v>45935</v>
      </c>
      <c r="C4722" t="s">
        <v>114</v>
      </c>
      <c r="D4722" t="s">
        <v>1629</v>
      </c>
      <c r="E4722">
        <v>206.04</v>
      </c>
      <c r="F4722" t="s">
        <v>1578</v>
      </c>
      <c r="G4722" t="s">
        <v>1449</v>
      </c>
    </row>
    <row r="4723" spans="1:7">
      <c r="A4723" t="s">
        <v>6326</v>
      </c>
      <c r="B4723" s="2">
        <v>45935</v>
      </c>
      <c r="C4723" t="s">
        <v>117</v>
      </c>
      <c r="D4723" t="s">
        <v>1629</v>
      </c>
      <c r="E4723">
        <v>205.02</v>
      </c>
      <c r="F4723" t="s">
        <v>1578</v>
      </c>
      <c r="G4723" t="s">
        <v>1449</v>
      </c>
    </row>
    <row r="4724" spans="1:7">
      <c r="A4724" t="s">
        <v>6327</v>
      </c>
      <c r="B4724" s="2">
        <v>45935</v>
      </c>
      <c r="C4724" t="s">
        <v>119</v>
      </c>
      <c r="D4724" t="s">
        <v>1629</v>
      </c>
      <c r="E4724">
        <v>206.04</v>
      </c>
      <c r="F4724" t="s">
        <v>1578</v>
      </c>
      <c r="G4724" t="s">
        <v>1449</v>
      </c>
    </row>
    <row r="4725" spans="1:7">
      <c r="A4725" t="s">
        <v>6328</v>
      </c>
      <c r="B4725" s="2">
        <v>45935</v>
      </c>
      <c r="C4725" t="s">
        <v>81</v>
      </c>
      <c r="D4725" t="s">
        <v>1683</v>
      </c>
      <c r="E4725">
        <v>318</v>
      </c>
      <c r="F4725" t="s">
        <v>1578</v>
      </c>
      <c r="G4725" t="s">
        <v>883</v>
      </c>
    </row>
    <row r="4726" spans="1:7">
      <c r="A4726" t="s">
        <v>6329</v>
      </c>
      <c r="B4726" s="2">
        <v>45935</v>
      </c>
      <c r="C4726" t="s">
        <v>104</v>
      </c>
      <c r="D4726" t="s">
        <v>1683</v>
      </c>
      <c r="E4726">
        <v>242</v>
      </c>
      <c r="F4726" t="s">
        <v>1578</v>
      </c>
      <c r="G4726" t="s">
        <v>885</v>
      </c>
    </row>
    <row r="4727" spans="1:7">
      <c r="A4727" t="s">
        <v>6330</v>
      </c>
      <c r="B4727" s="2">
        <v>45936</v>
      </c>
      <c r="C4727" t="s">
        <v>61</v>
      </c>
      <c r="D4727" t="s">
        <v>1629</v>
      </c>
      <c r="E4727">
        <v>298.86</v>
      </c>
      <c r="F4727" t="s">
        <v>1578</v>
      </c>
      <c r="G4727" t="s">
        <v>1450</v>
      </c>
    </row>
    <row r="4728" spans="1:7">
      <c r="A4728" t="s">
        <v>6331</v>
      </c>
      <c r="B4728" s="2">
        <v>45936</v>
      </c>
      <c r="C4728" t="s">
        <v>65</v>
      </c>
      <c r="D4728" t="s">
        <v>1629</v>
      </c>
      <c r="E4728">
        <v>297.39999999999998</v>
      </c>
      <c r="F4728" t="s">
        <v>1578</v>
      </c>
      <c r="G4728" t="s">
        <v>1450</v>
      </c>
    </row>
    <row r="4729" spans="1:7">
      <c r="A4729" t="s">
        <v>6332</v>
      </c>
      <c r="B4729" s="2">
        <v>45936</v>
      </c>
      <c r="C4729" t="s">
        <v>68</v>
      </c>
      <c r="D4729" t="s">
        <v>1629</v>
      </c>
      <c r="E4729">
        <v>298.86</v>
      </c>
      <c r="F4729" t="s">
        <v>1578</v>
      </c>
      <c r="G4729" t="s">
        <v>1450</v>
      </c>
    </row>
    <row r="4730" spans="1:7">
      <c r="A4730" t="s">
        <v>6333</v>
      </c>
      <c r="B4730" s="2">
        <v>45936</v>
      </c>
      <c r="C4730" t="s">
        <v>70</v>
      </c>
      <c r="D4730" t="s">
        <v>1629</v>
      </c>
      <c r="E4730">
        <v>295.93</v>
      </c>
      <c r="F4730" t="s">
        <v>1578</v>
      </c>
      <c r="G4730" t="s">
        <v>1450</v>
      </c>
    </row>
    <row r="4731" spans="1:7">
      <c r="A4731" t="s">
        <v>6334</v>
      </c>
      <c r="B4731" s="2">
        <v>45936</v>
      </c>
      <c r="C4731" t="s">
        <v>75</v>
      </c>
      <c r="D4731" t="s">
        <v>1629</v>
      </c>
      <c r="E4731">
        <v>295.93</v>
      </c>
      <c r="F4731" t="s">
        <v>1578</v>
      </c>
      <c r="G4731" t="s">
        <v>1450</v>
      </c>
    </row>
    <row r="4732" spans="1:7">
      <c r="A4732" t="s">
        <v>6335</v>
      </c>
      <c r="B4732" s="2">
        <v>45936</v>
      </c>
      <c r="C4732" t="s">
        <v>77</v>
      </c>
      <c r="D4732" t="s">
        <v>1629</v>
      </c>
      <c r="E4732">
        <v>295.93</v>
      </c>
      <c r="F4732" t="s">
        <v>1578</v>
      </c>
      <c r="G4732" t="s">
        <v>1450</v>
      </c>
    </row>
    <row r="4733" spans="1:7">
      <c r="A4733" t="s">
        <v>6336</v>
      </c>
      <c r="B4733" s="2">
        <v>45936</v>
      </c>
      <c r="C4733" t="s">
        <v>79</v>
      </c>
      <c r="D4733" t="s">
        <v>1629</v>
      </c>
      <c r="E4733">
        <v>298.86</v>
      </c>
      <c r="F4733" t="s">
        <v>1578</v>
      </c>
      <c r="G4733" t="s">
        <v>1450</v>
      </c>
    </row>
    <row r="4734" spans="1:7">
      <c r="A4734" t="s">
        <v>6337</v>
      </c>
      <c r="B4734" s="2">
        <v>45936</v>
      </c>
      <c r="C4734" t="s">
        <v>81</v>
      </c>
      <c r="D4734" t="s">
        <v>1629</v>
      </c>
      <c r="E4734">
        <v>591.86</v>
      </c>
      <c r="F4734" t="s">
        <v>1578</v>
      </c>
      <c r="G4734" t="s">
        <v>1450</v>
      </c>
    </row>
    <row r="4735" spans="1:7">
      <c r="A4735" t="s">
        <v>6338</v>
      </c>
      <c r="B4735" s="2">
        <v>45936</v>
      </c>
      <c r="C4735" t="s">
        <v>110</v>
      </c>
      <c r="D4735" t="s">
        <v>1629</v>
      </c>
      <c r="E4735">
        <v>298.86</v>
      </c>
      <c r="F4735" t="s">
        <v>1578</v>
      </c>
      <c r="G4735" t="s">
        <v>1450</v>
      </c>
    </row>
    <row r="4736" spans="1:7">
      <c r="A4736" t="s">
        <v>6339</v>
      </c>
      <c r="B4736" s="2">
        <v>45936</v>
      </c>
      <c r="C4736" t="s">
        <v>114</v>
      </c>
      <c r="D4736" t="s">
        <v>1629</v>
      </c>
      <c r="E4736">
        <v>295.93</v>
      </c>
      <c r="F4736" t="s">
        <v>1578</v>
      </c>
      <c r="G4736" t="s">
        <v>1450</v>
      </c>
    </row>
    <row r="4737" spans="1:7">
      <c r="A4737" t="s">
        <v>6340</v>
      </c>
      <c r="B4737" s="2">
        <v>45936</v>
      </c>
      <c r="C4737" t="s">
        <v>117</v>
      </c>
      <c r="D4737" t="s">
        <v>1629</v>
      </c>
      <c r="E4737">
        <v>294.45999999999998</v>
      </c>
      <c r="F4737" t="s">
        <v>1578</v>
      </c>
      <c r="G4737" t="s">
        <v>1450</v>
      </c>
    </row>
    <row r="4738" spans="1:7">
      <c r="A4738" t="s">
        <v>6341</v>
      </c>
      <c r="B4738" s="2">
        <v>45936</v>
      </c>
      <c r="C4738" t="s">
        <v>119</v>
      </c>
      <c r="D4738" t="s">
        <v>1629</v>
      </c>
      <c r="E4738">
        <v>295.93</v>
      </c>
      <c r="F4738" t="s">
        <v>1578</v>
      </c>
      <c r="G4738" t="s">
        <v>1450</v>
      </c>
    </row>
    <row r="4739" spans="1:7">
      <c r="A4739" t="s">
        <v>6342</v>
      </c>
      <c r="B4739" s="2">
        <v>45936</v>
      </c>
      <c r="C4739" t="s">
        <v>75</v>
      </c>
      <c r="D4739" t="s">
        <v>1629</v>
      </c>
      <c r="E4739">
        <v>153.52000000000001</v>
      </c>
      <c r="F4739" t="s">
        <v>1578</v>
      </c>
      <c r="G4739" t="s">
        <v>1451</v>
      </c>
    </row>
    <row r="4740" spans="1:7">
      <c r="A4740" t="s">
        <v>6343</v>
      </c>
      <c r="B4740" s="2">
        <v>45936</v>
      </c>
      <c r="C4740" t="s">
        <v>91</v>
      </c>
      <c r="D4740" t="s">
        <v>1629</v>
      </c>
      <c r="E4740">
        <v>155.80000000000001</v>
      </c>
      <c r="F4740" t="s">
        <v>1578</v>
      </c>
      <c r="G4740" t="s">
        <v>1451</v>
      </c>
    </row>
    <row r="4741" spans="1:7">
      <c r="A4741" t="s">
        <v>6344</v>
      </c>
      <c r="B4741" s="2">
        <v>45936</v>
      </c>
      <c r="C4741" t="s">
        <v>93</v>
      </c>
      <c r="D4741" t="s">
        <v>1629</v>
      </c>
      <c r="E4741">
        <v>155.04</v>
      </c>
      <c r="F4741" t="s">
        <v>1578</v>
      </c>
      <c r="G4741" t="s">
        <v>1451</v>
      </c>
    </row>
    <row r="4742" spans="1:7">
      <c r="A4742" t="s">
        <v>6345</v>
      </c>
      <c r="B4742" s="2">
        <v>45936</v>
      </c>
      <c r="C4742" t="s">
        <v>95</v>
      </c>
      <c r="D4742" t="s">
        <v>1629</v>
      </c>
      <c r="E4742">
        <v>154.28</v>
      </c>
      <c r="F4742" t="s">
        <v>1578</v>
      </c>
      <c r="G4742" t="s">
        <v>1451</v>
      </c>
    </row>
    <row r="4743" spans="1:7">
      <c r="A4743" t="s">
        <v>6346</v>
      </c>
      <c r="B4743" s="2">
        <v>45936</v>
      </c>
      <c r="C4743" t="s">
        <v>97</v>
      </c>
      <c r="D4743" t="s">
        <v>1629</v>
      </c>
      <c r="E4743">
        <v>153.52000000000001</v>
      </c>
      <c r="F4743" t="s">
        <v>1578</v>
      </c>
      <c r="G4743" t="s">
        <v>1451</v>
      </c>
    </row>
    <row r="4744" spans="1:7">
      <c r="A4744" t="s">
        <v>6347</v>
      </c>
      <c r="B4744" s="2">
        <v>45936</v>
      </c>
      <c r="C4744" t="s">
        <v>99</v>
      </c>
      <c r="D4744" t="s">
        <v>1629</v>
      </c>
      <c r="E4744">
        <v>187.87</v>
      </c>
      <c r="F4744" t="s">
        <v>1578</v>
      </c>
      <c r="G4744" t="s">
        <v>1451</v>
      </c>
    </row>
    <row r="4745" spans="1:7">
      <c r="A4745" t="s">
        <v>6348</v>
      </c>
      <c r="B4745" s="2">
        <v>45936</v>
      </c>
      <c r="C4745" t="s">
        <v>102</v>
      </c>
      <c r="D4745" t="s">
        <v>1629</v>
      </c>
      <c r="E4745">
        <v>155.04</v>
      </c>
      <c r="F4745" t="s">
        <v>1578</v>
      </c>
      <c r="G4745" t="s">
        <v>1451</v>
      </c>
    </row>
    <row r="4746" spans="1:7">
      <c r="A4746" t="s">
        <v>6349</v>
      </c>
      <c r="B4746" s="2">
        <v>45936</v>
      </c>
      <c r="C4746" t="s">
        <v>108</v>
      </c>
      <c r="D4746" t="s">
        <v>1629</v>
      </c>
      <c r="E4746">
        <v>308.56</v>
      </c>
      <c r="F4746" t="s">
        <v>1578</v>
      </c>
      <c r="G4746" t="s">
        <v>1451</v>
      </c>
    </row>
    <row r="4747" spans="1:7">
      <c r="A4747" t="s">
        <v>6350</v>
      </c>
      <c r="B4747" s="2">
        <v>45936</v>
      </c>
      <c r="C4747" t="s">
        <v>110</v>
      </c>
      <c r="D4747" t="s">
        <v>1629</v>
      </c>
      <c r="E4747">
        <v>155.04</v>
      </c>
      <c r="F4747" t="s">
        <v>1578</v>
      </c>
      <c r="G4747" t="s">
        <v>1451</v>
      </c>
    </row>
    <row r="4748" spans="1:7">
      <c r="A4748" t="s">
        <v>6351</v>
      </c>
      <c r="B4748" s="2">
        <v>45936</v>
      </c>
      <c r="C4748" t="s">
        <v>114</v>
      </c>
      <c r="D4748" t="s">
        <v>1629</v>
      </c>
      <c r="E4748">
        <v>153.52000000000001</v>
      </c>
      <c r="F4748" t="s">
        <v>1578</v>
      </c>
      <c r="G4748" t="s">
        <v>1451</v>
      </c>
    </row>
    <row r="4749" spans="1:7">
      <c r="A4749" t="s">
        <v>6352</v>
      </c>
      <c r="B4749" s="2">
        <v>45936</v>
      </c>
      <c r="C4749" t="s">
        <v>117</v>
      </c>
      <c r="D4749" t="s">
        <v>1629</v>
      </c>
      <c r="E4749">
        <v>152.76</v>
      </c>
      <c r="F4749" t="s">
        <v>1578</v>
      </c>
      <c r="G4749" t="s">
        <v>1451</v>
      </c>
    </row>
    <row r="4750" spans="1:7">
      <c r="A4750" t="s">
        <v>6353</v>
      </c>
      <c r="B4750" s="2">
        <v>45936</v>
      </c>
      <c r="C4750" t="s">
        <v>119</v>
      </c>
      <c r="D4750" t="s">
        <v>1629</v>
      </c>
      <c r="E4750">
        <v>153.52000000000001</v>
      </c>
      <c r="F4750" t="s">
        <v>1578</v>
      </c>
      <c r="G4750" t="s">
        <v>1451</v>
      </c>
    </row>
    <row r="4751" spans="1:7">
      <c r="A4751" t="s">
        <v>6354</v>
      </c>
      <c r="B4751" s="2">
        <v>45937</v>
      </c>
      <c r="C4751" t="s">
        <v>75</v>
      </c>
      <c r="D4751" t="s">
        <v>1629</v>
      </c>
      <c r="E4751">
        <v>245.43</v>
      </c>
      <c r="F4751" t="s">
        <v>1578</v>
      </c>
      <c r="G4751" t="s">
        <v>1452</v>
      </c>
    </row>
    <row r="4752" spans="1:7">
      <c r="A4752" t="s">
        <v>6355</v>
      </c>
      <c r="B4752" s="2">
        <v>45937</v>
      </c>
      <c r="C4752" t="s">
        <v>91</v>
      </c>
      <c r="D4752" t="s">
        <v>1629</v>
      </c>
      <c r="E4752">
        <v>249.08</v>
      </c>
      <c r="F4752" t="s">
        <v>1578</v>
      </c>
      <c r="G4752" t="s">
        <v>1452</v>
      </c>
    </row>
    <row r="4753" spans="1:7">
      <c r="A4753" t="s">
        <v>6356</v>
      </c>
      <c r="B4753" s="2">
        <v>45937</v>
      </c>
      <c r="C4753" t="s">
        <v>93</v>
      </c>
      <c r="D4753" t="s">
        <v>1629</v>
      </c>
      <c r="E4753">
        <v>247.86</v>
      </c>
      <c r="F4753" t="s">
        <v>1578</v>
      </c>
      <c r="G4753" t="s">
        <v>1452</v>
      </c>
    </row>
    <row r="4754" spans="1:7">
      <c r="A4754" t="s">
        <v>6357</v>
      </c>
      <c r="B4754" s="2">
        <v>45937</v>
      </c>
      <c r="C4754" t="s">
        <v>95</v>
      </c>
      <c r="D4754" t="s">
        <v>1629</v>
      </c>
      <c r="E4754">
        <v>246.64</v>
      </c>
      <c r="F4754" t="s">
        <v>1578</v>
      </c>
      <c r="G4754" t="s">
        <v>1452</v>
      </c>
    </row>
    <row r="4755" spans="1:7">
      <c r="A4755" t="s">
        <v>6358</v>
      </c>
      <c r="B4755" s="2">
        <v>45937</v>
      </c>
      <c r="C4755" t="s">
        <v>97</v>
      </c>
      <c r="D4755" t="s">
        <v>1629</v>
      </c>
      <c r="E4755">
        <v>245.43</v>
      </c>
      <c r="F4755" t="s">
        <v>1578</v>
      </c>
      <c r="G4755" t="s">
        <v>1452</v>
      </c>
    </row>
    <row r="4756" spans="1:7">
      <c r="A4756" t="s">
        <v>6359</v>
      </c>
      <c r="B4756" s="2">
        <v>45937</v>
      </c>
      <c r="C4756" t="s">
        <v>99</v>
      </c>
      <c r="D4756" t="s">
        <v>1629</v>
      </c>
      <c r="E4756">
        <v>125.15</v>
      </c>
      <c r="F4756" t="s">
        <v>1578</v>
      </c>
      <c r="G4756" t="s">
        <v>1452</v>
      </c>
    </row>
    <row r="4757" spans="1:7">
      <c r="A4757" t="s">
        <v>6360</v>
      </c>
      <c r="B4757" s="2">
        <v>45937</v>
      </c>
      <c r="C4757" t="s">
        <v>102</v>
      </c>
      <c r="D4757" t="s">
        <v>1629</v>
      </c>
      <c r="E4757">
        <v>247.86</v>
      </c>
      <c r="F4757" t="s">
        <v>1578</v>
      </c>
      <c r="G4757" t="s">
        <v>1452</v>
      </c>
    </row>
    <row r="4758" spans="1:7">
      <c r="A4758" t="s">
        <v>6361</v>
      </c>
      <c r="B4758" s="2">
        <v>45937</v>
      </c>
      <c r="C4758" t="s">
        <v>108</v>
      </c>
      <c r="D4758" t="s">
        <v>1629</v>
      </c>
      <c r="E4758">
        <v>493.29</v>
      </c>
      <c r="F4758" t="s">
        <v>1578</v>
      </c>
      <c r="G4758" t="s">
        <v>1452</v>
      </c>
    </row>
    <row r="4759" spans="1:7">
      <c r="A4759" t="s">
        <v>6362</v>
      </c>
      <c r="B4759" s="2">
        <v>45937</v>
      </c>
      <c r="C4759" t="s">
        <v>110</v>
      </c>
      <c r="D4759" t="s">
        <v>1629</v>
      </c>
      <c r="E4759">
        <v>247.86</v>
      </c>
      <c r="F4759" t="s">
        <v>1578</v>
      </c>
      <c r="G4759" t="s">
        <v>1452</v>
      </c>
    </row>
    <row r="4760" spans="1:7">
      <c r="A4760" t="s">
        <v>6363</v>
      </c>
      <c r="B4760" s="2">
        <v>45937</v>
      </c>
      <c r="C4760" t="s">
        <v>114</v>
      </c>
      <c r="D4760" t="s">
        <v>1629</v>
      </c>
      <c r="E4760">
        <v>245.43</v>
      </c>
      <c r="F4760" t="s">
        <v>1578</v>
      </c>
      <c r="G4760" t="s">
        <v>1452</v>
      </c>
    </row>
    <row r="4761" spans="1:7">
      <c r="A4761" t="s">
        <v>6364</v>
      </c>
      <c r="B4761" s="2">
        <v>45937</v>
      </c>
      <c r="C4761" t="s">
        <v>117</v>
      </c>
      <c r="D4761" t="s">
        <v>1629</v>
      </c>
      <c r="E4761">
        <v>244.21</v>
      </c>
      <c r="F4761" t="s">
        <v>1578</v>
      </c>
      <c r="G4761" t="s">
        <v>1452</v>
      </c>
    </row>
    <row r="4762" spans="1:7">
      <c r="A4762" t="s">
        <v>6365</v>
      </c>
      <c r="B4762" s="2">
        <v>45937</v>
      </c>
      <c r="C4762" t="s">
        <v>119</v>
      </c>
      <c r="D4762" t="s">
        <v>1629</v>
      </c>
      <c r="E4762">
        <v>245.43</v>
      </c>
      <c r="F4762" t="s">
        <v>1578</v>
      </c>
      <c r="G4762" t="s">
        <v>1452</v>
      </c>
    </row>
    <row r="4763" spans="1:7">
      <c r="A4763" t="s">
        <v>6366</v>
      </c>
      <c r="B4763" s="2">
        <v>45937</v>
      </c>
      <c r="C4763" t="s">
        <v>91</v>
      </c>
      <c r="D4763" t="s">
        <v>1683</v>
      </c>
      <c r="E4763">
        <v>171</v>
      </c>
      <c r="F4763" t="s">
        <v>1578</v>
      </c>
      <c r="G4763" t="s">
        <v>887</v>
      </c>
    </row>
    <row r="4764" spans="1:7">
      <c r="A4764" t="s">
        <v>6367</v>
      </c>
      <c r="B4764" s="2">
        <v>45937</v>
      </c>
      <c r="C4764" t="s">
        <v>75</v>
      </c>
      <c r="D4764" t="s">
        <v>1683</v>
      </c>
      <c r="E4764">
        <v>395</v>
      </c>
      <c r="F4764" t="s">
        <v>1578</v>
      </c>
      <c r="G4764" t="s">
        <v>888</v>
      </c>
    </row>
    <row r="4765" spans="1:7">
      <c r="A4765" t="s">
        <v>6368</v>
      </c>
      <c r="B4765" s="2">
        <v>45938</v>
      </c>
      <c r="C4765" t="s">
        <v>84</v>
      </c>
      <c r="D4765" t="s">
        <v>1683</v>
      </c>
      <c r="E4765">
        <v>233</v>
      </c>
      <c r="F4765" t="s">
        <v>1578</v>
      </c>
      <c r="G4765" t="s">
        <v>889</v>
      </c>
    </row>
    <row r="4766" spans="1:7">
      <c r="A4766" t="s">
        <v>6369</v>
      </c>
      <c r="B4766" s="2">
        <v>45938</v>
      </c>
      <c r="C4766" t="s">
        <v>79</v>
      </c>
      <c r="D4766" t="s">
        <v>1683</v>
      </c>
      <c r="E4766">
        <v>205</v>
      </c>
      <c r="F4766" t="s">
        <v>1578</v>
      </c>
      <c r="G4766" t="s">
        <v>890</v>
      </c>
    </row>
    <row r="4767" spans="1:7">
      <c r="A4767" t="s">
        <v>6370</v>
      </c>
      <c r="B4767" s="2">
        <v>45939</v>
      </c>
      <c r="C4767" t="s">
        <v>61</v>
      </c>
      <c r="D4767" t="s">
        <v>1629</v>
      </c>
      <c r="E4767">
        <v>375.36</v>
      </c>
      <c r="F4767" t="s">
        <v>1578</v>
      </c>
      <c r="G4767" t="s">
        <v>1453</v>
      </c>
    </row>
    <row r="4768" spans="1:7">
      <c r="A4768" t="s">
        <v>6371</v>
      </c>
      <c r="B4768" s="2">
        <v>45939</v>
      </c>
      <c r="C4768" t="s">
        <v>65</v>
      </c>
      <c r="D4768" t="s">
        <v>1629</v>
      </c>
      <c r="E4768">
        <v>373.52</v>
      </c>
      <c r="F4768" t="s">
        <v>1578</v>
      </c>
      <c r="G4768" t="s">
        <v>1453</v>
      </c>
    </row>
    <row r="4769" spans="1:7">
      <c r="A4769" t="s">
        <v>6372</v>
      </c>
      <c r="B4769" s="2">
        <v>45939</v>
      </c>
      <c r="C4769" t="s">
        <v>68</v>
      </c>
      <c r="D4769" t="s">
        <v>1629</v>
      </c>
      <c r="E4769">
        <v>375.36</v>
      </c>
      <c r="F4769" t="s">
        <v>1578</v>
      </c>
      <c r="G4769" t="s">
        <v>1453</v>
      </c>
    </row>
    <row r="4770" spans="1:7">
      <c r="A4770" t="s">
        <v>6373</v>
      </c>
      <c r="B4770" s="2">
        <v>45939</v>
      </c>
      <c r="C4770" t="s">
        <v>70</v>
      </c>
      <c r="D4770" t="s">
        <v>1629</v>
      </c>
      <c r="E4770">
        <v>371.68</v>
      </c>
      <c r="F4770" t="s">
        <v>1578</v>
      </c>
      <c r="G4770" t="s">
        <v>1453</v>
      </c>
    </row>
    <row r="4771" spans="1:7">
      <c r="A4771" t="s">
        <v>6374</v>
      </c>
      <c r="B4771" s="2">
        <v>45939</v>
      </c>
      <c r="C4771" t="s">
        <v>73</v>
      </c>
      <c r="D4771" t="s">
        <v>1629</v>
      </c>
      <c r="E4771">
        <v>375.36</v>
      </c>
      <c r="F4771" t="s">
        <v>1578</v>
      </c>
      <c r="G4771" t="s">
        <v>1453</v>
      </c>
    </row>
    <row r="4772" spans="1:7">
      <c r="A4772" t="s">
        <v>6375</v>
      </c>
      <c r="B4772" s="2">
        <v>45939</v>
      </c>
      <c r="C4772" t="s">
        <v>75</v>
      </c>
      <c r="D4772" t="s">
        <v>1629</v>
      </c>
      <c r="E4772">
        <v>371.68</v>
      </c>
      <c r="F4772" t="s">
        <v>1578</v>
      </c>
      <c r="G4772" t="s">
        <v>1453</v>
      </c>
    </row>
    <row r="4773" spans="1:7">
      <c r="A4773" t="s">
        <v>6376</v>
      </c>
      <c r="B4773" s="2">
        <v>45939</v>
      </c>
      <c r="C4773" t="s">
        <v>77</v>
      </c>
      <c r="D4773" t="s">
        <v>1629</v>
      </c>
      <c r="E4773">
        <v>371.68</v>
      </c>
      <c r="F4773" t="s">
        <v>1578</v>
      </c>
      <c r="G4773" t="s">
        <v>1453</v>
      </c>
    </row>
    <row r="4774" spans="1:7">
      <c r="A4774" t="s">
        <v>6377</v>
      </c>
      <c r="B4774" s="2">
        <v>45939</v>
      </c>
      <c r="C4774" t="s">
        <v>79</v>
      </c>
      <c r="D4774" t="s">
        <v>1629</v>
      </c>
      <c r="E4774">
        <v>375.36</v>
      </c>
      <c r="F4774" t="s">
        <v>1578</v>
      </c>
      <c r="G4774" t="s">
        <v>1453</v>
      </c>
    </row>
    <row r="4775" spans="1:7">
      <c r="A4775" t="s">
        <v>6378</v>
      </c>
      <c r="B4775" s="2">
        <v>45939</v>
      </c>
      <c r="C4775" t="s">
        <v>81</v>
      </c>
      <c r="D4775" t="s">
        <v>1629</v>
      </c>
      <c r="E4775">
        <v>743.36</v>
      </c>
      <c r="F4775" t="s">
        <v>1578</v>
      </c>
      <c r="G4775" t="s">
        <v>1453</v>
      </c>
    </row>
    <row r="4776" spans="1:7">
      <c r="A4776" t="s">
        <v>6379</v>
      </c>
      <c r="B4776" s="2">
        <v>45939</v>
      </c>
      <c r="C4776" t="s">
        <v>108</v>
      </c>
      <c r="D4776" t="s">
        <v>1629</v>
      </c>
      <c r="E4776">
        <v>747.04</v>
      </c>
      <c r="F4776" t="s">
        <v>1578</v>
      </c>
      <c r="G4776" t="s">
        <v>1453</v>
      </c>
    </row>
    <row r="4777" spans="1:7">
      <c r="A4777" t="s">
        <v>6380</v>
      </c>
      <c r="B4777" s="2">
        <v>45939</v>
      </c>
      <c r="C4777" t="s">
        <v>110</v>
      </c>
      <c r="D4777" t="s">
        <v>1629</v>
      </c>
      <c r="E4777">
        <v>375.36</v>
      </c>
      <c r="F4777" t="s">
        <v>1578</v>
      </c>
      <c r="G4777" t="s">
        <v>1453</v>
      </c>
    </row>
    <row r="4778" spans="1:7">
      <c r="A4778" t="s">
        <v>6381</v>
      </c>
      <c r="B4778" s="2">
        <v>45939</v>
      </c>
      <c r="C4778" t="s">
        <v>114</v>
      </c>
      <c r="D4778" t="s">
        <v>1629</v>
      </c>
      <c r="E4778">
        <v>371.68</v>
      </c>
      <c r="F4778" t="s">
        <v>1578</v>
      </c>
      <c r="G4778" t="s">
        <v>1453</v>
      </c>
    </row>
    <row r="4779" spans="1:7">
      <c r="A4779" t="s">
        <v>6382</v>
      </c>
      <c r="B4779" s="2">
        <v>45939</v>
      </c>
      <c r="C4779" t="s">
        <v>117</v>
      </c>
      <c r="D4779" t="s">
        <v>1629</v>
      </c>
      <c r="E4779">
        <v>369.84</v>
      </c>
      <c r="F4779" t="s">
        <v>1578</v>
      </c>
      <c r="G4779" t="s">
        <v>1453</v>
      </c>
    </row>
    <row r="4780" spans="1:7">
      <c r="A4780" t="s">
        <v>6383</v>
      </c>
      <c r="B4780" s="2">
        <v>45939</v>
      </c>
      <c r="C4780" t="s">
        <v>119</v>
      </c>
      <c r="D4780" t="s">
        <v>1629</v>
      </c>
      <c r="E4780">
        <v>371.68</v>
      </c>
      <c r="F4780" t="s">
        <v>1578</v>
      </c>
      <c r="G4780" t="s">
        <v>1453</v>
      </c>
    </row>
    <row r="4781" spans="1:7">
      <c r="A4781" t="s">
        <v>6384</v>
      </c>
      <c r="B4781" s="2">
        <v>45939</v>
      </c>
      <c r="C4781" t="s">
        <v>77</v>
      </c>
      <c r="D4781" t="s">
        <v>1683</v>
      </c>
      <c r="E4781">
        <v>303</v>
      </c>
      <c r="F4781" t="s">
        <v>1578</v>
      </c>
      <c r="G4781" t="s">
        <v>891</v>
      </c>
    </row>
    <row r="4782" spans="1:7">
      <c r="A4782" t="s">
        <v>6385</v>
      </c>
      <c r="B4782" s="2">
        <v>45939</v>
      </c>
      <c r="C4782" t="s">
        <v>108</v>
      </c>
      <c r="D4782" t="s">
        <v>1683</v>
      </c>
      <c r="E4782">
        <v>341</v>
      </c>
      <c r="F4782" t="s">
        <v>1578</v>
      </c>
      <c r="G4782" t="s">
        <v>892</v>
      </c>
    </row>
    <row r="4783" spans="1:7">
      <c r="A4783" t="s">
        <v>6386</v>
      </c>
      <c r="B4783" s="2">
        <v>45940</v>
      </c>
      <c r="C4783" t="s">
        <v>104</v>
      </c>
      <c r="D4783" t="s">
        <v>1683</v>
      </c>
      <c r="E4783">
        <v>211</v>
      </c>
      <c r="F4783" t="s">
        <v>1578</v>
      </c>
      <c r="G4783" t="s">
        <v>893</v>
      </c>
    </row>
    <row r="4784" spans="1:7">
      <c r="A4784" t="s">
        <v>6387</v>
      </c>
      <c r="B4784" s="2">
        <v>45941</v>
      </c>
      <c r="C4784" t="s">
        <v>61</v>
      </c>
      <c r="D4784" t="s">
        <v>1629</v>
      </c>
      <c r="E4784">
        <v>389.64</v>
      </c>
      <c r="F4784" t="s">
        <v>1578</v>
      </c>
      <c r="G4784" t="s">
        <v>1454</v>
      </c>
    </row>
    <row r="4785" spans="1:7">
      <c r="A4785" t="s">
        <v>6388</v>
      </c>
      <c r="B4785" s="2">
        <v>45941</v>
      </c>
      <c r="C4785" t="s">
        <v>65</v>
      </c>
      <c r="D4785" t="s">
        <v>1629</v>
      </c>
      <c r="E4785">
        <v>387.73</v>
      </c>
      <c r="F4785" t="s">
        <v>1578</v>
      </c>
      <c r="G4785" t="s">
        <v>1454</v>
      </c>
    </row>
    <row r="4786" spans="1:7">
      <c r="A4786" t="s">
        <v>6389</v>
      </c>
      <c r="B4786" s="2">
        <v>45941</v>
      </c>
      <c r="C4786" t="s">
        <v>68</v>
      </c>
      <c r="D4786" t="s">
        <v>1629</v>
      </c>
      <c r="E4786">
        <v>389.64</v>
      </c>
      <c r="F4786" t="s">
        <v>1578</v>
      </c>
      <c r="G4786" t="s">
        <v>1454</v>
      </c>
    </row>
    <row r="4787" spans="1:7">
      <c r="A4787" t="s">
        <v>6390</v>
      </c>
      <c r="B4787" s="2">
        <v>45941</v>
      </c>
      <c r="C4787" t="s">
        <v>75</v>
      </c>
      <c r="D4787" t="s">
        <v>1629</v>
      </c>
      <c r="E4787">
        <v>385.82</v>
      </c>
      <c r="F4787" t="s">
        <v>1578</v>
      </c>
      <c r="G4787" t="s">
        <v>1454</v>
      </c>
    </row>
    <row r="4788" spans="1:7">
      <c r="A4788" t="s">
        <v>6391</v>
      </c>
      <c r="B4788" s="2">
        <v>45941</v>
      </c>
      <c r="C4788" t="s">
        <v>79</v>
      </c>
      <c r="D4788" t="s">
        <v>1629</v>
      </c>
      <c r="E4788">
        <v>389.64</v>
      </c>
      <c r="F4788" t="s">
        <v>1578</v>
      </c>
      <c r="G4788" t="s">
        <v>1454</v>
      </c>
    </row>
    <row r="4789" spans="1:7">
      <c r="A4789" t="s">
        <v>6392</v>
      </c>
      <c r="B4789" s="2">
        <v>45941</v>
      </c>
      <c r="C4789" t="s">
        <v>81</v>
      </c>
      <c r="D4789" t="s">
        <v>1629</v>
      </c>
      <c r="E4789">
        <v>771.64</v>
      </c>
      <c r="F4789" t="s">
        <v>1578</v>
      </c>
      <c r="G4789" t="s">
        <v>1454</v>
      </c>
    </row>
    <row r="4790" spans="1:7">
      <c r="A4790" t="s">
        <v>6393</v>
      </c>
      <c r="B4790" s="2">
        <v>45941</v>
      </c>
      <c r="C4790" t="s">
        <v>110</v>
      </c>
      <c r="D4790" t="s">
        <v>1629</v>
      </c>
      <c r="E4790">
        <v>389.64</v>
      </c>
      <c r="F4790" t="s">
        <v>1578</v>
      </c>
      <c r="G4790" t="s">
        <v>1454</v>
      </c>
    </row>
    <row r="4791" spans="1:7">
      <c r="A4791" t="s">
        <v>6394</v>
      </c>
      <c r="B4791" s="2">
        <v>45941</v>
      </c>
      <c r="C4791" t="s">
        <v>114</v>
      </c>
      <c r="D4791" t="s">
        <v>1629</v>
      </c>
      <c r="E4791">
        <v>385.82</v>
      </c>
      <c r="F4791" t="s">
        <v>1578</v>
      </c>
      <c r="G4791" t="s">
        <v>1454</v>
      </c>
    </row>
    <row r="4792" spans="1:7">
      <c r="A4792" t="s">
        <v>6395</v>
      </c>
      <c r="B4792" s="2">
        <v>45941</v>
      </c>
      <c r="C4792" t="s">
        <v>117</v>
      </c>
      <c r="D4792" t="s">
        <v>1629</v>
      </c>
      <c r="E4792">
        <v>383.91</v>
      </c>
      <c r="F4792" t="s">
        <v>1578</v>
      </c>
      <c r="G4792" t="s">
        <v>1454</v>
      </c>
    </row>
    <row r="4793" spans="1:7">
      <c r="A4793" t="s">
        <v>6396</v>
      </c>
      <c r="B4793" s="2">
        <v>45941</v>
      </c>
      <c r="C4793" t="s">
        <v>119</v>
      </c>
      <c r="D4793" t="s">
        <v>1629</v>
      </c>
      <c r="E4793">
        <v>385.82</v>
      </c>
      <c r="F4793" t="s">
        <v>1578</v>
      </c>
      <c r="G4793" t="s">
        <v>1454</v>
      </c>
    </row>
    <row r="4794" spans="1:7">
      <c r="A4794" t="s">
        <v>6397</v>
      </c>
      <c r="B4794" s="2">
        <v>45941</v>
      </c>
      <c r="C4794" t="s">
        <v>75</v>
      </c>
      <c r="D4794" t="s">
        <v>1629</v>
      </c>
      <c r="E4794">
        <v>332.29</v>
      </c>
      <c r="F4794" t="s">
        <v>1578</v>
      </c>
      <c r="G4794" t="s">
        <v>1455</v>
      </c>
    </row>
    <row r="4795" spans="1:7">
      <c r="A4795" t="s">
        <v>6398</v>
      </c>
      <c r="B4795" s="2">
        <v>45941</v>
      </c>
      <c r="C4795" t="s">
        <v>91</v>
      </c>
      <c r="D4795" t="s">
        <v>1629</v>
      </c>
      <c r="E4795">
        <v>337.22</v>
      </c>
      <c r="F4795" t="s">
        <v>1578</v>
      </c>
      <c r="G4795" t="s">
        <v>1455</v>
      </c>
    </row>
    <row r="4796" spans="1:7">
      <c r="A4796" t="s">
        <v>6399</v>
      </c>
      <c r="B4796" s="2">
        <v>45941</v>
      </c>
      <c r="C4796" t="s">
        <v>93</v>
      </c>
      <c r="D4796" t="s">
        <v>1629</v>
      </c>
      <c r="E4796">
        <v>335.58</v>
      </c>
      <c r="F4796" t="s">
        <v>1578</v>
      </c>
      <c r="G4796" t="s">
        <v>1455</v>
      </c>
    </row>
    <row r="4797" spans="1:7">
      <c r="A4797" t="s">
        <v>6400</v>
      </c>
      <c r="B4797" s="2">
        <v>45941</v>
      </c>
      <c r="C4797" t="s">
        <v>95</v>
      </c>
      <c r="D4797" t="s">
        <v>1629</v>
      </c>
      <c r="E4797">
        <v>333.93</v>
      </c>
      <c r="F4797" t="s">
        <v>1578</v>
      </c>
      <c r="G4797" t="s">
        <v>1455</v>
      </c>
    </row>
    <row r="4798" spans="1:7">
      <c r="A4798" t="s">
        <v>6401</v>
      </c>
      <c r="B4798" s="2">
        <v>45941</v>
      </c>
      <c r="C4798" t="s">
        <v>97</v>
      </c>
      <c r="D4798" t="s">
        <v>1629</v>
      </c>
      <c r="E4798">
        <v>332.29</v>
      </c>
      <c r="F4798" t="s">
        <v>1578</v>
      </c>
      <c r="G4798" t="s">
        <v>1455</v>
      </c>
    </row>
    <row r="4799" spans="1:7">
      <c r="A4799" t="s">
        <v>6402</v>
      </c>
      <c r="B4799" s="2">
        <v>45941</v>
      </c>
      <c r="C4799" t="s">
        <v>99</v>
      </c>
      <c r="D4799" t="s">
        <v>1629</v>
      </c>
      <c r="E4799">
        <v>406.64</v>
      </c>
      <c r="F4799" t="s">
        <v>1578</v>
      </c>
      <c r="G4799" t="s">
        <v>1455</v>
      </c>
    </row>
    <row r="4800" spans="1:7">
      <c r="A4800" t="s">
        <v>6403</v>
      </c>
      <c r="B4800" s="2">
        <v>45941</v>
      </c>
      <c r="C4800" t="s">
        <v>102</v>
      </c>
      <c r="D4800" t="s">
        <v>1629</v>
      </c>
      <c r="E4800">
        <v>335.58</v>
      </c>
      <c r="F4800" t="s">
        <v>1578</v>
      </c>
      <c r="G4800" t="s">
        <v>1455</v>
      </c>
    </row>
    <row r="4801" spans="1:7">
      <c r="A4801" t="s">
        <v>6404</v>
      </c>
      <c r="B4801" s="2">
        <v>45941</v>
      </c>
      <c r="C4801" t="s">
        <v>108</v>
      </c>
      <c r="D4801" t="s">
        <v>1629</v>
      </c>
      <c r="E4801">
        <v>667.87</v>
      </c>
      <c r="F4801" t="s">
        <v>1578</v>
      </c>
      <c r="G4801" t="s">
        <v>1455</v>
      </c>
    </row>
    <row r="4802" spans="1:7">
      <c r="A4802" t="s">
        <v>6405</v>
      </c>
      <c r="B4802" s="2">
        <v>45941</v>
      </c>
      <c r="C4802" t="s">
        <v>110</v>
      </c>
      <c r="D4802" t="s">
        <v>1629</v>
      </c>
      <c r="E4802">
        <v>335.58</v>
      </c>
      <c r="F4802" t="s">
        <v>1578</v>
      </c>
      <c r="G4802" t="s">
        <v>1455</v>
      </c>
    </row>
    <row r="4803" spans="1:7">
      <c r="A4803" t="s">
        <v>6406</v>
      </c>
      <c r="B4803" s="2">
        <v>45941</v>
      </c>
      <c r="C4803" t="s">
        <v>114</v>
      </c>
      <c r="D4803" t="s">
        <v>1629</v>
      </c>
      <c r="E4803">
        <v>332.29</v>
      </c>
      <c r="F4803" t="s">
        <v>1578</v>
      </c>
      <c r="G4803" t="s">
        <v>1455</v>
      </c>
    </row>
    <row r="4804" spans="1:7">
      <c r="A4804" t="s">
        <v>6407</v>
      </c>
      <c r="B4804" s="2">
        <v>45941</v>
      </c>
      <c r="C4804" t="s">
        <v>117</v>
      </c>
      <c r="D4804" t="s">
        <v>1629</v>
      </c>
      <c r="E4804">
        <v>330.64</v>
      </c>
      <c r="F4804" t="s">
        <v>1578</v>
      </c>
      <c r="G4804" t="s">
        <v>1455</v>
      </c>
    </row>
    <row r="4805" spans="1:7">
      <c r="A4805" t="s">
        <v>6408</v>
      </c>
      <c r="B4805" s="2">
        <v>45941</v>
      </c>
      <c r="C4805" t="s">
        <v>119</v>
      </c>
      <c r="D4805" t="s">
        <v>1629</v>
      </c>
      <c r="E4805">
        <v>332.29</v>
      </c>
      <c r="F4805" t="s">
        <v>1578</v>
      </c>
      <c r="G4805" t="s">
        <v>1455</v>
      </c>
    </row>
    <row r="4806" spans="1:7">
      <c r="A4806" t="s">
        <v>6409</v>
      </c>
      <c r="B4806" s="2">
        <v>45941</v>
      </c>
      <c r="C4806" t="s">
        <v>77</v>
      </c>
      <c r="D4806" t="s">
        <v>1683</v>
      </c>
      <c r="E4806">
        <v>184</v>
      </c>
      <c r="F4806" t="s">
        <v>1578</v>
      </c>
      <c r="G4806" t="s">
        <v>895</v>
      </c>
    </row>
    <row r="4807" spans="1:7">
      <c r="A4807" t="s">
        <v>6410</v>
      </c>
      <c r="B4807" s="2">
        <v>45942</v>
      </c>
      <c r="C4807" t="s">
        <v>61</v>
      </c>
      <c r="D4807" t="s">
        <v>1629</v>
      </c>
      <c r="E4807">
        <v>316.2</v>
      </c>
      <c r="F4807" t="s">
        <v>1578</v>
      </c>
      <c r="G4807" t="s">
        <v>1456</v>
      </c>
    </row>
    <row r="4808" spans="1:7">
      <c r="A4808" t="s">
        <v>6411</v>
      </c>
      <c r="B4808" s="2">
        <v>45942</v>
      </c>
      <c r="C4808" t="s">
        <v>65</v>
      </c>
      <c r="D4808" t="s">
        <v>1629</v>
      </c>
      <c r="E4808">
        <v>314.64999999999998</v>
      </c>
      <c r="F4808" t="s">
        <v>1578</v>
      </c>
      <c r="G4808" t="s">
        <v>1456</v>
      </c>
    </row>
    <row r="4809" spans="1:7">
      <c r="A4809" t="s">
        <v>6412</v>
      </c>
      <c r="B4809" s="2">
        <v>45942</v>
      </c>
      <c r="C4809" t="s">
        <v>68</v>
      </c>
      <c r="D4809" t="s">
        <v>1629</v>
      </c>
      <c r="E4809">
        <v>316.2</v>
      </c>
      <c r="F4809" t="s">
        <v>1578</v>
      </c>
      <c r="G4809" t="s">
        <v>1456</v>
      </c>
    </row>
    <row r="4810" spans="1:7">
      <c r="A4810" t="s">
        <v>6413</v>
      </c>
      <c r="B4810" s="2">
        <v>45942</v>
      </c>
      <c r="C4810" t="s">
        <v>70</v>
      </c>
      <c r="D4810" t="s">
        <v>1629</v>
      </c>
      <c r="E4810">
        <v>313.10000000000002</v>
      </c>
      <c r="F4810" t="s">
        <v>1578</v>
      </c>
      <c r="G4810" t="s">
        <v>1456</v>
      </c>
    </row>
    <row r="4811" spans="1:7">
      <c r="A4811" t="s">
        <v>6414</v>
      </c>
      <c r="B4811" s="2">
        <v>45942</v>
      </c>
      <c r="C4811" t="s">
        <v>75</v>
      </c>
      <c r="D4811" t="s">
        <v>1629</v>
      </c>
      <c r="E4811">
        <v>313.10000000000002</v>
      </c>
      <c r="F4811" t="s">
        <v>1578</v>
      </c>
      <c r="G4811" t="s">
        <v>1456</v>
      </c>
    </row>
    <row r="4812" spans="1:7">
      <c r="A4812" t="s">
        <v>6415</v>
      </c>
      <c r="B4812" s="2">
        <v>45942</v>
      </c>
      <c r="C4812" t="s">
        <v>77</v>
      </c>
      <c r="D4812" t="s">
        <v>1629</v>
      </c>
      <c r="E4812">
        <v>313.10000000000002</v>
      </c>
      <c r="F4812" t="s">
        <v>1578</v>
      </c>
      <c r="G4812" t="s">
        <v>1456</v>
      </c>
    </row>
    <row r="4813" spans="1:7">
      <c r="A4813" t="s">
        <v>6416</v>
      </c>
      <c r="B4813" s="2">
        <v>45942</v>
      </c>
      <c r="C4813" t="s">
        <v>79</v>
      </c>
      <c r="D4813" t="s">
        <v>1629</v>
      </c>
      <c r="E4813">
        <v>316.2</v>
      </c>
      <c r="F4813" t="s">
        <v>1578</v>
      </c>
      <c r="G4813" t="s">
        <v>1456</v>
      </c>
    </row>
    <row r="4814" spans="1:7">
      <c r="A4814" t="s">
        <v>6417</v>
      </c>
      <c r="B4814" s="2">
        <v>45942</v>
      </c>
      <c r="C4814" t="s">
        <v>81</v>
      </c>
      <c r="D4814" t="s">
        <v>1629</v>
      </c>
      <c r="E4814">
        <v>626.20000000000005</v>
      </c>
      <c r="F4814" t="s">
        <v>1578</v>
      </c>
      <c r="G4814" t="s">
        <v>1456</v>
      </c>
    </row>
    <row r="4815" spans="1:7">
      <c r="A4815" t="s">
        <v>6418</v>
      </c>
      <c r="B4815" s="2">
        <v>45942</v>
      </c>
      <c r="C4815" t="s">
        <v>110</v>
      </c>
      <c r="D4815" t="s">
        <v>1629</v>
      </c>
      <c r="E4815">
        <v>316.2</v>
      </c>
      <c r="F4815" t="s">
        <v>1578</v>
      </c>
      <c r="G4815" t="s">
        <v>1456</v>
      </c>
    </row>
    <row r="4816" spans="1:7">
      <c r="A4816" t="s">
        <v>6419</v>
      </c>
      <c r="B4816" s="2">
        <v>45942</v>
      </c>
      <c r="C4816" t="s">
        <v>114</v>
      </c>
      <c r="D4816" t="s">
        <v>1629</v>
      </c>
      <c r="E4816">
        <v>313.10000000000002</v>
      </c>
      <c r="F4816" t="s">
        <v>1578</v>
      </c>
      <c r="G4816" t="s">
        <v>1456</v>
      </c>
    </row>
    <row r="4817" spans="1:7">
      <c r="A4817" t="s">
        <v>6420</v>
      </c>
      <c r="B4817" s="2">
        <v>45942</v>
      </c>
      <c r="C4817" t="s">
        <v>117</v>
      </c>
      <c r="D4817" t="s">
        <v>1629</v>
      </c>
      <c r="E4817">
        <v>311.55</v>
      </c>
      <c r="F4817" t="s">
        <v>1578</v>
      </c>
      <c r="G4817" t="s">
        <v>1456</v>
      </c>
    </row>
    <row r="4818" spans="1:7">
      <c r="A4818" t="s">
        <v>6421</v>
      </c>
      <c r="B4818" s="2">
        <v>45942</v>
      </c>
      <c r="C4818" t="s">
        <v>119</v>
      </c>
      <c r="D4818" t="s">
        <v>1629</v>
      </c>
      <c r="E4818">
        <v>313.10000000000002</v>
      </c>
      <c r="F4818" t="s">
        <v>1578</v>
      </c>
      <c r="G4818" t="s">
        <v>1456</v>
      </c>
    </row>
    <row r="4819" spans="1:7">
      <c r="A4819" t="s">
        <v>6422</v>
      </c>
      <c r="B4819" s="2">
        <v>45942</v>
      </c>
      <c r="C4819" t="s">
        <v>75</v>
      </c>
      <c r="D4819" t="s">
        <v>1629</v>
      </c>
      <c r="E4819">
        <v>434.3</v>
      </c>
      <c r="F4819" t="s">
        <v>1578</v>
      </c>
      <c r="G4819" t="s">
        <v>1457</v>
      </c>
    </row>
    <row r="4820" spans="1:7">
      <c r="A4820" t="s">
        <v>6423</v>
      </c>
      <c r="B4820" s="2">
        <v>45942</v>
      </c>
      <c r="C4820" t="s">
        <v>91</v>
      </c>
      <c r="D4820" t="s">
        <v>1629</v>
      </c>
      <c r="E4820">
        <v>440.75</v>
      </c>
      <c r="F4820" t="s">
        <v>1578</v>
      </c>
      <c r="G4820" t="s">
        <v>1457</v>
      </c>
    </row>
    <row r="4821" spans="1:7">
      <c r="A4821" t="s">
        <v>6424</v>
      </c>
      <c r="B4821" s="2">
        <v>45942</v>
      </c>
      <c r="C4821" t="s">
        <v>93</v>
      </c>
      <c r="D4821" t="s">
        <v>1629</v>
      </c>
      <c r="E4821">
        <v>438.6</v>
      </c>
      <c r="F4821" t="s">
        <v>1578</v>
      </c>
      <c r="G4821" t="s">
        <v>1457</v>
      </c>
    </row>
    <row r="4822" spans="1:7">
      <c r="A4822" t="s">
        <v>6425</v>
      </c>
      <c r="B4822" s="2">
        <v>45942</v>
      </c>
      <c r="C4822" t="s">
        <v>95</v>
      </c>
      <c r="D4822" t="s">
        <v>1629</v>
      </c>
      <c r="E4822">
        <v>436.45</v>
      </c>
      <c r="F4822" t="s">
        <v>1578</v>
      </c>
      <c r="G4822" t="s">
        <v>1457</v>
      </c>
    </row>
    <row r="4823" spans="1:7">
      <c r="A4823" t="s">
        <v>6426</v>
      </c>
      <c r="B4823" s="2">
        <v>45942</v>
      </c>
      <c r="C4823" t="s">
        <v>97</v>
      </c>
      <c r="D4823" t="s">
        <v>1629</v>
      </c>
      <c r="E4823">
        <v>434.3</v>
      </c>
      <c r="F4823" t="s">
        <v>1578</v>
      </c>
      <c r="G4823" t="s">
        <v>1457</v>
      </c>
    </row>
    <row r="4824" spans="1:7">
      <c r="A4824" t="s">
        <v>6427</v>
      </c>
      <c r="B4824" s="2">
        <v>45942</v>
      </c>
      <c r="C4824" t="s">
        <v>99</v>
      </c>
      <c r="D4824" t="s">
        <v>1629</v>
      </c>
      <c r="E4824">
        <v>531.48</v>
      </c>
      <c r="F4824" t="s">
        <v>1578</v>
      </c>
      <c r="G4824" t="s">
        <v>1457</v>
      </c>
    </row>
    <row r="4825" spans="1:7">
      <c r="A4825" t="s">
        <v>6428</v>
      </c>
      <c r="B4825" s="2">
        <v>45942</v>
      </c>
      <c r="C4825" t="s">
        <v>102</v>
      </c>
      <c r="D4825" t="s">
        <v>1629</v>
      </c>
      <c r="E4825">
        <v>438.6</v>
      </c>
      <c r="F4825" t="s">
        <v>1578</v>
      </c>
      <c r="G4825" t="s">
        <v>1457</v>
      </c>
    </row>
    <row r="4826" spans="1:7">
      <c r="A4826" t="s">
        <v>6429</v>
      </c>
      <c r="B4826" s="2">
        <v>45942</v>
      </c>
      <c r="C4826" t="s">
        <v>108</v>
      </c>
      <c r="D4826" t="s">
        <v>1629</v>
      </c>
      <c r="E4826">
        <v>872.9</v>
      </c>
      <c r="F4826" t="s">
        <v>1578</v>
      </c>
      <c r="G4826" t="s">
        <v>1457</v>
      </c>
    </row>
    <row r="4827" spans="1:7">
      <c r="A4827" t="s">
        <v>6430</v>
      </c>
      <c r="B4827" s="2">
        <v>45942</v>
      </c>
      <c r="C4827" t="s">
        <v>110</v>
      </c>
      <c r="D4827" t="s">
        <v>1629</v>
      </c>
      <c r="E4827">
        <v>438.6</v>
      </c>
      <c r="F4827" t="s">
        <v>1578</v>
      </c>
      <c r="G4827" t="s">
        <v>1457</v>
      </c>
    </row>
    <row r="4828" spans="1:7">
      <c r="A4828" t="s">
        <v>6431</v>
      </c>
      <c r="B4828" s="2">
        <v>45942</v>
      </c>
      <c r="C4828" t="s">
        <v>114</v>
      </c>
      <c r="D4828" t="s">
        <v>1629</v>
      </c>
      <c r="E4828">
        <v>434.3</v>
      </c>
      <c r="F4828" t="s">
        <v>1578</v>
      </c>
      <c r="G4828" t="s">
        <v>1457</v>
      </c>
    </row>
    <row r="4829" spans="1:7">
      <c r="A4829" t="s">
        <v>6432</v>
      </c>
      <c r="B4829" s="2">
        <v>45942</v>
      </c>
      <c r="C4829" t="s">
        <v>117</v>
      </c>
      <c r="D4829" t="s">
        <v>1629</v>
      </c>
      <c r="E4829">
        <v>432.15</v>
      </c>
      <c r="F4829" t="s">
        <v>1578</v>
      </c>
      <c r="G4829" t="s">
        <v>1457</v>
      </c>
    </row>
    <row r="4830" spans="1:7">
      <c r="A4830" t="s">
        <v>6433</v>
      </c>
      <c r="B4830" s="2">
        <v>45942</v>
      </c>
      <c r="C4830" t="s">
        <v>119</v>
      </c>
      <c r="D4830" t="s">
        <v>1629</v>
      </c>
      <c r="E4830">
        <v>434.3</v>
      </c>
      <c r="F4830" t="s">
        <v>1578</v>
      </c>
      <c r="G4830" t="s">
        <v>1457</v>
      </c>
    </row>
    <row r="4831" spans="1:7">
      <c r="A4831" t="s">
        <v>6434</v>
      </c>
      <c r="B4831" s="2">
        <v>45942</v>
      </c>
      <c r="C4831" t="s">
        <v>106</v>
      </c>
      <c r="D4831" t="s">
        <v>1683</v>
      </c>
      <c r="E4831">
        <v>138</v>
      </c>
      <c r="F4831" t="s">
        <v>1578</v>
      </c>
      <c r="G4831" t="s">
        <v>896</v>
      </c>
    </row>
    <row r="4832" spans="1:7">
      <c r="A4832" t="s">
        <v>6435</v>
      </c>
      <c r="B4832" s="2">
        <v>45943</v>
      </c>
      <c r="C4832" t="s">
        <v>61</v>
      </c>
      <c r="D4832" t="s">
        <v>1629</v>
      </c>
      <c r="E4832">
        <v>260.10000000000002</v>
      </c>
      <c r="F4832" t="s">
        <v>1578</v>
      </c>
      <c r="G4832" t="s">
        <v>1458</v>
      </c>
    </row>
    <row r="4833" spans="1:7">
      <c r="A4833" t="s">
        <v>6436</v>
      </c>
      <c r="B4833" s="2">
        <v>45943</v>
      </c>
      <c r="C4833" t="s">
        <v>65</v>
      </c>
      <c r="D4833" t="s">
        <v>1629</v>
      </c>
      <c r="E4833">
        <v>258.82</v>
      </c>
      <c r="F4833" t="s">
        <v>1578</v>
      </c>
      <c r="G4833" t="s">
        <v>1458</v>
      </c>
    </row>
    <row r="4834" spans="1:7">
      <c r="A4834" t="s">
        <v>6437</v>
      </c>
      <c r="B4834" s="2">
        <v>45943</v>
      </c>
      <c r="C4834" t="s">
        <v>68</v>
      </c>
      <c r="D4834" t="s">
        <v>1629</v>
      </c>
      <c r="E4834">
        <v>260.10000000000002</v>
      </c>
      <c r="F4834" t="s">
        <v>1578</v>
      </c>
      <c r="G4834" t="s">
        <v>1458</v>
      </c>
    </row>
    <row r="4835" spans="1:7">
      <c r="A4835" t="s">
        <v>6438</v>
      </c>
      <c r="B4835" s="2">
        <v>45943</v>
      </c>
      <c r="C4835" t="s">
        <v>70</v>
      </c>
      <c r="D4835" t="s">
        <v>1629</v>
      </c>
      <c r="E4835">
        <v>257.55</v>
      </c>
      <c r="F4835" t="s">
        <v>1578</v>
      </c>
      <c r="G4835" t="s">
        <v>1458</v>
      </c>
    </row>
    <row r="4836" spans="1:7">
      <c r="A4836" t="s">
        <v>6439</v>
      </c>
      <c r="B4836" s="2">
        <v>45943</v>
      </c>
      <c r="C4836" t="s">
        <v>75</v>
      </c>
      <c r="D4836" t="s">
        <v>1629</v>
      </c>
      <c r="E4836">
        <v>257.55</v>
      </c>
      <c r="F4836" t="s">
        <v>1578</v>
      </c>
      <c r="G4836" t="s">
        <v>1458</v>
      </c>
    </row>
    <row r="4837" spans="1:7">
      <c r="A4837" t="s">
        <v>6440</v>
      </c>
      <c r="B4837" s="2">
        <v>45943</v>
      </c>
      <c r="C4837" t="s">
        <v>77</v>
      </c>
      <c r="D4837" t="s">
        <v>1629</v>
      </c>
      <c r="E4837">
        <v>257.55</v>
      </c>
      <c r="F4837" t="s">
        <v>1578</v>
      </c>
      <c r="G4837" t="s">
        <v>1458</v>
      </c>
    </row>
    <row r="4838" spans="1:7">
      <c r="A4838" t="s">
        <v>6441</v>
      </c>
      <c r="B4838" s="2">
        <v>45943</v>
      </c>
      <c r="C4838" t="s">
        <v>79</v>
      </c>
      <c r="D4838" t="s">
        <v>1629</v>
      </c>
      <c r="E4838">
        <v>260.10000000000002</v>
      </c>
      <c r="F4838" t="s">
        <v>1578</v>
      </c>
      <c r="G4838" t="s">
        <v>1458</v>
      </c>
    </row>
    <row r="4839" spans="1:7">
      <c r="A4839" t="s">
        <v>6442</v>
      </c>
      <c r="B4839" s="2">
        <v>45943</v>
      </c>
      <c r="C4839" t="s">
        <v>81</v>
      </c>
      <c r="D4839" t="s">
        <v>1629</v>
      </c>
      <c r="E4839">
        <v>515.1</v>
      </c>
      <c r="F4839" t="s">
        <v>1578</v>
      </c>
      <c r="G4839" t="s">
        <v>1458</v>
      </c>
    </row>
    <row r="4840" spans="1:7">
      <c r="A4840" t="s">
        <v>6443</v>
      </c>
      <c r="B4840" s="2">
        <v>45943</v>
      </c>
      <c r="C4840" t="s">
        <v>108</v>
      </c>
      <c r="D4840" t="s">
        <v>1629</v>
      </c>
      <c r="E4840">
        <v>517.65</v>
      </c>
      <c r="F4840" t="s">
        <v>1578</v>
      </c>
      <c r="G4840" t="s">
        <v>1458</v>
      </c>
    </row>
    <row r="4841" spans="1:7">
      <c r="A4841" t="s">
        <v>6444</v>
      </c>
      <c r="B4841" s="2">
        <v>45943</v>
      </c>
      <c r="C4841" t="s">
        <v>110</v>
      </c>
      <c r="D4841" t="s">
        <v>1629</v>
      </c>
      <c r="E4841">
        <v>260.10000000000002</v>
      </c>
      <c r="F4841" t="s">
        <v>1578</v>
      </c>
      <c r="G4841" t="s">
        <v>1458</v>
      </c>
    </row>
    <row r="4842" spans="1:7">
      <c r="A4842" t="s">
        <v>6445</v>
      </c>
      <c r="B4842" s="2">
        <v>45943</v>
      </c>
      <c r="C4842" t="s">
        <v>114</v>
      </c>
      <c r="D4842" t="s">
        <v>1629</v>
      </c>
      <c r="E4842">
        <v>257.55</v>
      </c>
      <c r="F4842" t="s">
        <v>1578</v>
      </c>
      <c r="G4842" t="s">
        <v>1458</v>
      </c>
    </row>
    <row r="4843" spans="1:7">
      <c r="A4843" t="s">
        <v>6446</v>
      </c>
      <c r="B4843" s="2">
        <v>45943</v>
      </c>
      <c r="C4843" t="s">
        <v>117</v>
      </c>
      <c r="D4843" t="s">
        <v>1629</v>
      </c>
      <c r="E4843">
        <v>256.27</v>
      </c>
      <c r="F4843" t="s">
        <v>1578</v>
      </c>
      <c r="G4843" t="s">
        <v>1458</v>
      </c>
    </row>
    <row r="4844" spans="1:7">
      <c r="A4844" t="s">
        <v>6447</v>
      </c>
      <c r="B4844" s="2">
        <v>45943</v>
      </c>
      <c r="C4844" t="s">
        <v>119</v>
      </c>
      <c r="D4844" t="s">
        <v>1629</v>
      </c>
      <c r="E4844">
        <v>257.55</v>
      </c>
      <c r="F4844" t="s">
        <v>1578</v>
      </c>
      <c r="G4844" t="s">
        <v>1458</v>
      </c>
    </row>
    <row r="4845" spans="1:7">
      <c r="A4845" t="s">
        <v>6448</v>
      </c>
      <c r="B4845" s="2">
        <v>45943</v>
      </c>
      <c r="C4845" t="s">
        <v>81</v>
      </c>
      <c r="D4845" t="s">
        <v>1683</v>
      </c>
      <c r="E4845">
        <v>115</v>
      </c>
      <c r="F4845" t="s">
        <v>1578</v>
      </c>
      <c r="G4845" t="s">
        <v>897</v>
      </c>
    </row>
    <row r="4846" spans="1:7">
      <c r="A4846" t="s">
        <v>6449</v>
      </c>
      <c r="B4846" s="2">
        <v>45943</v>
      </c>
      <c r="C4846" t="s">
        <v>65</v>
      </c>
      <c r="D4846" t="s">
        <v>1683</v>
      </c>
      <c r="E4846">
        <v>278</v>
      </c>
      <c r="F4846" t="s">
        <v>1578</v>
      </c>
      <c r="G4846" t="s">
        <v>899</v>
      </c>
    </row>
    <row r="4847" spans="1:7">
      <c r="A4847" t="s">
        <v>6450</v>
      </c>
      <c r="B4847" s="2">
        <v>45943</v>
      </c>
      <c r="C4847" t="s">
        <v>104</v>
      </c>
      <c r="D4847" t="s">
        <v>1683</v>
      </c>
      <c r="E4847">
        <v>230</v>
      </c>
      <c r="F4847" t="s">
        <v>1578</v>
      </c>
      <c r="G4847" t="s">
        <v>900</v>
      </c>
    </row>
    <row r="4848" spans="1:7">
      <c r="A4848" t="s">
        <v>6451</v>
      </c>
      <c r="B4848" s="2">
        <v>45944</v>
      </c>
      <c r="C4848" t="s">
        <v>106</v>
      </c>
      <c r="D4848" t="s">
        <v>1683</v>
      </c>
      <c r="E4848">
        <v>275</v>
      </c>
      <c r="F4848" t="s">
        <v>1578</v>
      </c>
      <c r="G4848" t="s">
        <v>901</v>
      </c>
    </row>
    <row r="4849" spans="1:7">
      <c r="A4849" t="s">
        <v>6452</v>
      </c>
      <c r="B4849" s="2">
        <v>45944</v>
      </c>
      <c r="C4849" t="s">
        <v>84</v>
      </c>
      <c r="D4849" t="s">
        <v>1683</v>
      </c>
      <c r="E4849">
        <v>158</v>
      </c>
      <c r="F4849" t="s">
        <v>1578</v>
      </c>
      <c r="G4849" t="s">
        <v>903</v>
      </c>
    </row>
    <row r="4850" spans="1:7">
      <c r="A4850" t="s">
        <v>6453</v>
      </c>
      <c r="B4850" s="2">
        <v>45945</v>
      </c>
      <c r="C4850" t="s">
        <v>110</v>
      </c>
      <c r="D4850" t="s">
        <v>1683</v>
      </c>
      <c r="E4850">
        <v>493</v>
      </c>
      <c r="F4850" t="s">
        <v>1578</v>
      </c>
      <c r="G4850" t="s">
        <v>904</v>
      </c>
    </row>
    <row r="4851" spans="1:7">
      <c r="A4851" t="s">
        <v>6454</v>
      </c>
      <c r="B4851" s="2">
        <v>45945</v>
      </c>
      <c r="C4851" t="s">
        <v>104</v>
      </c>
      <c r="D4851" t="s">
        <v>1683</v>
      </c>
      <c r="E4851">
        <v>206</v>
      </c>
      <c r="F4851" t="s">
        <v>1578</v>
      </c>
      <c r="G4851" t="s">
        <v>905</v>
      </c>
    </row>
    <row r="4852" spans="1:7">
      <c r="A4852" t="s">
        <v>6455</v>
      </c>
      <c r="B4852" s="2">
        <v>45946</v>
      </c>
      <c r="C4852" t="s">
        <v>119</v>
      </c>
      <c r="D4852" t="s">
        <v>1683</v>
      </c>
      <c r="E4852">
        <v>311</v>
      </c>
      <c r="F4852" t="s">
        <v>1578</v>
      </c>
      <c r="G4852" t="s">
        <v>906</v>
      </c>
    </row>
    <row r="4853" spans="1:7">
      <c r="A4853" t="s">
        <v>6456</v>
      </c>
      <c r="B4853" s="2">
        <v>45947</v>
      </c>
      <c r="C4853" t="s">
        <v>75</v>
      </c>
      <c r="D4853" t="s">
        <v>1629</v>
      </c>
      <c r="E4853">
        <v>163.62</v>
      </c>
      <c r="F4853" t="s">
        <v>1578</v>
      </c>
      <c r="G4853" t="s">
        <v>1459</v>
      </c>
    </row>
    <row r="4854" spans="1:7">
      <c r="A4854" t="s">
        <v>6457</v>
      </c>
      <c r="B4854" s="2">
        <v>45947</v>
      </c>
      <c r="C4854" t="s">
        <v>104</v>
      </c>
      <c r="D4854" t="s">
        <v>1629</v>
      </c>
      <c r="E4854">
        <v>333.72</v>
      </c>
      <c r="F4854" t="s">
        <v>1578</v>
      </c>
      <c r="G4854" t="s">
        <v>1459</v>
      </c>
    </row>
    <row r="4855" spans="1:7">
      <c r="A4855" t="s">
        <v>6458</v>
      </c>
      <c r="B4855" s="2">
        <v>45947</v>
      </c>
      <c r="C4855" t="s">
        <v>108</v>
      </c>
      <c r="D4855" t="s">
        <v>1629</v>
      </c>
      <c r="E4855">
        <v>328.86</v>
      </c>
      <c r="F4855" t="s">
        <v>1578</v>
      </c>
      <c r="G4855" t="s">
        <v>1459</v>
      </c>
    </row>
    <row r="4856" spans="1:7">
      <c r="A4856" t="s">
        <v>6459</v>
      </c>
      <c r="B4856" s="2">
        <v>45947</v>
      </c>
      <c r="C4856" t="s">
        <v>110</v>
      </c>
      <c r="D4856" t="s">
        <v>1629</v>
      </c>
      <c r="E4856">
        <v>165.24</v>
      </c>
      <c r="F4856" t="s">
        <v>1578</v>
      </c>
      <c r="G4856" t="s">
        <v>1459</v>
      </c>
    </row>
    <row r="4857" spans="1:7">
      <c r="A4857" t="s">
        <v>6460</v>
      </c>
      <c r="B4857" s="2">
        <v>45947</v>
      </c>
      <c r="C4857" t="s">
        <v>114</v>
      </c>
      <c r="D4857" t="s">
        <v>1629</v>
      </c>
      <c r="E4857">
        <v>163.62</v>
      </c>
      <c r="F4857" t="s">
        <v>1578</v>
      </c>
      <c r="G4857" t="s">
        <v>1459</v>
      </c>
    </row>
    <row r="4858" spans="1:7">
      <c r="A4858" t="s">
        <v>6461</v>
      </c>
      <c r="B4858" s="2">
        <v>45947</v>
      </c>
      <c r="C4858" t="s">
        <v>117</v>
      </c>
      <c r="D4858" t="s">
        <v>1629</v>
      </c>
      <c r="E4858">
        <v>162.81</v>
      </c>
      <c r="F4858" t="s">
        <v>1578</v>
      </c>
      <c r="G4858" t="s">
        <v>1459</v>
      </c>
    </row>
    <row r="4859" spans="1:7">
      <c r="A4859" t="s">
        <v>6462</v>
      </c>
      <c r="B4859" s="2">
        <v>45947</v>
      </c>
      <c r="C4859" t="s">
        <v>119</v>
      </c>
      <c r="D4859" t="s">
        <v>1629</v>
      </c>
      <c r="E4859">
        <v>163.62</v>
      </c>
      <c r="F4859" t="s">
        <v>1578</v>
      </c>
      <c r="G4859" t="s">
        <v>1459</v>
      </c>
    </row>
    <row r="4860" spans="1:7">
      <c r="A4860" t="s">
        <v>6463</v>
      </c>
      <c r="B4860" s="2">
        <v>45947</v>
      </c>
      <c r="C4860" t="s">
        <v>61</v>
      </c>
      <c r="D4860" t="s">
        <v>1629</v>
      </c>
      <c r="E4860">
        <v>363.12</v>
      </c>
      <c r="F4860" t="s">
        <v>1578</v>
      </c>
      <c r="G4860" t="s">
        <v>1460</v>
      </c>
    </row>
    <row r="4861" spans="1:7">
      <c r="A4861" t="s">
        <v>6464</v>
      </c>
      <c r="B4861" s="2">
        <v>45947</v>
      </c>
      <c r="C4861" t="s">
        <v>65</v>
      </c>
      <c r="D4861" t="s">
        <v>1629</v>
      </c>
      <c r="E4861">
        <v>361.34</v>
      </c>
      <c r="F4861" t="s">
        <v>1578</v>
      </c>
      <c r="G4861" t="s">
        <v>1460</v>
      </c>
    </row>
    <row r="4862" spans="1:7">
      <c r="A4862" t="s">
        <v>6465</v>
      </c>
      <c r="B4862" s="2">
        <v>45947</v>
      </c>
      <c r="C4862" t="s">
        <v>68</v>
      </c>
      <c r="D4862" t="s">
        <v>1629</v>
      </c>
      <c r="E4862">
        <v>363.12</v>
      </c>
      <c r="F4862" t="s">
        <v>1578</v>
      </c>
      <c r="G4862" t="s">
        <v>1460</v>
      </c>
    </row>
    <row r="4863" spans="1:7">
      <c r="A4863" t="s">
        <v>6466</v>
      </c>
      <c r="B4863" s="2">
        <v>45947</v>
      </c>
      <c r="C4863" t="s">
        <v>70</v>
      </c>
      <c r="D4863" t="s">
        <v>1629</v>
      </c>
      <c r="E4863">
        <v>359.56</v>
      </c>
      <c r="F4863" t="s">
        <v>1578</v>
      </c>
      <c r="G4863" t="s">
        <v>1460</v>
      </c>
    </row>
    <row r="4864" spans="1:7">
      <c r="A4864" t="s">
        <v>6467</v>
      </c>
      <c r="B4864" s="2">
        <v>45947</v>
      </c>
      <c r="C4864" t="s">
        <v>75</v>
      </c>
      <c r="D4864" t="s">
        <v>1629</v>
      </c>
      <c r="E4864">
        <v>359.56</v>
      </c>
      <c r="F4864" t="s">
        <v>1578</v>
      </c>
      <c r="G4864" t="s">
        <v>1460</v>
      </c>
    </row>
    <row r="4865" spans="1:7">
      <c r="A4865" t="s">
        <v>6468</v>
      </c>
      <c r="B4865" s="2">
        <v>45947</v>
      </c>
      <c r="C4865" t="s">
        <v>77</v>
      </c>
      <c r="D4865" t="s">
        <v>1629</v>
      </c>
      <c r="E4865">
        <v>359.56</v>
      </c>
      <c r="F4865" t="s">
        <v>1578</v>
      </c>
      <c r="G4865" t="s">
        <v>1460</v>
      </c>
    </row>
    <row r="4866" spans="1:7">
      <c r="A4866" t="s">
        <v>6469</v>
      </c>
      <c r="B4866" s="2">
        <v>45947</v>
      </c>
      <c r="C4866" t="s">
        <v>79</v>
      </c>
      <c r="D4866" t="s">
        <v>1629</v>
      </c>
      <c r="E4866">
        <v>363.12</v>
      </c>
      <c r="F4866" t="s">
        <v>1578</v>
      </c>
      <c r="G4866" t="s">
        <v>1460</v>
      </c>
    </row>
    <row r="4867" spans="1:7">
      <c r="A4867" t="s">
        <v>6470</v>
      </c>
      <c r="B4867" s="2">
        <v>45947</v>
      </c>
      <c r="C4867" t="s">
        <v>81</v>
      </c>
      <c r="D4867" t="s">
        <v>1629</v>
      </c>
      <c r="E4867">
        <v>719.12</v>
      </c>
      <c r="F4867" t="s">
        <v>1578</v>
      </c>
      <c r="G4867" t="s">
        <v>1460</v>
      </c>
    </row>
    <row r="4868" spans="1:7">
      <c r="A4868" t="s">
        <v>6471</v>
      </c>
      <c r="B4868" s="2">
        <v>45947</v>
      </c>
      <c r="C4868" t="s">
        <v>110</v>
      </c>
      <c r="D4868" t="s">
        <v>1629</v>
      </c>
      <c r="E4868">
        <v>363.12</v>
      </c>
      <c r="F4868" t="s">
        <v>1578</v>
      </c>
      <c r="G4868" t="s">
        <v>1460</v>
      </c>
    </row>
    <row r="4869" spans="1:7">
      <c r="A4869" t="s">
        <v>6472</v>
      </c>
      <c r="B4869" s="2">
        <v>45947</v>
      </c>
      <c r="C4869" t="s">
        <v>114</v>
      </c>
      <c r="D4869" t="s">
        <v>1629</v>
      </c>
      <c r="E4869">
        <v>359.56</v>
      </c>
      <c r="F4869" t="s">
        <v>1578</v>
      </c>
      <c r="G4869" t="s">
        <v>1460</v>
      </c>
    </row>
    <row r="4870" spans="1:7">
      <c r="A4870" t="s">
        <v>6473</v>
      </c>
      <c r="B4870" s="2">
        <v>45947</v>
      </c>
      <c r="C4870" t="s">
        <v>117</v>
      </c>
      <c r="D4870" t="s">
        <v>1629</v>
      </c>
      <c r="E4870">
        <v>357.78</v>
      </c>
      <c r="F4870" t="s">
        <v>1578</v>
      </c>
      <c r="G4870" t="s">
        <v>1460</v>
      </c>
    </row>
    <row r="4871" spans="1:7">
      <c r="A4871" t="s">
        <v>6474</v>
      </c>
      <c r="B4871" s="2">
        <v>45947</v>
      </c>
      <c r="C4871" t="s">
        <v>119</v>
      </c>
      <c r="D4871" t="s">
        <v>1629</v>
      </c>
      <c r="E4871">
        <v>359.56</v>
      </c>
      <c r="F4871" t="s">
        <v>1578</v>
      </c>
      <c r="G4871" t="s">
        <v>1460</v>
      </c>
    </row>
    <row r="4872" spans="1:7">
      <c r="A4872" t="s">
        <v>6475</v>
      </c>
      <c r="B4872" s="2">
        <v>45947</v>
      </c>
      <c r="C4872" t="s">
        <v>61</v>
      </c>
      <c r="D4872" t="s">
        <v>1629</v>
      </c>
      <c r="E4872">
        <v>192.78</v>
      </c>
      <c r="F4872" t="s">
        <v>1578</v>
      </c>
      <c r="G4872" t="s">
        <v>1461</v>
      </c>
    </row>
    <row r="4873" spans="1:7">
      <c r="A4873" t="s">
        <v>6476</v>
      </c>
      <c r="B4873" s="2">
        <v>45947</v>
      </c>
      <c r="C4873" t="s">
        <v>65</v>
      </c>
      <c r="D4873" t="s">
        <v>1629</v>
      </c>
      <c r="E4873">
        <v>191.83</v>
      </c>
      <c r="F4873" t="s">
        <v>1578</v>
      </c>
      <c r="G4873" t="s">
        <v>1461</v>
      </c>
    </row>
    <row r="4874" spans="1:7">
      <c r="A4874" t="s">
        <v>6477</v>
      </c>
      <c r="B4874" s="2">
        <v>45947</v>
      </c>
      <c r="C4874" t="s">
        <v>68</v>
      </c>
      <c r="D4874" t="s">
        <v>1629</v>
      </c>
      <c r="E4874">
        <v>192.78</v>
      </c>
      <c r="F4874" t="s">
        <v>1578</v>
      </c>
      <c r="G4874" t="s">
        <v>1461</v>
      </c>
    </row>
    <row r="4875" spans="1:7">
      <c r="A4875" t="s">
        <v>6478</v>
      </c>
      <c r="B4875" s="2">
        <v>45947</v>
      </c>
      <c r="C4875" t="s">
        <v>70</v>
      </c>
      <c r="D4875" t="s">
        <v>1629</v>
      </c>
      <c r="E4875">
        <v>190.89</v>
      </c>
      <c r="F4875" t="s">
        <v>1578</v>
      </c>
      <c r="G4875" t="s">
        <v>1461</v>
      </c>
    </row>
    <row r="4876" spans="1:7">
      <c r="A4876" t="s">
        <v>6479</v>
      </c>
      <c r="B4876" s="2">
        <v>45947</v>
      </c>
      <c r="C4876" t="s">
        <v>73</v>
      </c>
      <c r="D4876" t="s">
        <v>1629</v>
      </c>
      <c r="E4876">
        <v>192.78</v>
      </c>
      <c r="F4876" t="s">
        <v>1578</v>
      </c>
      <c r="G4876" t="s">
        <v>1461</v>
      </c>
    </row>
    <row r="4877" spans="1:7">
      <c r="A4877" t="s">
        <v>6480</v>
      </c>
      <c r="B4877" s="2">
        <v>45947</v>
      </c>
      <c r="C4877" t="s">
        <v>75</v>
      </c>
      <c r="D4877" t="s">
        <v>1629</v>
      </c>
      <c r="E4877">
        <v>190.89</v>
      </c>
      <c r="F4877" t="s">
        <v>1578</v>
      </c>
      <c r="G4877" t="s">
        <v>1461</v>
      </c>
    </row>
    <row r="4878" spans="1:7">
      <c r="A4878" t="s">
        <v>6481</v>
      </c>
      <c r="B4878" s="2">
        <v>45947</v>
      </c>
      <c r="C4878" t="s">
        <v>77</v>
      </c>
      <c r="D4878" t="s">
        <v>1629</v>
      </c>
      <c r="E4878">
        <v>190.89</v>
      </c>
      <c r="F4878" t="s">
        <v>1578</v>
      </c>
      <c r="G4878" t="s">
        <v>1461</v>
      </c>
    </row>
    <row r="4879" spans="1:7">
      <c r="A4879" t="s">
        <v>6482</v>
      </c>
      <c r="B4879" s="2">
        <v>45947</v>
      </c>
      <c r="C4879" t="s">
        <v>79</v>
      </c>
      <c r="D4879" t="s">
        <v>1629</v>
      </c>
      <c r="E4879">
        <v>192.78</v>
      </c>
      <c r="F4879" t="s">
        <v>1578</v>
      </c>
      <c r="G4879" t="s">
        <v>1461</v>
      </c>
    </row>
    <row r="4880" spans="1:7">
      <c r="A4880" t="s">
        <v>6483</v>
      </c>
      <c r="B4880" s="2">
        <v>45947</v>
      </c>
      <c r="C4880" t="s">
        <v>81</v>
      </c>
      <c r="D4880" t="s">
        <v>1629</v>
      </c>
      <c r="E4880">
        <v>381.78</v>
      </c>
      <c r="F4880" t="s">
        <v>1578</v>
      </c>
      <c r="G4880" t="s">
        <v>1461</v>
      </c>
    </row>
    <row r="4881" spans="1:7">
      <c r="A4881" t="s">
        <v>6484</v>
      </c>
      <c r="B4881" s="2">
        <v>45947</v>
      </c>
      <c r="C4881" t="s">
        <v>108</v>
      </c>
      <c r="D4881" t="s">
        <v>1629</v>
      </c>
      <c r="E4881">
        <v>383.67</v>
      </c>
      <c r="F4881" t="s">
        <v>1578</v>
      </c>
      <c r="G4881" t="s">
        <v>1461</v>
      </c>
    </row>
    <row r="4882" spans="1:7">
      <c r="A4882" t="s">
        <v>6485</v>
      </c>
      <c r="B4882" s="2">
        <v>45947</v>
      </c>
      <c r="C4882" t="s">
        <v>110</v>
      </c>
      <c r="D4882" t="s">
        <v>1629</v>
      </c>
      <c r="E4882">
        <v>192.78</v>
      </c>
      <c r="F4882" t="s">
        <v>1578</v>
      </c>
      <c r="G4882" t="s">
        <v>1461</v>
      </c>
    </row>
    <row r="4883" spans="1:7">
      <c r="A4883" t="s">
        <v>6486</v>
      </c>
      <c r="B4883" s="2">
        <v>45947</v>
      </c>
      <c r="C4883" t="s">
        <v>114</v>
      </c>
      <c r="D4883" t="s">
        <v>1629</v>
      </c>
      <c r="E4883">
        <v>190.89</v>
      </c>
      <c r="F4883" t="s">
        <v>1578</v>
      </c>
      <c r="G4883" t="s">
        <v>1461</v>
      </c>
    </row>
    <row r="4884" spans="1:7">
      <c r="A4884" t="s">
        <v>6487</v>
      </c>
      <c r="B4884" s="2">
        <v>45947</v>
      </c>
      <c r="C4884" t="s">
        <v>117</v>
      </c>
      <c r="D4884" t="s">
        <v>1629</v>
      </c>
      <c r="E4884">
        <v>189.94</v>
      </c>
      <c r="F4884" t="s">
        <v>1578</v>
      </c>
      <c r="G4884" t="s">
        <v>1461</v>
      </c>
    </row>
    <row r="4885" spans="1:7">
      <c r="A4885" t="s">
        <v>6488</v>
      </c>
      <c r="B4885" s="2">
        <v>45947</v>
      </c>
      <c r="C4885" t="s">
        <v>119</v>
      </c>
      <c r="D4885" t="s">
        <v>1629</v>
      </c>
      <c r="E4885">
        <v>190.89</v>
      </c>
      <c r="F4885" t="s">
        <v>1578</v>
      </c>
      <c r="G4885" t="s">
        <v>1461</v>
      </c>
    </row>
    <row r="4886" spans="1:7">
      <c r="A4886" t="s">
        <v>6489</v>
      </c>
      <c r="B4886" s="2">
        <v>45947</v>
      </c>
      <c r="C4886" t="s">
        <v>75</v>
      </c>
      <c r="D4886" t="s">
        <v>1629</v>
      </c>
      <c r="E4886">
        <v>298.95999999999998</v>
      </c>
      <c r="F4886" t="s">
        <v>1578</v>
      </c>
      <c r="G4886" t="s">
        <v>1462</v>
      </c>
    </row>
    <row r="4887" spans="1:7">
      <c r="A4887" t="s">
        <v>6490</v>
      </c>
      <c r="B4887" s="2">
        <v>45947</v>
      </c>
      <c r="C4887" t="s">
        <v>104</v>
      </c>
      <c r="D4887" t="s">
        <v>1629</v>
      </c>
      <c r="E4887">
        <v>609.76</v>
      </c>
      <c r="F4887" t="s">
        <v>1578</v>
      </c>
      <c r="G4887" t="s">
        <v>1462</v>
      </c>
    </row>
    <row r="4888" spans="1:7">
      <c r="A4888" t="s">
        <v>6491</v>
      </c>
      <c r="B4888" s="2">
        <v>45947</v>
      </c>
      <c r="C4888" t="s">
        <v>108</v>
      </c>
      <c r="D4888" t="s">
        <v>1629</v>
      </c>
      <c r="E4888">
        <v>600.88</v>
      </c>
      <c r="F4888" t="s">
        <v>1578</v>
      </c>
      <c r="G4888" t="s">
        <v>1462</v>
      </c>
    </row>
    <row r="4889" spans="1:7">
      <c r="A4889" t="s">
        <v>6492</v>
      </c>
      <c r="B4889" s="2">
        <v>45947</v>
      </c>
      <c r="C4889" t="s">
        <v>110</v>
      </c>
      <c r="D4889" t="s">
        <v>1629</v>
      </c>
      <c r="E4889">
        <v>301.92</v>
      </c>
      <c r="F4889" t="s">
        <v>1578</v>
      </c>
      <c r="G4889" t="s">
        <v>1462</v>
      </c>
    </row>
    <row r="4890" spans="1:7">
      <c r="A4890" t="s">
        <v>6493</v>
      </c>
      <c r="B4890" s="2">
        <v>45947</v>
      </c>
      <c r="C4890" t="s">
        <v>114</v>
      </c>
      <c r="D4890" t="s">
        <v>1629</v>
      </c>
      <c r="E4890">
        <v>298.95999999999998</v>
      </c>
      <c r="F4890" t="s">
        <v>1578</v>
      </c>
      <c r="G4890" t="s">
        <v>1462</v>
      </c>
    </row>
    <row r="4891" spans="1:7">
      <c r="A4891" t="s">
        <v>6494</v>
      </c>
      <c r="B4891" s="2">
        <v>45947</v>
      </c>
      <c r="C4891" t="s">
        <v>117</v>
      </c>
      <c r="D4891" t="s">
        <v>1629</v>
      </c>
      <c r="E4891">
        <v>297.48</v>
      </c>
      <c r="F4891" t="s">
        <v>1578</v>
      </c>
      <c r="G4891" t="s">
        <v>1462</v>
      </c>
    </row>
    <row r="4892" spans="1:7">
      <c r="A4892" t="s">
        <v>6495</v>
      </c>
      <c r="B4892" s="2">
        <v>45947</v>
      </c>
      <c r="C4892" t="s">
        <v>119</v>
      </c>
      <c r="D4892" t="s">
        <v>1629</v>
      </c>
      <c r="E4892">
        <v>298.95999999999998</v>
      </c>
      <c r="F4892" t="s">
        <v>1578</v>
      </c>
      <c r="G4892" t="s">
        <v>1462</v>
      </c>
    </row>
    <row r="4893" spans="1:7">
      <c r="A4893" t="s">
        <v>6496</v>
      </c>
      <c r="B4893" s="2">
        <v>45948</v>
      </c>
      <c r="C4893" t="s">
        <v>61</v>
      </c>
      <c r="D4893" t="s">
        <v>1629</v>
      </c>
      <c r="E4893">
        <v>180.54</v>
      </c>
      <c r="F4893" t="s">
        <v>1578</v>
      </c>
      <c r="G4893" t="s">
        <v>1463</v>
      </c>
    </row>
    <row r="4894" spans="1:7">
      <c r="A4894" t="s">
        <v>6497</v>
      </c>
      <c r="B4894" s="2">
        <v>45948</v>
      </c>
      <c r="C4894" t="s">
        <v>65</v>
      </c>
      <c r="D4894" t="s">
        <v>1629</v>
      </c>
      <c r="E4894">
        <v>179.65</v>
      </c>
      <c r="F4894" t="s">
        <v>1578</v>
      </c>
      <c r="G4894" t="s">
        <v>1463</v>
      </c>
    </row>
    <row r="4895" spans="1:7">
      <c r="A4895" t="s">
        <v>6498</v>
      </c>
      <c r="B4895" s="2">
        <v>45948</v>
      </c>
      <c r="C4895" t="s">
        <v>68</v>
      </c>
      <c r="D4895" t="s">
        <v>1629</v>
      </c>
      <c r="E4895">
        <v>180.54</v>
      </c>
      <c r="F4895" t="s">
        <v>1578</v>
      </c>
      <c r="G4895" t="s">
        <v>1463</v>
      </c>
    </row>
    <row r="4896" spans="1:7">
      <c r="A4896" t="s">
        <v>6499</v>
      </c>
      <c r="B4896" s="2">
        <v>45948</v>
      </c>
      <c r="C4896" t="s">
        <v>70</v>
      </c>
      <c r="D4896" t="s">
        <v>1629</v>
      </c>
      <c r="E4896">
        <v>178.77</v>
      </c>
      <c r="F4896" t="s">
        <v>1578</v>
      </c>
      <c r="G4896" t="s">
        <v>1463</v>
      </c>
    </row>
    <row r="4897" spans="1:7">
      <c r="A4897" t="s">
        <v>6500</v>
      </c>
      <c r="B4897" s="2">
        <v>45948</v>
      </c>
      <c r="C4897" t="s">
        <v>75</v>
      </c>
      <c r="D4897" t="s">
        <v>1629</v>
      </c>
      <c r="E4897">
        <v>178.77</v>
      </c>
      <c r="F4897" t="s">
        <v>1578</v>
      </c>
      <c r="G4897" t="s">
        <v>1463</v>
      </c>
    </row>
    <row r="4898" spans="1:7">
      <c r="A4898" t="s">
        <v>6501</v>
      </c>
      <c r="B4898" s="2">
        <v>45948</v>
      </c>
      <c r="C4898" t="s">
        <v>77</v>
      </c>
      <c r="D4898" t="s">
        <v>1629</v>
      </c>
      <c r="E4898">
        <v>178.77</v>
      </c>
      <c r="F4898" t="s">
        <v>1578</v>
      </c>
      <c r="G4898" t="s">
        <v>1463</v>
      </c>
    </row>
    <row r="4899" spans="1:7">
      <c r="A4899" t="s">
        <v>6502</v>
      </c>
      <c r="B4899" s="2">
        <v>45948</v>
      </c>
      <c r="C4899" t="s">
        <v>79</v>
      </c>
      <c r="D4899" t="s">
        <v>1629</v>
      </c>
      <c r="E4899">
        <v>180.54</v>
      </c>
      <c r="F4899" t="s">
        <v>1578</v>
      </c>
      <c r="G4899" t="s">
        <v>1463</v>
      </c>
    </row>
    <row r="4900" spans="1:7">
      <c r="A4900" t="s">
        <v>6503</v>
      </c>
      <c r="B4900" s="2">
        <v>45948</v>
      </c>
      <c r="C4900" t="s">
        <v>81</v>
      </c>
      <c r="D4900" t="s">
        <v>1629</v>
      </c>
      <c r="E4900">
        <v>357.54</v>
      </c>
      <c r="F4900" t="s">
        <v>1578</v>
      </c>
      <c r="G4900" t="s">
        <v>1463</v>
      </c>
    </row>
    <row r="4901" spans="1:7">
      <c r="A4901" t="s">
        <v>6504</v>
      </c>
      <c r="B4901" s="2">
        <v>45948</v>
      </c>
      <c r="C4901" t="s">
        <v>108</v>
      </c>
      <c r="D4901" t="s">
        <v>1629</v>
      </c>
      <c r="E4901">
        <v>359.31</v>
      </c>
      <c r="F4901" t="s">
        <v>1578</v>
      </c>
      <c r="G4901" t="s">
        <v>1463</v>
      </c>
    </row>
    <row r="4902" spans="1:7">
      <c r="A4902" t="s">
        <v>6505</v>
      </c>
      <c r="B4902" s="2">
        <v>45948</v>
      </c>
      <c r="C4902" t="s">
        <v>110</v>
      </c>
      <c r="D4902" t="s">
        <v>1629</v>
      </c>
      <c r="E4902">
        <v>180.54</v>
      </c>
      <c r="F4902" t="s">
        <v>1578</v>
      </c>
      <c r="G4902" t="s">
        <v>1463</v>
      </c>
    </row>
    <row r="4903" spans="1:7">
      <c r="A4903" t="s">
        <v>6506</v>
      </c>
      <c r="B4903" s="2">
        <v>45948</v>
      </c>
      <c r="C4903" t="s">
        <v>114</v>
      </c>
      <c r="D4903" t="s">
        <v>1629</v>
      </c>
      <c r="E4903">
        <v>178.77</v>
      </c>
      <c r="F4903" t="s">
        <v>1578</v>
      </c>
      <c r="G4903" t="s">
        <v>1463</v>
      </c>
    </row>
    <row r="4904" spans="1:7">
      <c r="A4904" t="s">
        <v>6507</v>
      </c>
      <c r="B4904" s="2">
        <v>45948</v>
      </c>
      <c r="C4904" t="s">
        <v>117</v>
      </c>
      <c r="D4904" t="s">
        <v>1629</v>
      </c>
      <c r="E4904">
        <v>177.88</v>
      </c>
      <c r="F4904" t="s">
        <v>1578</v>
      </c>
      <c r="G4904" t="s">
        <v>1463</v>
      </c>
    </row>
    <row r="4905" spans="1:7">
      <c r="A4905" t="s">
        <v>6508</v>
      </c>
      <c r="B4905" s="2">
        <v>45948</v>
      </c>
      <c r="C4905" t="s">
        <v>119</v>
      </c>
      <c r="D4905" t="s">
        <v>1629</v>
      </c>
      <c r="E4905">
        <v>178.77</v>
      </c>
      <c r="F4905" t="s">
        <v>1578</v>
      </c>
      <c r="G4905" t="s">
        <v>1463</v>
      </c>
    </row>
    <row r="4906" spans="1:7">
      <c r="A4906" t="s">
        <v>6509</v>
      </c>
      <c r="B4906" s="2">
        <v>45948</v>
      </c>
      <c r="C4906" t="s">
        <v>61</v>
      </c>
      <c r="D4906" t="s">
        <v>1629</v>
      </c>
      <c r="E4906">
        <v>366.18</v>
      </c>
      <c r="F4906" t="s">
        <v>1578</v>
      </c>
      <c r="G4906" t="s">
        <v>1464</v>
      </c>
    </row>
    <row r="4907" spans="1:7">
      <c r="A4907" t="s">
        <v>6510</v>
      </c>
      <c r="B4907" s="2">
        <v>45948</v>
      </c>
      <c r="C4907" t="s">
        <v>65</v>
      </c>
      <c r="D4907" t="s">
        <v>1629</v>
      </c>
      <c r="E4907">
        <v>364.38</v>
      </c>
      <c r="F4907" t="s">
        <v>1578</v>
      </c>
      <c r="G4907" t="s">
        <v>1464</v>
      </c>
    </row>
    <row r="4908" spans="1:7">
      <c r="A4908" t="s">
        <v>6511</v>
      </c>
      <c r="B4908" s="2">
        <v>45948</v>
      </c>
      <c r="C4908" t="s">
        <v>68</v>
      </c>
      <c r="D4908" t="s">
        <v>1629</v>
      </c>
      <c r="E4908">
        <v>366.18</v>
      </c>
      <c r="F4908" t="s">
        <v>1578</v>
      </c>
      <c r="G4908" t="s">
        <v>1464</v>
      </c>
    </row>
    <row r="4909" spans="1:7">
      <c r="A4909" t="s">
        <v>6512</v>
      </c>
      <c r="B4909" s="2">
        <v>45948</v>
      </c>
      <c r="C4909" t="s">
        <v>70</v>
      </c>
      <c r="D4909" t="s">
        <v>1629</v>
      </c>
      <c r="E4909">
        <v>362.59</v>
      </c>
      <c r="F4909" t="s">
        <v>1578</v>
      </c>
      <c r="G4909" t="s">
        <v>1464</v>
      </c>
    </row>
    <row r="4910" spans="1:7">
      <c r="A4910" t="s">
        <v>6513</v>
      </c>
      <c r="B4910" s="2">
        <v>45948</v>
      </c>
      <c r="C4910" t="s">
        <v>75</v>
      </c>
      <c r="D4910" t="s">
        <v>1629</v>
      </c>
      <c r="E4910">
        <v>362.59</v>
      </c>
      <c r="F4910" t="s">
        <v>1578</v>
      </c>
      <c r="G4910" t="s">
        <v>1464</v>
      </c>
    </row>
    <row r="4911" spans="1:7">
      <c r="A4911" t="s">
        <v>6514</v>
      </c>
      <c r="B4911" s="2">
        <v>45948</v>
      </c>
      <c r="C4911" t="s">
        <v>77</v>
      </c>
      <c r="D4911" t="s">
        <v>1629</v>
      </c>
      <c r="E4911">
        <v>362.59</v>
      </c>
      <c r="F4911" t="s">
        <v>1578</v>
      </c>
      <c r="G4911" t="s">
        <v>1464</v>
      </c>
    </row>
    <row r="4912" spans="1:7">
      <c r="A4912" t="s">
        <v>6515</v>
      </c>
      <c r="B4912" s="2">
        <v>45948</v>
      </c>
      <c r="C4912" t="s">
        <v>79</v>
      </c>
      <c r="D4912" t="s">
        <v>1629</v>
      </c>
      <c r="E4912">
        <v>366.18</v>
      </c>
      <c r="F4912" t="s">
        <v>1578</v>
      </c>
      <c r="G4912" t="s">
        <v>1464</v>
      </c>
    </row>
    <row r="4913" spans="1:7">
      <c r="A4913" t="s">
        <v>6516</v>
      </c>
      <c r="B4913" s="2">
        <v>45948</v>
      </c>
      <c r="C4913" t="s">
        <v>81</v>
      </c>
      <c r="D4913" t="s">
        <v>1629</v>
      </c>
      <c r="E4913">
        <v>725.18</v>
      </c>
      <c r="F4913" t="s">
        <v>1578</v>
      </c>
      <c r="G4913" t="s">
        <v>1464</v>
      </c>
    </row>
    <row r="4914" spans="1:7">
      <c r="A4914" t="s">
        <v>6517</v>
      </c>
      <c r="B4914" s="2">
        <v>45948</v>
      </c>
      <c r="C4914" t="s">
        <v>108</v>
      </c>
      <c r="D4914" t="s">
        <v>1629</v>
      </c>
      <c r="E4914">
        <v>728.77</v>
      </c>
      <c r="F4914" t="s">
        <v>1578</v>
      </c>
      <c r="G4914" t="s">
        <v>1464</v>
      </c>
    </row>
    <row r="4915" spans="1:7">
      <c r="A4915" t="s">
        <v>6518</v>
      </c>
      <c r="B4915" s="2">
        <v>45948</v>
      </c>
      <c r="C4915" t="s">
        <v>110</v>
      </c>
      <c r="D4915" t="s">
        <v>1629</v>
      </c>
      <c r="E4915">
        <v>366.18</v>
      </c>
      <c r="F4915" t="s">
        <v>1578</v>
      </c>
      <c r="G4915" t="s">
        <v>1464</v>
      </c>
    </row>
    <row r="4916" spans="1:7">
      <c r="A4916" t="s">
        <v>6519</v>
      </c>
      <c r="B4916" s="2">
        <v>45948</v>
      </c>
      <c r="C4916" t="s">
        <v>114</v>
      </c>
      <c r="D4916" t="s">
        <v>1629</v>
      </c>
      <c r="E4916">
        <v>362.59</v>
      </c>
      <c r="F4916" t="s">
        <v>1578</v>
      </c>
      <c r="G4916" t="s">
        <v>1464</v>
      </c>
    </row>
    <row r="4917" spans="1:7">
      <c r="A4917" t="s">
        <v>6520</v>
      </c>
      <c r="B4917" s="2">
        <v>45948</v>
      </c>
      <c r="C4917" t="s">
        <v>117</v>
      </c>
      <c r="D4917" t="s">
        <v>1629</v>
      </c>
      <c r="E4917">
        <v>360.79</v>
      </c>
      <c r="F4917" t="s">
        <v>1578</v>
      </c>
      <c r="G4917" t="s">
        <v>1464</v>
      </c>
    </row>
    <row r="4918" spans="1:7">
      <c r="A4918" t="s">
        <v>6521</v>
      </c>
      <c r="B4918" s="2">
        <v>45948</v>
      </c>
      <c r="C4918" t="s">
        <v>119</v>
      </c>
      <c r="D4918" t="s">
        <v>1629</v>
      </c>
      <c r="E4918">
        <v>362.59</v>
      </c>
      <c r="F4918" t="s">
        <v>1578</v>
      </c>
      <c r="G4918" t="s">
        <v>1464</v>
      </c>
    </row>
    <row r="4919" spans="1:7">
      <c r="A4919" t="s">
        <v>6522</v>
      </c>
      <c r="B4919" s="2">
        <v>45948</v>
      </c>
      <c r="C4919" t="s">
        <v>61</v>
      </c>
      <c r="D4919" t="s">
        <v>1629</v>
      </c>
      <c r="E4919">
        <v>125.46</v>
      </c>
      <c r="F4919" t="s">
        <v>1578</v>
      </c>
      <c r="G4919" t="s">
        <v>1465</v>
      </c>
    </row>
    <row r="4920" spans="1:7">
      <c r="A4920" t="s">
        <v>6523</v>
      </c>
      <c r="B4920" s="2">
        <v>45948</v>
      </c>
      <c r="C4920" t="s">
        <v>65</v>
      </c>
      <c r="D4920" t="s">
        <v>1629</v>
      </c>
      <c r="E4920">
        <v>124.84</v>
      </c>
      <c r="F4920" t="s">
        <v>1578</v>
      </c>
      <c r="G4920" t="s">
        <v>1465</v>
      </c>
    </row>
    <row r="4921" spans="1:7">
      <c r="A4921" t="s">
        <v>6524</v>
      </c>
      <c r="B4921" s="2">
        <v>45948</v>
      </c>
      <c r="C4921" t="s">
        <v>68</v>
      </c>
      <c r="D4921" t="s">
        <v>1629</v>
      </c>
      <c r="E4921">
        <v>125.46</v>
      </c>
      <c r="F4921" t="s">
        <v>1578</v>
      </c>
      <c r="G4921" t="s">
        <v>1465</v>
      </c>
    </row>
    <row r="4922" spans="1:7">
      <c r="A4922" t="s">
        <v>6525</v>
      </c>
      <c r="B4922" s="2">
        <v>45948</v>
      </c>
      <c r="C4922" t="s">
        <v>70</v>
      </c>
      <c r="D4922" t="s">
        <v>1629</v>
      </c>
      <c r="E4922">
        <v>124.23</v>
      </c>
      <c r="F4922" t="s">
        <v>1578</v>
      </c>
      <c r="G4922" t="s">
        <v>1465</v>
      </c>
    </row>
    <row r="4923" spans="1:7">
      <c r="A4923" t="s">
        <v>6526</v>
      </c>
      <c r="B4923" s="2">
        <v>45948</v>
      </c>
      <c r="C4923" t="s">
        <v>75</v>
      </c>
      <c r="D4923" t="s">
        <v>1629</v>
      </c>
      <c r="E4923">
        <v>124.23</v>
      </c>
      <c r="F4923" t="s">
        <v>1578</v>
      </c>
      <c r="G4923" t="s">
        <v>1465</v>
      </c>
    </row>
    <row r="4924" spans="1:7">
      <c r="A4924" t="s">
        <v>6527</v>
      </c>
      <c r="B4924" s="2">
        <v>45948</v>
      </c>
      <c r="C4924" t="s">
        <v>77</v>
      </c>
      <c r="D4924" t="s">
        <v>1629</v>
      </c>
      <c r="E4924">
        <v>124.23</v>
      </c>
      <c r="F4924" t="s">
        <v>1578</v>
      </c>
      <c r="G4924" t="s">
        <v>1465</v>
      </c>
    </row>
    <row r="4925" spans="1:7">
      <c r="A4925" t="s">
        <v>6528</v>
      </c>
      <c r="B4925" s="2">
        <v>45948</v>
      </c>
      <c r="C4925" t="s">
        <v>79</v>
      </c>
      <c r="D4925" t="s">
        <v>1629</v>
      </c>
      <c r="E4925">
        <v>125.46</v>
      </c>
      <c r="F4925" t="s">
        <v>1578</v>
      </c>
      <c r="G4925" t="s">
        <v>1465</v>
      </c>
    </row>
    <row r="4926" spans="1:7">
      <c r="A4926" t="s">
        <v>6529</v>
      </c>
      <c r="B4926" s="2">
        <v>45948</v>
      </c>
      <c r="C4926" t="s">
        <v>81</v>
      </c>
      <c r="D4926" t="s">
        <v>1629</v>
      </c>
      <c r="E4926">
        <v>248.46</v>
      </c>
      <c r="F4926" t="s">
        <v>1578</v>
      </c>
      <c r="G4926" t="s">
        <v>1465</v>
      </c>
    </row>
    <row r="4927" spans="1:7">
      <c r="A4927" t="s">
        <v>6530</v>
      </c>
      <c r="B4927" s="2">
        <v>45948</v>
      </c>
      <c r="C4927" t="s">
        <v>110</v>
      </c>
      <c r="D4927" t="s">
        <v>1629</v>
      </c>
      <c r="E4927">
        <v>125.46</v>
      </c>
      <c r="F4927" t="s">
        <v>1578</v>
      </c>
      <c r="G4927" t="s">
        <v>1465</v>
      </c>
    </row>
    <row r="4928" spans="1:7">
      <c r="A4928" t="s">
        <v>6531</v>
      </c>
      <c r="B4928" s="2">
        <v>45948</v>
      </c>
      <c r="C4928" t="s">
        <v>114</v>
      </c>
      <c r="D4928" t="s">
        <v>1629</v>
      </c>
      <c r="E4928">
        <v>124.23</v>
      </c>
      <c r="F4928" t="s">
        <v>1578</v>
      </c>
      <c r="G4928" t="s">
        <v>1465</v>
      </c>
    </row>
    <row r="4929" spans="1:7">
      <c r="A4929" t="s">
        <v>6532</v>
      </c>
      <c r="B4929" s="2">
        <v>45948</v>
      </c>
      <c r="C4929" t="s">
        <v>117</v>
      </c>
      <c r="D4929" t="s">
        <v>1629</v>
      </c>
      <c r="E4929">
        <v>123.61</v>
      </c>
      <c r="F4929" t="s">
        <v>1578</v>
      </c>
      <c r="G4929" t="s">
        <v>1465</v>
      </c>
    </row>
    <row r="4930" spans="1:7">
      <c r="A4930" t="s">
        <v>6533</v>
      </c>
      <c r="B4930" s="2">
        <v>45948</v>
      </c>
      <c r="C4930" t="s">
        <v>119</v>
      </c>
      <c r="D4930" t="s">
        <v>1629</v>
      </c>
      <c r="E4930">
        <v>124.23</v>
      </c>
      <c r="F4930" t="s">
        <v>1578</v>
      </c>
      <c r="G4930" t="s">
        <v>1465</v>
      </c>
    </row>
    <row r="4931" spans="1:7">
      <c r="A4931" t="s">
        <v>6534</v>
      </c>
      <c r="B4931" s="2">
        <v>45948</v>
      </c>
      <c r="C4931" t="s">
        <v>61</v>
      </c>
      <c r="D4931" t="s">
        <v>1629</v>
      </c>
      <c r="E4931">
        <v>383.52</v>
      </c>
      <c r="F4931" t="s">
        <v>1578</v>
      </c>
      <c r="G4931" t="s">
        <v>1466</v>
      </c>
    </row>
    <row r="4932" spans="1:7">
      <c r="A4932" t="s">
        <v>6535</v>
      </c>
      <c r="B4932" s="2">
        <v>45948</v>
      </c>
      <c r="C4932" t="s">
        <v>65</v>
      </c>
      <c r="D4932" t="s">
        <v>1629</v>
      </c>
      <c r="E4932">
        <v>381.64</v>
      </c>
      <c r="F4932" t="s">
        <v>1578</v>
      </c>
      <c r="G4932" t="s">
        <v>1466</v>
      </c>
    </row>
    <row r="4933" spans="1:7">
      <c r="A4933" t="s">
        <v>6536</v>
      </c>
      <c r="B4933" s="2">
        <v>45948</v>
      </c>
      <c r="C4933" t="s">
        <v>68</v>
      </c>
      <c r="D4933" t="s">
        <v>1629</v>
      </c>
      <c r="E4933">
        <v>383.52</v>
      </c>
      <c r="F4933" t="s">
        <v>1578</v>
      </c>
      <c r="G4933" t="s">
        <v>1466</v>
      </c>
    </row>
    <row r="4934" spans="1:7">
      <c r="A4934" t="s">
        <v>6537</v>
      </c>
      <c r="B4934" s="2">
        <v>45948</v>
      </c>
      <c r="C4934" t="s">
        <v>70</v>
      </c>
      <c r="D4934" t="s">
        <v>1629</v>
      </c>
      <c r="E4934">
        <v>379.76</v>
      </c>
      <c r="F4934" t="s">
        <v>1578</v>
      </c>
      <c r="G4934" t="s">
        <v>1466</v>
      </c>
    </row>
    <row r="4935" spans="1:7">
      <c r="A4935" t="s">
        <v>6538</v>
      </c>
      <c r="B4935" s="2">
        <v>45948</v>
      </c>
      <c r="C4935" t="s">
        <v>75</v>
      </c>
      <c r="D4935" t="s">
        <v>1629</v>
      </c>
      <c r="E4935">
        <v>379.76</v>
      </c>
      <c r="F4935" t="s">
        <v>1578</v>
      </c>
      <c r="G4935" t="s">
        <v>1466</v>
      </c>
    </row>
    <row r="4936" spans="1:7">
      <c r="A4936" t="s">
        <v>6539</v>
      </c>
      <c r="B4936" s="2">
        <v>45948</v>
      </c>
      <c r="C4936" t="s">
        <v>77</v>
      </c>
      <c r="D4936" t="s">
        <v>1629</v>
      </c>
      <c r="E4936">
        <v>379.76</v>
      </c>
      <c r="F4936" t="s">
        <v>1578</v>
      </c>
      <c r="G4936" t="s">
        <v>1466</v>
      </c>
    </row>
    <row r="4937" spans="1:7">
      <c r="A4937" t="s">
        <v>6540</v>
      </c>
      <c r="B4937" s="2">
        <v>45948</v>
      </c>
      <c r="C4937" t="s">
        <v>79</v>
      </c>
      <c r="D4937" t="s">
        <v>1629</v>
      </c>
      <c r="E4937">
        <v>383.52</v>
      </c>
      <c r="F4937" t="s">
        <v>1578</v>
      </c>
      <c r="G4937" t="s">
        <v>1466</v>
      </c>
    </row>
    <row r="4938" spans="1:7">
      <c r="A4938" t="s">
        <v>6541</v>
      </c>
      <c r="B4938" s="2">
        <v>45948</v>
      </c>
      <c r="C4938" t="s">
        <v>81</v>
      </c>
      <c r="D4938" t="s">
        <v>1629</v>
      </c>
      <c r="E4938">
        <v>759.52</v>
      </c>
      <c r="F4938" t="s">
        <v>1578</v>
      </c>
      <c r="G4938" t="s">
        <v>1466</v>
      </c>
    </row>
    <row r="4939" spans="1:7">
      <c r="A4939" t="s">
        <v>6542</v>
      </c>
      <c r="B4939" s="2">
        <v>45948</v>
      </c>
      <c r="C4939" t="s">
        <v>108</v>
      </c>
      <c r="D4939" t="s">
        <v>1629</v>
      </c>
      <c r="E4939">
        <v>763.28</v>
      </c>
      <c r="F4939" t="s">
        <v>1578</v>
      </c>
      <c r="G4939" t="s">
        <v>1466</v>
      </c>
    </row>
    <row r="4940" spans="1:7">
      <c r="A4940" t="s">
        <v>6543</v>
      </c>
      <c r="B4940" s="2">
        <v>45948</v>
      </c>
      <c r="C4940" t="s">
        <v>110</v>
      </c>
      <c r="D4940" t="s">
        <v>1629</v>
      </c>
      <c r="E4940">
        <v>383.52</v>
      </c>
      <c r="F4940" t="s">
        <v>1578</v>
      </c>
      <c r="G4940" t="s">
        <v>1466</v>
      </c>
    </row>
    <row r="4941" spans="1:7">
      <c r="A4941" t="s">
        <v>6544</v>
      </c>
      <c r="B4941" s="2">
        <v>45948</v>
      </c>
      <c r="C4941" t="s">
        <v>114</v>
      </c>
      <c r="D4941" t="s">
        <v>1629</v>
      </c>
      <c r="E4941">
        <v>379.76</v>
      </c>
      <c r="F4941" t="s">
        <v>1578</v>
      </c>
      <c r="G4941" t="s">
        <v>1466</v>
      </c>
    </row>
    <row r="4942" spans="1:7">
      <c r="A4942" t="s">
        <v>6545</v>
      </c>
      <c r="B4942" s="2">
        <v>45948</v>
      </c>
      <c r="C4942" t="s">
        <v>117</v>
      </c>
      <c r="D4942" t="s">
        <v>1629</v>
      </c>
      <c r="E4942">
        <v>377.88</v>
      </c>
      <c r="F4942" t="s">
        <v>1578</v>
      </c>
      <c r="G4942" t="s">
        <v>1466</v>
      </c>
    </row>
    <row r="4943" spans="1:7">
      <c r="A4943" t="s">
        <v>6546</v>
      </c>
      <c r="B4943" s="2">
        <v>45948</v>
      </c>
      <c r="C4943" t="s">
        <v>119</v>
      </c>
      <c r="D4943" t="s">
        <v>1629</v>
      </c>
      <c r="E4943">
        <v>379.76</v>
      </c>
      <c r="F4943" t="s">
        <v>1578</v>
      </c>
      <c r="G4943" t="s">
        <v>1466</v>
      </c>
    </row>
    <row r="4944" spans="1:7">
      <c r="A4944" t="s">
        <v>6547</v>
      </c>
      <c r="B4944" s="2">
        <v>45948</v>
      </c>
      <c r="C4944" t="s">
        <v>61</v>
      </c>
      <c r="D4944" t="s">
        <v>1629</v>
      </c>
      <c r="E4944">
        <v>238.68</v>
      </c>
      <c r="F4944" t="s">
        <v>1578</v>
      </c>
      <c r="G4944" t="s">
        <v>1467</v>
      </c>
    </row>
    <row r="4945" spans="1:7">
      <c r="A4945" t="s">
        <v>6548</v>
      </c>
      <c r="B4945" s="2">
        <v>45948</v>
      </c>
      <c r="C4945" t="s">
        <v>65</v>
      </c>
      <c r="D4945" t="s">
        <v>1629</v>
      </c>
      <c r="E4945">
        <v>237.51</v>
      </c>
      <c r="F4945" t="s">
        <v>1578</v>
      </c>
      <c r="G4945" t="s">
        <v>1467</v>
      </c>
    </row>
    <row r="4946" spans="1:7">
      <c r="A4946" t="s">
        <v>6549</v>
      </c>
      <c r="B4946" s="2">
        <v>45948</v>
      </c>
      <c r="C4946" t="s">
        <v>68</v>
      </c>
      <c r="D4946" t="s">
        <v>1629</v>
      </c>
      <c r="E4946">
        <v>238.68</v>
      </c>
      <c r="F4946" t="s">
        <v>1578</v>
      </c>
      <c r="G4946" t="s">
        <v>1467</v>
      </c>
    </row>
    <row r="4947" spans="1:7">
      <c r="A4947" t="s">
        <v>6550</v>
      </c>
      <c r="B4947" s="2">
        <v>45948</v>
      </c>
      <c r="C4947" t="s">
        <v>70</v>
      </c>
      <c r="D4947" t="s">
        <v>1629</v>
      </c>
      <c r="E4947">
        <v>236.34</v>
      </c>
      <c r="F4947" t="s">
        <v>1578</v>
      </c>
      <c r="G4947" t="s">
        <v>1467</v>
      </c>
    </row>
    <row r="4948" spans="1:7">
      <c r="A4948" t="s">
        <v>6551</v>
      </c>
      <c r="B4948" s="2">
        <v>45948</v>
      </c>
      <c r="C4948" t="s">
        <v>75</v>
      </c>
      <c r="D4948" t="s">
        <v>1629</v>
      </c>
      <c r="E4948">
        <v>236.34</v>
      </c>
      <c r="F4948" t="s">
        <v>1578</v>
      </c>
      <c r="G4948" t="s">
        <v>1467</v>
      </c>
    </row>
    <row r="4949" spans="1:7">
      <c r="A4949" t="s">
        <v>6552</v>
      </c>
      <c r="B4949" s="2">
        <v>45948</v>
      </c>
      <c r="C4949" t="s">
        <v>77</v>
      </c>
      <c r="D4949" t="s">
        <v>1629</v>
      </c>
      <c r="E4949">
        <v>236.34</v>
      </c>
      <c r="F4949" t="s">
        <v>1578</v>
      </c>
      <c r="G4949" t="s">
        <v>1467</v>
      </c>
    </row>
    <row r="4950" spans="1:7">
      <c r="A4950" t="s">
        <v>6553</v>
      </c>
      <c r="B4950" s="2">
        <v>45948</v>
      </c>
      <c r="C4950" t="s">
        <v>79</v>
      </c>
      <c r="D4950" t="s">
        <v>1629</v>
      </c>
      <c r="E4950">
        <v>238.68</v>
      </c>
      <c r="F4950" t="s">
        <v>1578</v>
      </c>
      <c r="G4950" t="s">
        <v>1467</v>
      </c>
    </row>
    <row r="4951" spans="1:7">
      <c r="A4951" t="s">
        <v>6554</v>
      </c>
      <c r="B4951" s="2">
        <v>45948</v>
      </c>
      <c r="C4951" t="s">
        <v>81</v>
      </c>
      <c r="D4951" t="s">
        <v>1629</v>
      </c>
      <c r="E4951">
        <v>472.68</v>
      </c>
      <c r="F4951" t="s">
        <v>1578</v>
      </c>
      <c r="G4951" t="s">
        <v>1467</v>
      </c>
    </row>
    <row r="4952" spans="1:7">
      <c r="A4952" t="s">
        <v>6555</v>
      </c>
      <c r="B4952" s="2">
        <v>45948</v>
      </c>
      <c r="C4952" t="s">
        <v>110</v>
      </c>
      <c r="D4952" t="s">
        <v>1629</v>
      </c>
      <c r="E4952">
        <v>238.68</v>
      </c>
      <c r="F4952" t="s">
        <v>1578</v>
      </c>
      <c r="G4952" t="s">
        <v>1467</v>
      </c>
    </row>
    <row r="4953" spans="1:7">
      <c r="A4953" t="s">
        <v>6556</v>
      </c>
      <c r="B4953" s="2">
        <v>45948</v>
      </c>
      <c r="C4953" t="s">
        <v>114</v>
      </c>
      <c r="D4953" t="s">
        <v>1629</v>
      </c>
      <c r="E4953">
        <v>236.34</v>
      </c>
      <c r="F4953" t="s">
        <v>1578</v>
      </c>
      <c r="G4953" t="s">
        <v>1467</v>
      </c>
    </row>
    <row r="4954" spans="1:7">
      <c r="A4954" t="s">
        <v>6557</v>
      </c>
      <c r="B4954" s="2">
        <v>45948</v>
      </c>
      <c r="C4954" t="s">
        <v>117</v>
      </c>
      <c r="D4954" t="s">
        <v>1629</v>
      </c>
      <c r="E4954">
        <v>235.17</v>
      </c>
      <c r="F4954" t="s">
        <v>1578</v>
      </c>
      <c r="G4954" t="s">
        <v>1467</v>
      </c>
    </row>
    <row r="4955" spans="1:7">
      <c r="A4955" t="s">
        <v>6558</v>
      </c>
      <c r="B4955" s="2">
        <v>45948</v>
      </c>
      <c r="C4955" t="s">
        <v>119</v>
      </c>
      <c r="D4955" t="s">
        <v>1629</v>
      </c>
      <c r="E4955">
        <v>236.34</v>
      </c>
      <c r="F4955" t="s">
        <v>1578</v>
      </c>
      <c r="G4955" t="s">
        <v>1467</v>
      </c>
    </row>
    <row r="4956" spans="1:7">
      <c r="A4956" t="s">
        <v>6559</v>
      </c>
      <c r="B4956" s="2">
        <v>45948</v>
      </c>
      <c r="C4956" t="s">
        <v>110</v>
      </c>
      <c r="D4956" t="s">
        <v>1683</v>
      </c>
      <c r="E4956">
        <v>204</v>
      </c>
      <c r="F4956" t="s">
        <v>1578</v>
      </c>
      <c r="G4956" t="s">
        <v>907</v>
      </c>
    </row>
    <row r="4957" spans="1:7">
      <c r="A4957" t="s">
        <v>6560</v>
      </c>
      <c r="B4957" s="2">
        <v>45948</v>
      </c>
      <c r="C4957" t="s">
        <v>93</v>
      </c>
      <c r="D4957" t="s">
        <v>1683</v>
      </c>
      <c r="E4957">
        <v>154</v>
      </c>
      <c r="F4957" t="s">
        <v>1578</v>
      </c>
      <c r="G4957" t="s">
        <v>908</v>
      </c>
    </row>
    <row r="4958" spans="1:7">
      <c r="A4958" t="s">
        <v>6561</v>
      </c>
      <c r="B4958" s="2">
        <v>45948</v>
      </c>
      <c r="C4958" t="s">
        <v>84</v>
      </c>
      <c r="D4958" t="s">
        <v>1683</v>
      </c>
      <c r="E4958">
        <v>70</v>
      </c>
      <c r="F4958" t="s">
        <v>1578</v>
      </c>
      <c r="G4958" t="s">
        <v>909</v>
      </c>
    </row>
    <row r="4959" spans="1:7">
      <c r="A4959" t="s">
        <v>6562</v>
      </c>
      <c r="B4959" s="2">
        <v>45949</v>
      </c>
      <c r="C4959" t="s">
        <v>114</v>
      </c>
      <c r="D4959" t="s">
        <v>1683</v>
      </c>
      <c r="E4959">
        <v>126</v>
      </c>
      <c r="F4959" t="s">
        <v>1578</v>
      </c>
      <c r="G4959" t="s">
        <v>910</v>
      </c>
    </row>
    <row r="4960" spans="1:7">
      <c r="A4960" t="s">
        <v>6563</v>
      </c>
      <c r="B4960" s="2">
        <v>45949</v>
      </c>
      <c r="C4960" t="s">
        <v>84</v>
      </c>
      <c r="D4960" t="s">
        <v>1683</v>
      </c>
      <c r="E4960">
        <v>487</v>
      </c>
      <c r="F4960" t="s">
        <v>1578</v>
      </c>
      <c r="G4960" t="s">
        <v>911</v>
      </c>
    </row>
    <row r="4961" spans="1:7">
      <c r="A4961" t="s">
        <v>6564</v>
      </c>
      <c r="B4961" s="2">
        <v>45949</v>
      </c>
      <c r="C4961" t="s">
        <v>104</v>
      </c>
      <c r="D4961" t="s">
        <v>1683</v>
      </c>
      <c r="E4961">
        <v>179</v>
      </c>
      <c r="F4961" t="s">
        <v>1578</v>
      </c>
      <c r="G4961" t="s">
        <v>912</v>
      </c>
    </row>
    <row r="4962" spans="1:7">
      <c r="A4962" t="s">
        <v>6565</v>
      </c>
      <c r="B4962" s="2">
        <v>45949</v>
      </c>
      <c r="C4962" t="s">
        <v>119</v>
      </c>
      <c r="D4962" t="s">
        <v>1683</v>
      </c>
      <c r="E4962">
        <v>138</v>
      </c>
      <c r="F4962" t="s">
        <v>1578</v>
      </c>
      <c r="G4962" t="s">
        <v>913</v>
      </c>
    </row>
    <row r="4963" spans="1:7">
      <c r="A4963" t="s">
        <v>6566</v>
      </c>
      <c r="B4963" s="2">
        <v>45950</v>
      </c>
      <c r="C4963" t="s">
        <v>61</v>
      </c>
      <c r="D4963" t="s">
        <v>1629</v>
      </c>
      <c r="E4963">
        <v>182.58</v>
      </c>
      <c r="F4963" t="s">
        <v>1578</v>
      </c>
      <c r="G4963" t="s">
        <v>1468</v>
      </c>
    </row>
    <row r="4964" spans="1:7">
      <c r="A4964" t="s">
        <v>6567</v>
      </c>
      <c r="B4964" s="2">
        <v>45950</v>
      </c>
      <c r="C4964" t="s">
        <v>65</v>
      </c>
      <c r="D4964" t="s">
        <v>1629</v>
      </c>
      <c r="E4964">
        <v>181.68</v>
      </c>
      <c r="F4964" t="s">
        <v>1578</v>
      </c>
      <c r="G4964" t="s">
        <v>1468</v>
      </c>
    </row>
    <row r="4965" spans="1:7">
      <c r="A4965" t="s">
        <v>6568</v>
      </c>
      <c r="B4965" s="2">
        <v>45950</v>
      </c>
      <c r="C4965" t="s">
        <v>68</v>
      </c>
      <c r="D4965" t="s">
        <v>1629</v>
      </c>
      <c r="E4965">
        <v>182.58</v>
      </c>
      <c r="F4965" t="s">
        <v>1578</v>
      </c>
      <c r="G4965" t="s">
        <v>1468</v>
      </c>
    </row>
    <row r="4966" spans="1:7">
      <c r="A4966" t="s">
        <v>6569</v>
      </c>
      <c r="B4966" s="2">
        <v>45950</v>
      </c>
      <c r="C4966" t="s">
        <v>70</v>
      </c>
      <c r="D4966" t="s">
        <v>1629</v>
      </c>
      <c r="E4966">
        <v>180.79</v>
      </c>
      <c r="F4966" t="s">
        <v>1578</v>
      </c>
      <c r="G4966" t="s">
        <v>1468</v>
      </c>
    </row>
    <row r="4967" spans="1:7">
      <c r="A4967" t="s">
        <v>6570</v>
      </c>
      <c r="B4967" s="2">
        <v>45950</v>
      </c>
      <c r="C4967" t="s">
        <v>75</v>
      </c>
      <c r="D4967" t="s">
        <v>1629</v>
      </c>
      <c r="E4967">
        <v>180.79</v>
      </c>
      <c r="F4967" t="s">
        <v>1578</v>
      </c>
      <c r="G4967" t="s">
        <v>1468</v>
      </c>
    </row>
    <row r="4968" spans="1:7">
      <c r="A4968" t="s">
        <v>6571</v>
      </c>
      <c r="B4968" s="2">
        <v>45950</v>
      </c>
      <c r="C4968" t="s">
        <v>77</v>
      </c>
      <c r="D4968" t="s">
        <v>1629</v>
      </c>
      <c r="E4968">
        <v>180.79</v>
      </c>
      <c r="F4968" t="s">
        <v>1578</v>
      </c>
      <c r="G4968" t="s">
        <v>1468</v>
      </c>
    </row>
    <row r="4969" spans="1:7">
      <c r="A4969" t="s">
        <v>6572</v>
      </c>
      <c r="B4969" s="2">
        <v>45950</v>
      </c>
      <c r="C4969" t="s">
        <v>79</v>
      </c>
      <c r="D4969" t="s">
        <v>1629</v>
      </c>
      <c r="E4969">
        <v>182.58</v>
      </c>
      <c r="F4969" t="s">
        <v>1578</v>
      </c>
      <c r="G4969" t="s">
        <v>1468</v>
      </c>
    </row>
    <row r="4970" spans="1:7">
      <c r="A4970" t="s">
        <v>6573</v>
      </c>
      <c r="B4970" s="2">
        <v>45950</v>
      </c>
      <c r="C4970" t="s">
        <v>81</v>
      </c>
      <c r="D4970" t="s">
        <v>1629</v>
      </c>
      <c r="E4970">
        <v>361.58</v>
      </c>
      <c r="F4970" t="s">
        <v>1578</v>
      </c>
      <c r="G4970" t="s">
        <v>1468</v>
      </c>
    </row>
    <row r="4971" spans="1:7">
      <c r="A4971" t="s">
        <v>6574</v>
      </c>
      <c r="B4971" s="2">
        <v>45950</v>
      </c>
      <c r="C4971" t="s">
        <v>110</v>
      </c>
      <c r="D4971" t="s">
        <v>1629</v>
      </c>
      <c r="E4971">
        <v>182.58</v>
      </c>
      <c r="F4971" t="s">
        <v>1578</v>
      </c>
      <c r="G4971" t="s">
        <v>1468</v>
      </c>
    </row>
    <row r="4972" spans="1:7">
      <c r="A4972" t="s">
        <v>6575</v>
      </c>
      <c r="B4972" s="2">
        <v>45950</v>
      </c>
      <c r="C4972" t="s">
        <v>114</v>
      </c>
      <c r="D4972" t="s">
        <v>1629</v>
      </c>
      <c r="E4972">
        <v>180.79</v>
      </c>
      <c r="F4972" t="s">
        <v>1578</v>
      </c>
      <c r="G4972" t="s">
        <v>1468</v>
      </c>
    </row>
    <row r="4973" spans="1:7">
      <c r="A4973" t="s">
        <v>6576</v>
      </c>
      <c r="B4973" s="2">
        <v>45950</v>
      </c>
      <c r="C4973" t="s">
        <v>117</v>
      </c>
      <c r="D4973" t="s">
        <v>1629</v>
      </c>
      <c r="E4973">
        <v>179.9</v>
      </c>
      <c r="F4973" t="s">
        <v>1578</v>
      </c>
      <c r="G4973" t="s">
        <v>1468</v>
      </c>
    </row>
    <row r="4974" spans="1:7">
      <c r="A4974" t="s">
        <v>6577</v>
      </c>
      <c r="B4974" s="2">
        <v>45950</v>
      </c>
      <c r="C4974" t="s">
        <v>119</v>
      </c>
      <c r="D4974" t="s">
        <v>1629</v>
      </c>
      <c r="E4974">
        <v>180.79</v>
      </c>
      <c r="F4974" t="s">
        <v>1578</v>
      </c>
      <c r="G4974" t="s">
        <v>1468</v>
      </c>
    </row>
    <row r="4975" spans="1:7">
      <c r="A4975" t="s">
        <v>6578</v>
      </c>
      <c r="B4975" s="2">
        <v>45950</v>
      </c>
      <c r="C4975" t="s">
        <v>75</v>
      </c>
      <c r="D4975" t="s">
        <v>1629</v>
      </c>
      <c r="E4975">
        <v>303</v>
      </c>
      <c r="F4975" t="s">
        <v>1578</v>
      </c>
      <c r="G4975" t="s">
        <v>1469</v>
      </c>
    </row>
    <row r="4976" spans="1:7">
      <c r="A4976" t="s">
        <v>6579</v>
      </c>
      <c r="B4976" s="2">
        <v>45950</v>
      </c>
      <c r="C4976" t="s">
        <v>91</v>
      </c>
      <c r="D4976" t="s">
        <v>1629</v>
      </c>
      <c r="E4976">
        <v>307.5</v>
      </c>
      <c r="F4976" t="s">
        <v>1578</v>
      </c>
      <c r="G4976" t="s">
        <v>1469</v>
      </c>
    </row>
    <row r="4977" spans="1:7">
      <c r="A4977" t="s">
        <v>6580</v>
      </c>
      <c r="B4977" s="2">
        <v>45950</v>
      </c>
      <c r="C4977" t="s">
        <v>93</v>
      </c>
      <c r="D4977" t="s">
        <v>1629</v>
      </c>
      <c r="E4977">
        <v>306</v>
      </c>
      <c r="F4977" t="s">
        <v>1578</v>
      </c>
      <c r="G4977" t="s">
        <v>1469</v>
      </c>
    </row>
    <row r="4978" spans="1:7">
      <c r="A4978" t="s">
        <v>6581</v>
      </c>
      <c r="B4978" s="2">
        <v>45950</v>
      </c>
      <c r="C4978" t="s">
        <v>95</v>
      </c>
      <c r="D4978" t="s">
        <v>1629</v>
      </c>
      <c r="E4978">
        <v>304.5</v>
      </c>
      <c r="F4978" t="s">
        <v>1578</v>
      </c>
      <c r="G4978" t="s">
        <v>1469</v>
      </c>
    </row>
    <row r="4979" spans="1:7">
      <c r="A4979" t="s">
        <v>6582</v>
      </c>
      <c r="B4979" s="2">
        <v>45950</v>
      </c>
      <c r="C4979" t="s">
        <v>97</v>
      </c>
      <c r="D4979" t="s">
        <v>1629</v>
      </c>
      <c r="E4979">
        <v>303</v>
      </c>
      <c r="F4979" t="s">
        <v>1578</v>
      </c>
      <c r="G4979" t="s">
        <v>1469</v>
      </c>
    </row>
    <row r="4980" spans="1:7">
      <c r="A4980" t="s">
        <v>6583</v>
      </c>
      <c r="B4980" s="2">
        <v>45950</v>
      </c>
      <c r="C4980" t="s">
        <v>99</v>
      </c>
      <c r="D4980" t="s">
        <v>1629</v>
      </c>
      <c r="E4980">
        <v>154.5</v>
      </c>
      <c r="F4980" t="s">
        <v>1578</v>
      </c>
      <c r="G4980" t="s">
        <v>1469</v>
      </c>
    </row>
    <row r="4981" spans="1:7">
      <c r="A4981" t="s">
        <v>6584</v>
      </c>
      <c r="B4981" s="2">
        <v>45950</v>
      </c>
      <c r="C4981" t="s">
        <v>102</v>
      </c>
      <c r="D4981" t="s">
        <v>1629</v>
      </c>
      <c r="E4981">
        <v>306</v>
      </c>
      <c r="F4981" t="s">
        <v>1578</v>
      </c>
      <c r="G4981" t="s">
        <v>1469</v>
      </c>
    </row>
    <row r="4982" spans="1:7">
      <c r="A4982" t="s">
        <v>6585</v>
      </c>
      <c r="B4982" s="2">
        <v>45950</v>
      </c>
      <c r="C4982" t="s">
        <v>108</v>
      </c>
      <c r="D4982" t="s">
        <v>1629</v>
      </c>
      <c r="E4982">
        <v>609</v>
      </c>
      <c r="F4982" t="s">
        <v>1578</v>
      </c>
      <c r="G4982" t="s">
        <v>1469</v>
      </c>
    </row>
    <row r="4983" spans="1:7">
      <c r="A4983" t="s">
        <v>6586</v>
      </c>
      <c r="B4983" s="2">
        <v>45950</v>
      </c>
      <c r="C4983" t="s">
        <v>110</v>
      </c>
      <c r="D4983" t="s">
        <v>1629</v>
      </c>
      <c r="E4983">
        <v>306</v>
      </c>
      <c r="F4983" t="s">
        <v>1578</v>
      </c>
      <c r="G4983" t="s">
        <v>1469</v>
      </c>
    </row>
    <row r="4984" spans="1:7">
      <c r="A4984" t="s">
        <v>6587</v>
      </c>
      <c r="B4984" s="2">
        <v>45950</v>
      </c>
      <c r="C4984" t="s">
        <v>114</v>
      </c>
      <c r="D4984" t="s">
        <v>1629</v>
      </c>
      <c r="E4984">
        <v>303</v>
      </c>
      <c r="F4984" t="s">
        <v>1578</v>
      </c>
      <c r="G4984" t="s">
        <v>1469</v>
      </c>
    </row>
    <row r="4985" spans="1:7">
      <c r="A4985" t="s">
        <v>6588</v>
      </c>
      <c r="B4985" s="2">
        <v>45950</v>
      </c>
      <c r="C4985" t="s">
        <v>117</v>
      </c>
      <c r="D4985" t="s">
        <v>1629</v>
      </c>
      <c r="E4985">
        <v>301.5</v>
      </c>
      <c r="F4985" t="s">
        <v>1578</v>
      </c>
      <c r="G4985" t="s">
        <v>1469</v>
      </c>
    </row>
    <row r="4986" spans="1:7">
      <c r="A4986" t="s">
        <v>6589</v>
      </c>
      <c r="B4986" s="2">
        <v>45950</v>
      </c>
      <c r="C4986" t="s">
        <v>119</v>
      </c>
      <c r="D4986" t="s">
        <v>1629</v>
      </c>
      <c r="E4986">
        <v>303</v>
      </c>
      <c r="F4986" t="s">
        <v>1578</v>
      </c>
      <c r="G4986" t="s">
        <v>1469</v>
      </c>
    </row>
    <row r="4987" spans="1:7">
      <c r="A4987" t="s">
        <v>6590</v>
      </c>
      <c r="B4987" s="2">
        <v>45950</v>
      </c>
      <c r="C4987" t="s">
        <v>61</v>
      </c>
      <c r="D4987" t="s">
        <v>1629</v>
      </c>
      <c r="E4987">
        <v>418.2</v>
      </c>
      <c r="F4987" t="s">
        <v>1578</v>
      </c>
      <c r="G4987" t="s">
        <v>1470</v>
      </c>
    </row>
    <row r="4988" spans="1:7">
      <c r="A4988" t="s">
        <v>6591</v>
      </c>
      <c r="B4988" s="2">
        <v>45950</v>
      </c>
      <c r="C4988" t="s">
        <v>65</v>
      </c>
      <c r="D4988" t="s">
        <v>1629</v>
      </c>
      <c r="E4988">
        <v>416.15</v>
      </c>
      <c r="F4988" t="s">
        <v>1578</v>
      </c>
      <c r="G4988" t="s">
        <v>1470</v>
      </c>
    </row>
    <row r="4989" spans="1:7">
      <c r="A4989" t="s">
        <v>6592</v>
      </c>
      <c r="B4989" s="2">
        <v>45950</v>
      </c>
      <c r="C4989" t="s">
        <v>68</v>
      </c>
      <c r="D4989" t="s">
        <v>1629</v>
      </c>
      <c r="E4989">
        <v>418.2</v>
      </c>
      <c r="F4989" t="s">
        <v>1578</v>
      </c>
      <c r="G4989" t="s">
        <v>1470</v>
      </c>
    </row>
    <row r="4990" spans="1:7">
      <c r="A4990" t="s">
        <v>6593</v>
      </c>
      <c r="B4990" s="2">
        <v>45950</v>
      </c>
      <c r="C4990" t="s">
        <v>70</v>
      </c>
      <c r="D4990" t="s">
        <v>1629</v>
      </c>
      <c r="E4990">
        <v>414.1</v>
      </c>
      <c r="F4990" t="s">
        <v>1578</v>
      </c>
      <c r="G4990" t="s">
        <v>1470</v>
      </c>
    </row>
    <row r="4991" spans="1:7">
      <c r="A4991" t="s">
        <v>6594</v>
      </c>
      <c r="B4991" s="2">
        <v>45950</v>
      </c>
      <c r="C4991" t="s">
        <v>75</v>
      </c>
      <c r="D4991" t="s">
        <v>1629</v>
      </c>
      <c r="E4991">
        <v>414.1</v>
      </c>
      <c r="F4991" t="s">
        <v>1578</v>
      </c>
      <c r="G4991" t="s">
        <v>1470</v>
      </c>
    </row>
    <row r="4992" spans="1:7">
      <c r="A4992" t="s">
        <v>6595</v>
      </c>
      <c r="B4992" s="2">
        <v>45950</v>
      </c>
      <c r="C4992" t="s">
        <v>77</v>
      </c>
      <c r="D4992" t="s">
        <v>1629</v>
      </c>
      <c r="E4992">
        <v>414.1</v>
      </c>
      <c r="F4992" t="s">
        <v>1578</v>
      </c>
      <c r="G4992" t="s">
        <v>1470</v>
      </c>
    </row>
    <row r="4993" spans="1:7">
      <c r="A4993" t="s">
        <v>6596</v>
      </c>
      <c r="B4993" s="2">
        <v>45950</v>
      </c>
      <c r="C4993" t="s">
        <v>79</v>
      </c>
      <c r="D4993" t="s">
        <v>1629</v>
      </c>
      <c r="E4993">
        <v>418.2</v>
      </c>
      <c r="F4993" t="s">
        <v>1578</v>
      </c>
      <c r="G4993" t="s">
        <v>1470</v>
      </c>
    </row>
    <row r="4994" spans="1:7">
      <c r="A4994" t="s">
        <v>6597</v>
      </c>
      <c r="B4994" s="2">
        <v>45950</v>
      </c>
      <c r="C4994" t="s">
        <v>81</v>
      </c>
      <c r="D4994" t="s">
        <v>1629</v>
      </c>
      <c r="E4994">
        <v>828.2</v>
      </c>
      <c r="F4994" t="s">
        <v>1578</v>
      </c>
      <c r="G4994" t="s">
        <v>1470</v>
      </c>
    </row>
    <row r="4995" spans="1:7">
      <c r="A4995" t="s">
        <v>6598</v>
      </c>
      <c r="B4995" s="2">
        <v>45950</v>
      </c>
      <c r="C4995" t="s">
        <v>110</v>
      </c>
      <c r="D4995" t="s">
        <v>1629</v>
      </c>
      <c r="E4995">
        <v>418.2</v>
      </c>
      <c r="F4995" t="s">
        <v>1578</v>
      </c>
      <c r="G4995" t="s">
        <v>1470</v>
      </c>
    </row>
    <row r="4996" spans="1:7">
      <c r="A4996" t="s">
        <v>6599</v>
      </c>
      <c r="B4996" s="2">
        <v>45950</v>
      </c>
      <c r="C4996" t="s">
        <v>114</v>
      </c>
      <c r="D4996" t="s">
        <v>1629</v>
      </c>
      <c r="E4996">
        <v>414.1</v>
      </c>
      <c r="F4996" t="s">
        <v>1578</v>
      </c>
      <c r="G4996" t="s">
        <v>1470</v>
      </c>
    </row>
    <row r="4997" spans="1:7">
      <c r="A4997" t="s">
        <v>6600</v>
      </c>
      <c r="B4997" s="2">
        <v>45950</v>
      </c>
      <c r="C4997" t="s">
        <v>117</v>
      </c>
      <c r="D4997" t="s">
        <v>1629</v>
      </c>
      <c r="E4997">
        <v>412.05</v>
      </c>
      <c r="F4997" t="s">
        <v>1578</v>
      </c>
      <c r="G4997" t="s">
        <v>1470</v>
      </c>
    </row>
    <row r="4998" spans="1:7">
      <c r="A4998" t="s">
        <v>6601</v>
      </c>
      <c r="B4998" s="2">
        <v>45950</v>
      </c>
      <c r="C4998" t="s">
        <v>119</v>
      </c>
      <c r="D4998" t="s">
        <v>1629</v>
      </c>
      <c r="E4998">
        <v>414.1</v>
      </c>
      <c r="F4998" t="s">
        <v>1578</v>
      </c>
      <c r="G4998" t="s">
        <v>1470</v>
      </c>
    </row>
    <row r="4999" spans="1:7">
      <c r="A4999" t="s">
        <v>6602</v>
      </c>
      <c r="B4999" s="2">
        <v>45950</v>
      </c>
      <c r="C4999" t="s">
        <v>119</v>
      </c>
      <c r="D4999" t="s">
        <v>1683</v>
      </c>
      <c r="E4999">
        <v>199</v>
      </c>
      <c r="F4999" t="s">
        <v>1578</v>
      </c>
      <c r="G4999" t="s">
        <v>914</v>
      </c>
    </row>
    <row r="5000" spans="1:7">
      <c r="A5000" t="s">
        <v>6603</v>
      </c>
      <c r="B5000" s="2">
        <v>45950</v>
      </c>
      <c r="C5000" t="s">
        <v>106</v>
      </c>
      <c r="D5000" t="s">
        <v>1683</v>
      </c>
      <c r="E5000">
        <v>68</v>
      </c>
      <c r="F5000" t="s">
        <v>1578</v>
      </c>
      <c r="G5000" t="s">
        <v>915</v>
      </c>
    </row>
    <row r="5001" spans="1:7">
      <c r="A5001" t="s">
        <v>6604</v>
      </c>
      <c r="B5001" s="2">
        <v>45951</v>
      </c>
      <c r="C5001" t="s">
        <v>61</v>
      </c>
      <c r="D5001" t="s">
        <v>1629</v>
      </c>
      <c r="E5001">
        <v>294.77999999999997</v>
      </c>
      <c r="F5001" t="s">
        <v>1578</v>
      </c>
      <c r="G5001" t="s">
        <v>1471</v>
      </c>
    </row>
    <row r="5002" spans="1:7">
      <c r="A5002" t="s">
        <v>6605</v>
      </c>
      <c r="B5002" s="2">
        <v>45951</v>
      </c>
      <c r="C5002" t="s">
        <v>65</v>
      </c>
      <c r="D5002" t="s">
        <v>1629</v>
      </c>
      <c r="E5002">
        <v>293.33</v>
      </c>
      <c r="F5002" t="s">
        <v>1578</v>
      </c>
      <c r="G5002" t="s">
        <v>1471</v>
      </c>
    </row>
    <row r="5003" spans="1:7">
      <c r="A5003" t="s">
        <v>6606</v>
      </c>
      <c r="B5003" s="2">
        <v>45951</v>
      </c>
      <c r="C5003" t="s">
        <v>68</v>
      </c>
      <c r="D5003" t="s">
        <v>1629</v>
      </c>
      <c r="E5003">
        <v>294.77999999999997</v>
      </c>
      <c r="F5003" t="s">
        <v>1578</v>
      </c>
      <c r="G5003" t="s">
        <v>1471</v>
      </c>
    </row>
    <row r="5004" spans="1:7">
      <c r="A5004" t="s">
        <v>6607</v>
      </c>
      <c r="B5004" s="2">
        <v>45951</v>
      </c>
      <c r="C5004" t="s">
        <v>75</v>
      </c>
      <c r="D5004" t="s">
        <v>1629</v>
      </c>
      <c r="E5004">
        <v>291.89</v>
      </c>
      <c r="F5004" t="s">
        <v>1578</v>
      </c>
      <c r="G5004" t="s">
        <v>1471</v>
      </c>
    </row>
    <row r="5005" spans="1:7">
      <c r="A5005" t="s">
        <v>6608</v>
      </c>
      <c r="B5005" s="2">
        <v>45951</v>
      </c>
      <c r="C5005" t="s">
        <v>79</v>
      </c>
      <c r="D5005" t="s">
        <v>1629</v>
      </c>
      <c r="E5005">
        <v>294.77999999999997</v>
      </c>
      <c r="F5005" t="s">
        <v>1578</v>
      </c>
      <c r="G5005" t="s">
        <v>1471</v>
      </c>
    </row>
    <row r="5006" spans="1:7">
      <c r="A5006" t="s">
        <v>6609</v>
      </c>
      <c r="B5006" s="2">
        <v>45951</v>
      </c>
      <c r="C5006" t="s">
        <v>81</v>
      </c>
      <c r="D5006" t="s">
        <v>1629</v>
      </c>
      <c r="E5006">
        <v>583.78</v>
      </c>
      <c r="F5006" t="s">
        <v>1578</v>
      </c>
      <c r="G5006" t="s">
        <v>1471</v>
      </c>
    </row>
    <row r="5007" spans="1:7">
      <c r="A5007" t="s">
        <v>6610</v>
      </c>
      <c r="B5007" s="2">
        <v>45951</v>
      </c>
      <c r="C5007" t="s">
        <v>110</v>
      </c>
      <c r="D5007" t="s">
        <v>1629</v>
      </c>
      <c r="E5007">
        <v>294.77999999999997</v>
      </c>
      <c r="F5007" t="s">
        <v>1578</v>
      </c>
      <c r="G5007" t="s">
        <v>1471</v>
      </c>
    </row>
    <row r="5008" spans="1:7">
      <c r="A5008" t="s">
        <v>6611</v>
      </c>
      <c r="B5008" s="2">
        <v>45951</v>
      </c>
      <c r="C5008" t="s">
        <v>114</v>
      </c>
      <c r="D5008" t="s">
        <v>1629</v>
      </c>
      <c r="E5008">
        <v>291.89</v>
      </c>
      <c r="F5008" t="s">
        <v>1578</v>
      </c>
      <c r="G5008" t="s">
        <v>1471</v>
      </c>
    </row>
    <row r="5009" spans="1:7">
      <c r="A5009" t="s">
        <v>6612</v>
      </c>
      <c r="B5009" s="2">
        <v>45951</v>
      </c>
      <c r="C5009" t="s">
        <v>117</v>
      </c>
      <c r="D5009" t="s">
        <v>1629</v>
      </c>
      <c r="E5009">
        <v>290.44</v>
      </c>
      <c r="F5009" t="s">
        <v>1578</v>
      </c>
      <c r="G5009" t="s">
        <v>1471</v>
      </c>
    </row>
    <row r="5010" spans="1:7">
      <c r="A5010" t="s">
        <v>6613</v>
      </c>
      <c r="B5010" s="2">
        <v>45951</v>
      </c>
      <c r="C5010" t="s">
        <v>119</v>
      </c>
      <c r="D5010" t="s">
        <v>1629</v>
      </c>
      <c r="E5010">
        <v>291.89</v>
      </c>
      <c r="F5010" t="s">
        <v>1578</v>
      </c>
      <c r="G5010" t="s">
        <v>1471</v>
      </c>
    </row>
    <row r="5011" spans="1:7">
      <c r="A5011" t="s">
        <v>6614</v>
      </c>
      <c r="B5011" s="2">
        <v>45951</v>
      </c>
      <c r="C5011" t="s">
        <v>75</v>
      </c>
      <c r="D5011" t="s">
        <v>1629</v>
      </c>
      <c r="E5011">
        <v>408.04</v>
      </c>
      <c r="F5011" t="s">
        <v>1578</v>
      </c>
      <c r="G5011" t="s">
        <v>1472</v>
      </c>
    </row>
    <row r="5012" spans="1:7">
      <c r="A5012" t="s">
        <v>6615</v>
      </c>
      <c r="B5012" s="2">
        <v>45951</v>
      </c>
      <c r="C5012" t="s">
        <v>104</v>
      </c>
      <c r="D5012" t="s">
        <v>1629</v>
      </c>
      <c r="E5012">
        <v>832.24</v>
      </c>
      <c r="F5012" t="s">
        <v>1578</v>
      </c>
      <c r="G5012" t="s">
        <v>1472</v>
      </c>
    </row>
    <row r="5013" spans="1:7">
      <c r="A5013" t="s">
        <v>6616</v>
      </c>
      <c r="B5013" s="2">
        <v>45951</v>
      </c>
      <c r="C5013" t="s">
        <v>108</v>
      </c>
      <c r="D5013" t="s">
        <v>1629</v>
      </c>
      <c r="E5013">
        <v>820.12</v>
      </c>
      <c r="F5013" t="s">
        <v>1578</v>
      </c>
      <c r="G5013" t="s">
        <v>1472</v>
      </c>
    </row>
    <row r="5014" spans="1:7">
      <c r="A5014" t="s">
        <v>6617</v>
      </c>
      <c r="B5014" s="2">
        <v>45951</v>
      </c>
      <c r="C5014" t="s">
        <v>110</v>
      </c>
      <c r="D5014" t="s">
        <v>1629</v>
      </c>
      <c r="E5014">
        <v>412.08</v>
      </c>
      <c r="F5014" t="s">
        <v>1578</v>
      </c>
      <c r="G5014" t="s">
        <v>1472</v>
      </c>
    </row>
    <row r="5015" spans="1:7">
      <c r="A5015" t="s">
        <v>6618</v>
      </c>
      <c r="B5015" s="2">
        <v>45951</v>
      </c>
      <c r="C5015" t="s">
        <v>114</v>
      </c>
      <c r="D5015" t="s">
        <v>1629</v>
      </c>
      <c r="E5015">
        <v>408.04</v>
      </c>
      <c r="F5015" t="s">
        <v>1578</v>
      </c>
      <c r="G5015" t="s">
        <v>1472</v>
      </c>
    </row>
    <row r="5016" spans="1:7">
      <c r="A5016" t="s">
        <v>6619</v>
      </c>
      <c r="B5016" s="2">
        <v>45951</v>
      </c>
      <c r="C5016" t="s">
        <v>117</v>
      </c>
      <c r="D5016" t="s">
        <v>1629</v>
      </c>
      <c r="E5016">
        <v>406.02</v>
      </c>
      <c r="F5016" t="s">
        <v>1578</v>
      </c>
      <c r="G5016" t="s">
        <v>1472</v>
      </c>
    </row>
    <row r="5017" spans="1:7">
      <c r="A5017" t="s">
        <v>6620</v>
      </c>
      <c r="B5017" s="2">
        <v>45951</v>
      </c>
      <c r="C5017" t="s">
        <v>119</v>
      </c>
      <c r="D5017" t="s">
        <v>1629</v>
      </c>
      <c r="E5017">
        <v>408.04</v>
      </c>
      <c r="F5017" t="s">
        <v>1578</v>
      </c>
      <c r="G5017" t="s">
        <v>1472</v>
      </c>
    </row>
    <row r="5018" spans="1:7">
      <c r="A5018" t="s">
        <v>6621</v>
      </c>
      <c r="B5018" s="2">
        <v>45951</v>
      </c>
      <c r="C5018" t="s">
        <v>61</v>
      </c>
      <c r="D5018" t="s">
        <v>1629</v>
      </c>
      <c r="E5018">
        <v>215.22</v>
      </c>
      <c r="F5018" t="s">
        <v>1578</v>
      </c>
      <c r="G5018" t="s">
        <v>1473</v>
      </c>
    </row>
    <row r="5019" spans="1:7">
      <c r="A5019" t="s">
        <v>6622</v>
      </c>
      <c r="B5019" s="2">
        <v>45951</v>
      </c>
      <c r="C5019" t="s">
        <v>65</v>
      </c>
      <c r="D5019" t="s">
        <v>1629</v>
      </c>
      <c r="E5019">
        <v>214.16</v>
      </c>
      <c r="F5019" t="s">
        <v>1578</v>
      </c>
      <c r="G5019" t="s">
        <v>1473</v>
      </c>
    </row>
    <row r="5020" spans="1:7">
      <c r="A5020" t="s">
        <v>6623</v>
      </c>
      <c r="B5020" s="2">
        <v>45951</v>
      </c>
      <c r="C5020" t="s">
        <v>68</v>
      </c>
      <c r="D5020" t="s">
        <v>1629</v>
      </c>
      <c r="E5020">
        <v>215.22</v>
      </c>
      <c r="F5020" t="s">
        <v>1578</v>
      </c>
      <c r="G5020" t="s">
        <v>1473</v>
      </c>
    </row>
    <row r="5021" spans="1:7">
      <c r="A5021" t="s">
        <v>6624</v>
      </c>
      <c r="B5021" s="2">
        <v>45951</v>
      </c>
      <c r="C5021" t="s">
        <v>70</v>
      </c>
      <c r="D5021" t="s">
        <v>1629</v>
      </c>
      <c r="E5021">
        <v>213.11</v>
      </c>
      <c r="F5021" t="s">
        <v>1578</v>
      </c>
      <c r="G5021" t="s">
        <v>1473</v>
      </c>
    </row>
    <row r="5022" spans="1:7">
      <c r="A5022" t="s">
        <v>6625</v>
      </c>
      <c r="B5022" s="2">
        <v>45951</v>
      </c>
      <c r="C5022" t="s">
        <v>75</v>
      </c>
      <c r="D5022" t="s">
        <v>1629</v>
      </c>
      <c r="E5022">
        <v>213.11</v>
      </c>
      <c r="F5022" t="s">
        <v>1578</v>
      </c>
      <c r="G5022" t="s">
        <v>1473</v>
      </c>
    </row>
    <row r="5023" spans="1:7">
      <c r="A5023" t="s">
        <v>6626</v>
      </c>
      <c r="B5023" s="2">
        <v>45951</v>
      </c>
      <c r="C5023" t="s">
        <v>77</v>
      </c>
      <c r="D5023" t="s">
        <v>1629</v>
      </c>
      <c r="E5023">
        <v>213.11</v>
      </c>
      <c r="F5023" t="s">
        <v>1578</v>
      </c>
      <c r="G5023" t="s">
        <v>1473</v>
      </c>
    </row>
    <row r="5024" spans="1:7">
      <c r="A5024" t="s">
        <v>6627</v>
      </c>
      <c r="B5024" s="2">
        <v>45951</v>
      </c>
      <c r="C5024" t="s">
        <v>79</v>
      </c>
      <c r="D5024" t="s">
        <v>1629</v>
      </c>
      <c r="E5024">
        <v>215.22</v>
      </c>
      <c r="F5024" t="s">
        <v>1578</v>
      </c>
      <c r="G5024" t="s">
        <v>1473</v>
      </c>
    </row>
    <row r="5025" spans="1:7">
      <c r="A5025" t="s">
        <v>6628</v>
      </c>
      <c r="B5025" s="2">
        <v>45951</v>
      </c>
      <c r="C5025" t="s">
        <v>81</v>
      </c>
      <c r="D5025" t="s">
        <v>1629</v>
      </c>
      <c r="E5025">
        <v>426.22</v>
      </c>
      <c r="F5025" t="s">
        <v>1578</v>
      </c>
      <c r="G5025" t="s">
        <v>1473</v>
      </c>
    </row>
    <row r="5026" spans="1:7">
      <c r="A5026" t="s">
        <v>6629</v>
      </c>
      <c r="B5026" s="2">
        <v>45951</v>
      </c>
      <c r="C5026" t="s">
        <v>108</v>
      </c>
      <c r="D5026" t="s">
        <v>1629</v>
      </c>
      <c r="E5026">
        <v>428.33</v>
      </c>
      <c r="F5026" t="s">
        <v>1578</v>
      </c>
      <c r="G5026" t="s">
        <v>1473</v>
      </c>
    </row>
    <row r="5027" spans="1:7">
      <c r="A5027" t="s">
        <v>6630</v>
      </c>
      <c r="B5027" s="2">
        <v>45951</v>
      </c>
      <c r="C5027" t="s">
        <v>110</v>
      </c>
      <c r="D5027" t="s">
        <v>1629</v>
      </c>
      <c r="E5027">
        <v>215.22</v>
      </c>
      <c r="F5027" t="s">
        <v>1578</v>
      </c>
      <c r="G5027" t="s">
        <v>1473</v>
      </c>
    </row>
    <row r="5028" spans="1:7">
      <c r="A5028" t="s">
        <v>6631</v>
      </c>
      <c r="B5028" s="2">
        <v>45951</v>
      </c>
      <c r="C5028" t="s">
        <v>114</v>
      </c>
      <c r="D5028" t="s">
        <v>1629</v>
      </c>
      <c r="E5028">
        <v>213.11</v>
      </c>
      <c r="F5028" t="s">
        <v>1578</v>
      </c>
      <c r="G5028" t="s">
        <v>1473</v>
      </c>
    </row>
    <row r="5029" spans="1:7">
      <c r="A5029" t="s">
        <v>6632</v>
      </c>
      <c r="B5029" s="2">
        <v>45951</v>
      </c>
      <c r="C5029" t="s">
        <v>117</v>
      </c>
      <c r="D5029" t="s">
        <v>1629</v>
      </c>
      <c r="E5029">
        <v>212.05</v>
      </c>
      <c r="F5029" t="s">
        <v>1578</v>
      </c>
      <c r="G5029" t="s">
        <v>1473</v>
      </c>
    </row>
    <row r="5030" spans="1:7">
      <c r="A5030" t="s">
        <v>6633</v>
      </c>
      <c r="B5030" s="2">
        <v>45951</v>
      </c>
      <c r="C5030" t="s">
        <v>119</v>
      </c>
      <c r="D5030" t="s">
        <v>1629</v>
      </c>
      <c r="E5030">
        <v>213.11</v>
      </c>
      <c r="F5030" t="s">
        <v>1578</v>
      </c>
      <c r="G5030" t="s">
        <v>1473</v>
      </c>
    </row>
    <row r="5031" spans="1:7">
      <c r="A5031" t="s">
        <v>6634</v>
      </c>
      <c r="B5031" s="2">
        <v>45951</v>
      </c>
      <c r="C5031" t="s">
        <v>75</v>
      </c>
      <c r="D5031" t="s">
        <v>1683</v>
      </c>
      <c r="E5031">
        <v>203</v>
      </c>
      <c r="F5031" t="s">
        <v>1578</v>
      </c>
      <c r="G5031" t="s">
        <v>916</v>
      </c>
    </row>
    <row r="5032" spans="1:7">
      <c r="A5032" t="s">
        <v>6635</v>
      </c>
      <c r="B5032" s="2">
        <v>45952</v>
      </c>
      <c r="C5032" t="s">
        <v>75</v>
      </c>
      <c r="D5032" t="s">
        <v>1629</v>
      </c>
      <c r="E5032">
        <v>164.63</v>
      </c>
      <c r="F5032" t="s">
        <v>1578</v>
      </c>
      <c r="G5032" t="s">
        <v>1474</v>
      </c>
    </row>
    <row r="5033" spans="1:7">
      <c r="A5033" t="s">
        <v>6636</v>
      </c>
      <c r="B5033" s="2">
        <v>45952</v>
      </c>
      <c r="C5033" t="s">
        <v>104</v>
      </c>
      <c r="D5033" t="s">
        <v>1629</v>
      </c>
      <c r="E5033">
        <v>335.78</v>
      </c>
      <c r="F5033" t="s">
        <v>1578</v>
      </c>
      <c r="G5033" t="s">
        <v>1474</v>
      </c>
    </row>
    <row r="5034" spans="1:7">
      <c r="A5034" t="s">
        <v>6637</v>
      </c>
      <c r="B5034" s="2">
        <v>45952</v>
      </c>
      <c r="C5034" t="s">
        <v>108</v>
      </c>
      <c r="D5034" t="s">
        <v>1629</v>
      </c>
      <c r="E5034">
        <v>330.89</v>
      </c>
      <c r="F5034" t="s">
        <v>1578</v>
      </c>
      <c r="G5034" t="s">
        <v>1474</v>
      </c>
    </row>
    <row r="5035" spans="1:7">
      <c r="A5035" t="s">
        <v>6638</v>
      </c>
      <c r="B5035" s="2">
        <v>45952</v>
      </c>
      <c r="C5035" t="s">
        <v>110</v>
      </c>
      <c r="D5035" t="s">
        <v>1629</v>
      </c>
      <c r="E5035">
        <v>166.26</v>
      </c>
      <c r="F5035" t="s">
        <v>1578</v>
      </c>
      <c r="G5035" t="s">
        <v>1474</v>
      </c>
    </row>
    <row r="5036" spans="1:7">
      <c r="A5036" t="s">
        <v>6639</v>
      </c>
      <c r="B5036" s="2">
        <v>45952</v>
      </c>
      <c r="C5036" t="s">
        <v>114</v>
      </c>
      <c r="D5036" t="s">
        <v>1629</v>
      </c>
      <c r="E5036">
        <v>164.63</v>
      </c>
      <c r="F5036" t="s">
        <v>1578</v>
      </c>
      <c r="G5036" t="s">
        <v>1474</v>
      </c>
    </row>
    <row r="5037" spans="1:7">
      <c r="A5037" t="s">
        <v>6640</v>
      </c>
      <c r="B5037" s="2">
        <v>45952</v>
      </c>
      <c r="C5037" t="s">
        <v>117</v>
      </c>
      <c r="D5037" t="s">
        <v>1629</v>
      </c>
      <c r="E5037">
        <v>163.81</v>
      </c>
      <c r="F5037" t="s">
        <v>1578</v>
      </c>
      <c r="G5037" t="s">
        <v>1474</v>
      </c>
    </row>
    <row r="5038" spans="1:7">
      <c r="A5038" t="s">
        <v>6641</v>
      </c>
      <c r="B5038" s="2">
        <v>45952</v>
      </c>
      <c r="C5038" t="s">
        <v>119</v>
      </c>
      <c r="D5038" t="s">
        <v>1629</v>
      </c>
      <c r="E5038">
        <v>164.63</v>
      </c>
      <c r="F5038" t="s">
        <v>1578</v>
      </c>
      <c r="G5038" t="s">
        <v>1474</v>
      </c>
    </row>
    <row r="5039" spans="1:7">
      <c r="A5039" t="s">
        <v>6642</v>
      </c>
      <c r="B5039" s="2">
        <v>45952</v>
      </c>
      <c r="C5039" t="s">
        <v>117</v>
      </c>
      <c r="D5039" t="s">
        <v>1683</v>
      </c>
      <c r="E5039">
        <v>266</v>
      </c>
      <c r="F5039" t="s">
        <v>1578</v>
      </c>
      <c r="G5039" t="s">
        <v>918</v>
      </c>
    </row>
    <row r="5040" spans="1:7">
      <c r="A5040" t="s">
        <v>6643</v>
      </c>
      <c r="B5040" s="2">
        <v>45953</v>
      </c>
      <c r="C5040" t="s">
        <v>75</v>
      </c>
      <c r="D5040" t="s">
        <v>1629</v>
      </c>
      <c r="E5040">
        <v>363.6</v>
      </c>
      <c r="F5040" t="s">
        <v>1578</v>
      </c>
      <c r="G5040" t="s">
        <v>1475</v>
      </c>
    </row>
    <row r="5041" spans="1:7">
      <c r="A5041" t="s">
        <v>6644</v>
      </c>
      <c r="B5041" s="2">
        <v>45953</v>
      </c>
      <c r="C5041" t="s">
        <v>91</v>
      </c>
      <c r="D5041" t="s">
        <v>1629</v>
      </c>
      <c r="E5041">
        <v>369</v>
      </c>
      <c r="F5041" t="s">
        <v>1578</v>
      </c>
      <c r="G5041" t="s">
        <v>1475</v>
      </c>
    </row>
    <row r="5042" spans="1:7">
      <c r="A5042" t="s">
        <v>6645</v>
      </c>
      <c r="B5042" s="2">
        <v>45953</v>
      </c>
      <c r="C5042" t="s">
        <v>93</v>
      </c>
      <c r="D5042" t="s">
        <v>1629</v>
      </c>
      <c r="E5042">
        <v>367.2</v>
      </c>
      <c r="F5042" t="s">
        <v>1578</v>
      </c>
      <c r="G5042" t="s">
        <v>1475</v>
      </c>
    </row>
    <row r="5043" spans="1:7">
      <c r="A5043" t="s">
        <v>6646</v>
      </c>
      <c r="B5043" s="2">
        <v>45953</v>
      </c>
      <c r="C5043" t="s">
        <v>95</v>
      </c>
      <c r="D5043" t="s">
        <v>1629</v>
      </c>
      <c r="E5043">
        <v>365.4</v>
      </c>
      <c r="F5043" t="s">
        <v>1578</v>
      </c>
      <c r="G5043" t="s">
        <v>1475</v>
      </c>
    </row>
    <row r="5044" spans="1:7">
      <c r="A5044" t="s">
        <v>6647</v>
      </c>
      <c r="B5044" s="2">
        <v>45953</v>
      </c>
      <c r="C5044" t="s">
        <v>97</v>
      </c>
      <c r="D5044" t="s">
        <v>1629</v>
      </c>
      <c r="E5044">
        <v>363.6</v>
      </c>
      <c r="F5044" t="s">
        <v>1578</v>
      </c>
      <c r="G5044" t="s">
        <v>1475</v>
      </c>
    </row>
    <row r="5045" spans="1:7">
      <c r="A5045" t="s">
        <v>6648</v>
      </c>
      <c r="B5045" s="2">
        <v>45953</v>
      </c>
      <c r="C5045" t="s">
        <v>99</v>
      </c>
      <c r="D5045" t="s">
        <v>1629</v>
      </c>
      <c r="E5045">
        <v>185.4</v>
      </c>
      <c r="F5045" t="s">
        <v>1578</v>
      </c>
      <c r="G5045" t="s">
        <v>1475</v>
      </c>
    </row>
    <row r="5046" spans="1:7">
      <c r="A5046" t="s">
        <v>6649</v>
      </c>
      <c r="B5046" s="2">
        <v>45953</v>
      </c>
      <c r="C5046" t="s">
        <v>102</v>
      </c>
      <c r="D5046" t="s">
        <v>1629</v>
      </c>
      <c r="E5046">
        <v>367.2</v>
      </c>
      <c r="F5046" t="s">
        <v>1578</v>
      </c>
      <c r="G5046" t="s">
        <v>1475</v>
      </c>
    </row>
    <row r="5047" spans="1:7">
      <c r="A5047" t="s">
        <v>6650</v>
      </c>
      <c r="B5047" s="2">
        <v>45953</v>
      </c>
      <c r="C5047" t="s">
        <v>108</v>
      </c>
      <c r="D5047" t="s">
        <v>1629</v>
      </c>
      <c r="E5047">
        <v>730.8</v>
      </c>
      <c r="F5047" t="s">
        <v>1578</v>
      </c>
      <c r="G5047" t="s">
        <v>1475</v>
      </c>
    </row>
    <row r="5048" spans="1:7">
      <c r="A5048" t="s">
        <v>6651</v>
      </c>
      <c r="B5048" s="2">
        <v>45953</v>
      </c>
      <c r="C5048" t="s">
        <v>110</v>
      </c>
      <c r="D5048" t="s">
        <v>1629</v>
      </c>
      <c r="E5048">
        <v>367.2</v>
      </c>
      <c r="F5048" t="s">
        <v>1578</v>
      </c>
      <c r="G5048" t="s">
        <v>1475</v>
      </c>
    </row>
    <row r="5049" spans="1:7">
      <c r="A5049" t="s">
        <v>6652</v>
      </c>
      <c r="B5049" s="2">
        <v>45953</v>
      </c>
      <c r="C5049" t="s">
        <v>114</v>
      </c>
      <c r="D5049" t="s">
        <v>1629</v>
      </c>
      <c r="E5049">
        <v>363.6</v>
      </c>
      <c r="F5049" t="s">
        <v>1578</v>
      </c>
      <c r="G5049" t="s">
        <v>1475</v>
      </c>
    </row>
    <row r="5050" spans="1:7">
      <c r="A5050" t="s">
        <v>6653</v>
      </c>
      <c r="B5050" s="2">
        <v>45953</v>
      </c>
      <c r="C5050" t="s">
        <v>117</v>
      </c>
      <c r="D5050" t="s">
        <v>1629</v>
      </c>
      <c r="E5050">
        <v>361.8</v>
      </c>
      <c r="F5050" t="s">
        <v>1578</v>
      </c>
      <c r="G5050" t="s">
        <v>1475</v>
      </c>
    </row>
    <row r="5051" spans="1:7">
      <c r="A5051" t="s">
        <v>6654</v>
      </c>
      <c r="B5051" s="2">
        <v>45953</v>
      </c>
      <c r="C5051" t="s">
        <v>119</v>
      </c>
      <c r="D5051" t="s">
        <v>1629</v>
      </c>
      <c r="E5051">
        <v>363.6</v>
      </c>
      <c r="F5051" t="s">
        <v>1578</v>
      </c>
      <c r="G5051" t="s">
        <v>1475</v>
      </c>
    </row>
    <row r="5052" spans="1:7">
      <c r="A5052" t="s">
        <v>6655</v>
      </c>
      <c r="B5052" s="2">
        <v>45953</v>
      </c>
      <c r="C5052" t="s">
        <v>61</v>
      </c>
      <c r="D5052" t="s">
        <v>1629</v>
      </c>
      <c r="E5052">
        <v>421.26</v>
      </c>
      <c r="F5052" t="s">
        <v>1578</v>
      </c>
      <c r="G5052" t="s">
        <v>1476</v>
      </c>
    </row>
    <row r="5053" spans="1:7">
      <c r="A5053" t="s">
        <v>6656</v>
      </c>
      <c r="B5053" s="2">
        <v>45953</v>
      </c>
      <c r="C5053" t="s">
        <v>65</v>
      </c>
      <c r="D5053" t="s">
        <v>1629</v>
      </c>
      <c r="E5053">
        <v>419.19</v>
      </c>
      <c r="F5053" t="s">
        <v>1578</v>
      </c>
      <c r="G5053" t="s">
        <v>1476</v>
      </c>
    </row>
    <row r="5054" spans="1:7">
      <c r="A5054" t="s">
        <v>6657</v>
      </c>
      <c r="B5054" s="2">
        <v>45953</v>
      </c>
      <c r="C5054" t="s">
        <v>68</v>
      </c>
      <c r="D5054" t="s">
        <v>1629</v>
      </c>
      <c r="E5054">
        <v>421.26</v>
      </c>
      <c r="F5054" t="s">
        <v>1578</v>
      </c>
      <c r="G5054" t="s">
        <v>1476</v>
      </c>
    </row>
    <row r="5055" spans="1:7">
      <c r="A5055" t="s">
        <v>6658</v>
      </c>
      <c r="B5055" s="2">
        <v>45953</v>
      </c>
      <c r="C5055" t="s">
        <v>75</v>
      </c>
      <c r="D5055" t="s">
        <v>1629</v>
      </c>
      <c r="E5055">
        <v>417.13</v>
      </c>
      <c r="F5055" t="s">
        <v>1578</v>
      </c>
      <c r="G5055" t="s">
        <v>1476</v>
      </c>
    </row>
    <row r="5056" spans="1:7">
      <c r="A5056" t="s">
        <v>6659</v>
      </c>
      <c r="B5056" s="2">
        <v>45953</v>
      </c>
      <c r="C5056" t="s">
        <v>79</v>
      </c>
      <c r="D5056" t="s">
        <v>1629</v>
      </c>
      <c r="E5056">
        <v>421.26</v>
      </c>
      <c r="F5056" t="s">
        <v>1578</v>
      </c>
      <c r="G5056" t="s">
        <v>1476</v>
      </c>
    </row>
    <row r="5057" spans="1:7">
      <c r="A5057" t="s">
        <v>6660</v>
      </c>
      <c r="B5057" s="2">
        <v>45953</v>
      </c>
      <c r="C5057" t="s">
        <v>81</v>
      </c>
      <c r="D5057" t="s">
        <v>1629</v>
      </c>
      <c r="E5057">
        <v>834.26</v>
      </c>
      <c r="F5057" t="s">
        <v>1578</v>
      </c>
      <c r="G5057" t="s">
        <v>1476</v>
      </c>
    </row>
    <row r="5058" spans="1:7">
      <c r="A5058" t="s">
        <v>6661</v>
      </c>
      <c r="B5058" s="2">
        <v>45953</v>
      </c>
      <c r="C5058" t="s">
        <v>110</v>
      </c>
      <c r="D5058" t="s">
        <v>1629</v>
      </c>
      <c r="E5058">
        <v>421.26</v>
      </c>
      <c r="F5058" t="s">
        <v>1578</v>
      </c>
      <c r="G5058" t="s">
        <v>1476</v>
      </c>
    </row>
    <row r="5059" spans="1:7">
      <c r="A5059" t="s">
        <v>6662</v>
      </c>
      <c r="B5059" s="2">
        <v>45953</v>
      </c>
      <c r="C5059" t="s">
        <v>114</v>
      </c>
      <c r="D5059" t="s">
        <v>1629</v>
      </c>
      <c r="E5059">
        <v>417.13</v>
      </c>
      <c r="F5059" t="s">
        <v>1578</v>
      </c>
      <c r="G5059" t="s">
        <v>1476</v>
      </c>
    </row>
    <row r="5060" spans="1:7">
      <c r="A5060" t="s">
        <v>6663</v>
      </c>
      <c r="B5060" s="2">
        <v>45953</v>
      </c>
      <c r="C5060" t="s">
        <v>117</v>
      </c>
      <c r="D5060" t="s">
        <v>1629</v>
      </c>
      <c r="E5060">
        <v>415.06</v>
      </c>
      <c r="F5060" t="s">
        <v>1578</v>
      </c>
      <c r="G5060" t="s">
        <v>1476</v>
      </c>
    </row>
    <row r="5061" spans="1:7">
      <c r="A5061" t="s">
        <v>6664</v>
      </c>
      <c r="B5061" s="2">
        <v>45953</v>
      </c>
      <c r="C5061" t="s">
        <v>119</v>
      </c>
      <c r="D5061" t="s">
        <v>1629</v>
      </c>
      <c r="E5061">
        <v>417.13</v>
      </c>
      <c r="F5061" t="s">
        <v>1578</v>
      </c>
      <c r="G5061" t="s">
        <v>1476</v>
      </c>
    </row>
    <row r="5062" spans="1:7">
      <c r="A5062" t="s">
        <v>6665</v>
      </c>
      <c r="B5062" s="2">
        <v>45954</v>
      </c>
      <c r="C5062" t="s">
        <v>110</v>
      </c>
      <c r="D5062" t="s">
        <v>1683</v>
      </c>
      <c r="E5062">
        <v>642</v>
      </c>
      <c r="F5062" t="s">
        <v>1578</v>
      </c>
      <c r="G5062" t="s">
        <v>919</v>
      </c>
    </row>
    <row r="5063" spans="1:7">
      <c r="A5063" t="s">
        <v>6666</v>
      </c>
      <c r="B5063" s="2">
        <v>45954</v>
      </c>
      <c r="C5063" t="s">
        <v>97</v>
      </c>
      <c r="D5063" t="s">
        <v>1683</v>
      </c>
      <c r="E5063">
        <v>121</v>
      </c>
      <c r="F5063" t="s">
        <v>1578</v>
      </c>
      <c r="G5063" t="s">
        <v>920</v>
      </c>
    </row>
    <row r="5064" spans="1:7">
      <c r="A5064" t="s">
        <v>6667</v>
      </c>
      <c r="B5064" s="2">
        <v>45955</v>
      </c>
      <c r="C5064" t="s">
        <v>61</v>
      </c>
      <c r="D5064" t="s">
        <v>1629</v>
      </c>
      <c r="E5064">
        <v>107.1</v>
      </c>
      <c r="F5064" t="s">
        <v>1578</v>
      </c>
      <c r="G5064" t="s">
        <v>1477</v>
      </c>
    </row>
    <row r="5065" spans="1:7">
      <c r="A5065" t="s">
        <v>6668</v>
      </c>
      <c r="B5065" s="2">
        <v>45955</v>
      </c>
      <c r="C5065" t="s">
        <v>65</v>
      </c>
      <c r="D5065" t="s">
        <v>1629</v>
      </c>
      <c r="E5065">
        <v>106.57</v>
      </c>
      <c r="F5065" t="s">
        <v>1578</v>
      </c>
      <c r="G5065" t="s">
        <v>1477</v>
      </c>
    </row>
    <row r="5066" spans="1:7">
      <c r="A5066" t="s">
        <v>6669</v>
      </c>
      <c r="B5066" s="2">
        <v>45955</v>
      </c>
      <c r="C5066" t="s">
        <v>68</v>
      </c>
      <c r="D5066" t="s">
        <v>1629</v>
      </c>
      <c r="E5066">
        <v>107.1</v>
      </c>
      <c r="F5066" t="s">
        <v>1578</v>
      </c>
      <c r="G5066" t="s">
        <v>1477</v>
      </c>
    </row>
    <row r="5067" spans="1:7">
      <c r="A5067" t="s">
        <v>6670</v>
      </c>
      <c r="B5067" s="2">
        <v>45955</v>
      </c>
      <c r="C5067" t="s">
        <v>70</v>
      </c>
      <c r="D5067" t="s">
        <v>1629</v>
      </c>
      <c r="E5067">
        <v>106.05</v>
      </c>
      <c r="F5067" t="s">
        <v>1578</v>
      </c>
      <c r="G5067" t="s">
        <v>1477</v>
      </c>
    </row>
    <row r="5068" spans="1:7">
      <c r="A5068" t="s">
        <v>6671</v>
      </c>
      <c r="B5068" s="2">
        <v>45955</v>
      </c>
      <c r="C5068" t="s">
        <v>75</v>
      </c>
      <c r="D5068" t="s">
        <v>1629</v>
      </c>
      <c r="E5068">
        <v>106.05</v>
      </c>
      <c r="F5068" t="s">
        <v>1578</v>
      </c>
      <c r="G5068" t="s">
        <v>1477</v>
      </c>
    </row>
    <row r="5069" spans="1:7">
      <c r="A5069" t="s">
        <v>6672</v>
      </c>
      <c r="B5069" s="2">
        <v>45955</v>
      </c>
      <c r="C5069" t="s">
        <v>77</v>
      </c>
      <c r="D5069" t="s">
        <v>1629</v>
      </c>
      <c r="E5069">
        <v>106.05</v>
      </c>
      <c r="F5069" t="s">
        <v>1578</v>
      </c>
      <c r="G5069" t="s">
        <v>1477</v>
      </c>
    </row>
    <row r="5070" spans="1:7">
      <c r="A5070" t="s">
        <v>6673</v>
      </c>
      <c r="B5070" s="2">
        <v>45955</v>
      </c>
      <c r="C5070" t="s">
        <v>79</v>
      </c>
      <c r="D5070" t="s">
        <v>1629</v>
      </c>
      <c r="E5070">
        <v>107.1</v>
      </c>
      <c r="F5070" t="s">
        <v>1578</v>
      </c>
      <c r="G5070" t="s">
        <v>1477</v>
      </c>
    </row>
    <row r="5071" spans="1:7">
      <c r="A5071" t="s">
        <v>6674</v>
      </c>
      <c r="B5071" s="2">
        <v>45955</v>
      </c>
      <c r="C5071" t="s">
        <v>81</v>
      </c>
      <c r="D5071" t="s">
        <v>1629</v>
      </c>
      <c r="E5071">
        <v>212.1</v>
      </c>
      <c r="F5071" t="s">
        <v>1578</v>
      </c>
      <c r="G5071" t="s">
        <v>1477</v>
      </c>
    </row>
    <row r="5072" spans="1:7">
      <c r="A5072" t="s">
        <v>6675</v>
      </c>
      <c r="B5072" s="2">
        <v>45955</v>
      </c>
      <c r="C5072" t="s">
        <v>108</v>
      </c>
      <c r="D5072" t="s">
        <v>1629</v>
      </c>
      <c r="E5072">
        <v>213.15</v>
      </c>
      <c r="F5072" t="s">
        <v>1578</v>
      </c>
      <c r="G5072" t="s">
        <v>1477</v>
      </c>
    </row>
    <row r="5073" spans="1:7">
      <c r="A5073" t="s">
        <v>6676</v>
      </c>
      <c r="B5073" s="2">
        <v>45955</v>
      </c>
      <c r="C5073" t="s">
        <v>110</v>
      </c>
      <c r="D5073" t="s">
        <v>1629</v>
      </c>
      <c r="E5073">
        <v>107.1</v>
      </c>
      <c r="F5073" t="s">
        <v>1578</v>
      </c>
      <c r="G5073" t="s">
        <v>1477</v>
      </c>
    </row>
    <row r="5074" spans="1:7">
      <c r="A5074" t="s">
        <v>6677</v>
      </c>
      <c r="B5074" s="2">
        <v>45955</v>
      </c>
      <c r="C5074" t="s">
        <v>114</v>
      </c>
      <c r="D5074" t="s">
        <v>1629</v>
      </c>
      <c r="E5074">
        <v>106.05</v>
      </c>
      <c r="F5074" t="s">
        <v>1578</v>
      </c>
      <c r="G5074" t="s">
        <v>1477</v>
      </c>
    </row>
    <row r="5075" spans="1:7">
      <c r="A5075" t="s">
        <v>6678</v>
      </c>
      <c r="B5075" s="2">
        <v>45955</v>
      </c>
      <c r="C5075" t="s">
        <v>117</v>
      </c>
      <c r="D5075" t="s">
        <v>1629</v>
      </c>
      <c r="E5075">
        <v>105.52</v>
      </c>
      <c r="F5075" t="s">
        <v>1578</v>
      </c>
      <c r="G5075" t="s">
        <v>1477</v>
      </c>
    </row>
    <row r="5076" spans="1:7">
      <c r="A5076" t="s">
        <v>6679</v>
      </c>
      <c r="B5076" s="2">
        <v>45955</v>
      </c>
      <c r="C5076" t="s">
        <v>119</v>
      </c>
      <c r="D5076" t="s">
        <v>1629</v>
      </c>
      <c r="E5076">
        <v>106.05</v>
      </c>
      <c r="F5076" t="s">
        <v>1578</v>
      </c>
      <c r="G5076" t="s">
        <v>1477</v>
      </c>
    </row>
    <row r="5077" spans="1:7">
      <c r="A5077" t="s">
        <v>6680</v>
      </c>
      <c r="B5077" s="2">
        <v>45955</v>
      </c>
      <c r="C5077" t="s">
        <v>61</v>
      </c>
      <c r="D5077" t="s">
        <v>1629</v>
      </c>
      <c r="E5077">
        <v>377.4</v>
      </c>
      <c r="F5077" t="s">
        <v>1578</v>
      </c>
      <c r="G5077" t="s">
        <v>1478</v>
      </c>
    </row>
    <row r="5078" spans="1:7">
      <c r="A5078" t="s">
        <v>6681</v>
      </c>
      <c r="B5078" s="2">
        <v>45955</v>
      </c>
      <c r="C5078" t="s">
        <v>65</v>
      </c>
      <c r="D5078" t="s">
        <v>1629</v>
      </c>
      <c r="E5078">
        <v>375.55</v>
      </c>
      <c r="F5078" t="s">
        <v>1578</v>
      </c>
      <c r="G5078" t="s">
        <v>1478</v>
      </c>
    </row>
    <row r="5079" spans="1:7">
      <c r="A5079" t="s">
        <v>6682</v>
      </c>
      <c r="B5079" s="2">
        <v>45955</v>
      </c>
      <c r="C5079" t="s">
        <v>68</v>
      </c>
      <c r="D5079" t="s">
        <v>1629</v>
      </c>
      <c r="E5079">
        <v>377.4</v>
      </c>
      <c r="F5079" t="s">
        <v>1578</v>
      </c>
      <c r="G5079" t="s">
        <v>1478</v>
      </c>
    </row>
    <row r="5080" spans="1:7">
      <c r="A5080" t="s">
        <v>6683</v>
      </c>
      <c r="B5080" s="2">
        <v>45955</v>
      </c>
      <c r="C5080" t="s">
        <v>75</v>
      </c>
      <c r="D5080" t="s">
        <v>1629</v>
      </c>
      <c r="E5080">
        <v>373.7</v>
      </c>
      <c r="F5080" t="s">
        <v>1578</v>
      </c>
      <c r="G5080" t="s">
        <v>1478</v>
      </c>
    </row>
    <row r="5081" spans="1:7">
      <c r="A5081" t="s">
        <v>6684</v>
      </c>
      <c r="B5081" s="2">
        <v>45955</v>
      </c>
      <c r="C5081" t="s">
        <v>79</v>
      </c>
      <c r="D5081" t="s">
        <v>1629</v>
      </c>
      <c r="E5081">
        <v>377.4</v>
      </c>
      <c r="F5081" t="s">
        <v>1578</v>
      </c>
      <c r="G5081" t="s">
        <v>1478</v>
      </c>
    </row>
    <row r="5082" spans="1:7">
      <c r="A5082" t="s">
        <v>6685</v>
      </c>
      <c r="B5082" s="2">
        <v>45955</v>
      </c>
      <c r="C5082" t="s">
        <v>81</v>
      </c>
      <c r="D5082" t="s">
        <v>1629</v>
      </c>
      <c r="E5082">
        <v>747.4</v>
      </c>
      <c r="F5082" t="s">
        <v>1578</v>
      </c>
      <c r="G5082" t="s">
        <v>1478</v>
      </c>
    </row>
    <row r="5083" spans="1:7">
      <c r="A5083" t="s">
        <v>6686</v>
      </c>
      <c r="B5083" s="2">
        <v>45955</v>
      </c>
      <c r="C5083" t="s">
        <v>97</v>
      </c>
      <c r="D5083" t="s">
        <v>1629</v>
      </c>
      <c r="E5083">
        <v>377.4</v>
      </c>
      <c r="F5083" t="s">
        <v>1578</v>
      </c>
      <c r="G5083" t="s">
        <v>1478</v>
      </c>
    </row>
    <row r="5084" spans="1:7">
      <c r="A5084" t="s">
        <v>6687</v>
      </c>
      <c r="B5084" s="2">
        <v>45955</v>
      </c>
      <c r="C5084" t="s">
        <v>110</v>
      </c>
      <c r="D5084" t="s">
        <v>1629</v>
      </c>
      <c r="E5084">
        <v>377.4</v>
      </c>
      <c r="F5084" t="s">
        <v>1578</v>
      </c>
      <c r="G5084" t="s">
        <v>1478</v>
      </c>
    </row>
    <row r="5085" spans="1:7">
      <c r="A5085" t="s">
        <v>6688</v>
      </c>
      <c r="B5085" s="2">
        <v>45955</v>
      </c>
      <c r="C5085" t="s">
        <v>114</v>
      </c>
      <c r="D5085" t="s">
        <v>1629</v>
      </c>
      <c r="E5085">
        <v>373.7</v>
      </c>
      <c r="F5085" t="s">
        <v>1578</v>
      </c>
      <c r="G5085" t="s">
        <v>1478</v>
      </c>
    </row>
    <row r="5086" spans="1:7">
      <c r="A5086" t="s">
        <v>6689</v>
      </c>
      <c r="B5086" s="2">
        <v>45955</v>
      </c>
      <c r="C5086" t="s">
        <v>117</v>
      </c>
      <c r="D5086" t="s">
        <v>1629</v>
      </c>
      <c r="E5086">
        <v>371.85</v>
      </c>
      <c r="F5086" t="s">
        <v>1578</v>
      </c>
      <c r="G5086" t="s">
        <v>1478</v>
      </c>
    </row>
    <row r="5087" spans="1:7">
      <c r="A5087" t="s">
        <v>6690</v>
      </c>
      <c r="B5087" s="2">
        <v>45955</v>
      </c>
      <c r="C5087" t="s">
        <v>119</v>
      </c>
      <c r="D5087" t="s">
        <v>1629</v>
      </c>
      <c r="E5087">
        <v>373.7</v>
      </c>
      <c r="F5087" t="s">
        <v>1578</v>
      </c>
      <c r="G5087" t="s">
        <v>1478</v>
      </c>
    </row>
    <row r="5088" spans="1:7">
      <c r="A5088" t="s">
        <v>6691</v>
      </c>
      <c r="B5088" s="2">
        <v>45955</v>
      </c>
      <c r="C5088" t="s">
        <v>89</v>
      </c>
      <c r="D5088" t="s">
        <v>1683</v>
      </c>
      <c r="E5088">
        <v>303</v>
      </c>
      <c r="F5088" t="s">
        <v>1578</v>
      </c>
      <c r="G5088" t="s">
        <v>921</v>
      </c>
    </row>
    <row r="5089" spans="1:7">
      <c r="A5089" t="s">
        <v>6692</v>
      </c>
      <c r="B5089" s="2">
        <v>45957</v>
      </c>
      <c r="C5089" t="s">
        <v>61</v>
      </c>
      <c r="D5089" t="s">
        <v>1629</v>
      </c>
      <c r="E5089">
        <v>431.46</v>
      </c>
      <c r="F5089" t="s">
        <v>1578</v>
      </c>
      <c r="G5089" t="s">
        <v>1479</v>
      </c>
    </row>
    <row r="5090" spans="1:7">
      <c r="A5090" t="s">
        <v>6693</v>
      </c>
      <c r="B5090" s="2">
        <v>45957</v>
      </c>
      <c r="C5090" t="s">
        <v>65</v>
      </c>
      <c r="D5090" t="s">
        <v>1629</v>
      </c>
      <c r="E5090">
        <v>429.34</v>
      </c>
      <c r="F5090" t="s">
        <v>1578</v>
      </c>
      <c r="G5090" t="s">
        <v>1479</v>
      </c>
    </row>
    <row r="5091" spans="1:7">
      <c r="A5091" t="s">
        <v>6694</v>
      </c>
      <c r="B5091" s="2">
        <v>45957</v>
      </c>
      <c r="C5091" t="s">
        <v>68</v>
      </c>
      <c r="D5091" t="s">
        <v>1629</v>
      </c>
      <c r="E5091">
        <v>431.46</v>
      </c>
      <c r="F5091" t="s">
        <v>1578</v>
      </c>
      <c r="G5091" t="s">
        <v>1479</v>
      </c>
    </row>
    <row r="5092" spans="1:7">
      <c r="A5092" t="s">
        <v>6695</v>
      </c>
      <c r="B5092" s="2">
        <v>45957</v>
      </c>
      <c r="C5092" t="s">
        <v>70</v>
      </c>
      <c r="D5092" t="s">
        <v>1629</v>
      </c>
      <c r="E5092">
        <v>427.23</v>
      </c>
      <c r="F5092" t="s">
        <v>1578</v>
      </c>
      <c r="G5092" t="s">
        <v>1479</v>
      </c>
    </row>
    <row r="5093" spans="1:7">
      <c r="A5093" t="s">
        <v>6696</v>
      </c>
      <c r="B5093" s="2">
        <v>45957</v>
      </c>
      <c r="C5093" t="s">
        <v>75</v>
      </c>
      <c r="D5093" t="s">
        <v>1629</v>
      </c>
      <c r="E5093">
        <v>427.23</v>
      </c>
      <c r="F5093" t="s">
        <v>1578</v>
      </c>
      <c r="G5093" t="s">
        <v>1479</v>
      </c>
    </row>
    <row r="5094" spans="1:7">
      <c r="A5094" t="s">
        <v>6697</v>
      </c>
      <c r="B5094" s="2">
        <v>45957</v>
      </c>
      <c r="C5094" t="s">
        <v>77</v>
      </c>
      <c r="D5094" t="s">
        <v>1629</v>
      </c>
      <c r="E5094">
        <v>427.23</v>
      </c>
      <c r="F5094" t="s">
        <v>1578</v>
      </c>
      <c r="G5094" t="s">
        <v>1479</v>
      </c>
    </row>
    <row r="5095" spans="1:7">
      <c r="A5095" t="s">
        <v>6698</v>
      </c>
      <c r="B5095" s="2">
        <v>45957</v>
      </c>
      <c r="C5095" t="s">
        <v>79</v>
      </c>
      <c r="D5095" t="s">
        <v>1629</v>
      </c>
      <c r="E5095">
        <v>431.46</v>
      </c>
      <c r="F5095" t="s">
        <v>1578</v>
      </c>
      <c r="G5095" t="s">
        <v>1479</v>
      </c>
    </row>
    <row r="5096" spans="1:7">
      <c r="A5096" t="s">
        <v>6699</v>
      </c>
      <c r="B5096" s="2">
        <v>45957</v>
      </c>
      <c r="C5096" t="s">
        <v>81</v>
      </c>
      <c r="D5096" t="s">
        <v>1629</v>
      </c>
      <c r="E5096">
        <v>854.46</v>
      </c>
      <c r="F5096" t="s">
        <v>1578</v>
      </c>
      <c r="G5096" t="s">
        <v>1479</v>
      </c>
    </row>
    <row r="5097" spans="1:7">
      <c r="A5097" t="s">
        <v>6700</v>
      </c>
      <c r="B5097" s="2">
        <v>45957</v>
      </c>
      <c r="C5097" t="s">
        <v>108</v>
      </c>
      <c r="D5097" t="s">
        <v>1629</v>
      </c>
      <c r="E5097">
        <v>858.69</v>
      </c>
      <c r="F5097" t="s">
        <v>1578</v>
      </c>
      <c r="G5097" t="s">
        <v>1479</v>
      </c>
    </row>
    <row r="5098" spans="1:7">
      <c r="A5098" t="s">
        <v>6701</v>
      </c>
      <c r="B5098" s="2">
        <v>45957</v>
      </c>
      <c r="C5098" t="s">
        <v>110</v>
      </c>
      <c r="D5098" t="s">
        <v>1629</v>
      </c>
      <c r="E5098">
        <v>431.46</v>
      </c>
      <c r="F5098" t="s">
        <v>1578</v>
      </c>
      <c r="G5098" t="s">
        <v>1479</v>
      </c>
    </row>
    <row r="5099" spans="1:7">
      <c r="A5099" t="s">
        <v>6702</v>
      </c>
      <c r="B5099" s="2">
        <v>45957</v>
      </c>
      <c r="C5099" t="s">
        <v>114</v>
      </c>
      <c r="D5099" t="s">
        <v>1629</v>
      </c>
      <c r="E5099">
        <v>427.23</v>
      </c>
      <c r="F5099" t="s">
        <v>1578</v>
      </c>
      <c r="G5099" t="s">
        <v>1479</v>
      </c>
    </row>
    <row r="5100" spans="1:7">
      <c r="A5100" t="s">
        <v>6703</v>
      </c>
      <c r="B5100" s="2">
        <v>45957</v>
      </c>
      <c r="C5100" t="s">
        <v>117</v>
      </c>
      <c r="D5100" t="s">
        <v>1629</v>
      </c>
      <c r="E5100">
        <v>425.11</v>
      </c>
      <c r="F5100" t="s">
        <v>1578</v>
      </c>
      <c r="G5100" t="s">
        <v>1479</v>
      </c>
    </row>
    <row r="5101" spans="1:7">
      <c r="A5101" t="s">
        <v>6704</v>
      </c>
      <c r="B5101" s="2">
        <v>45957</v>
      </c>
      <c r="C5101" t="s">
        <v>119</v>
      </c>
      <c r="D5101" t="s">
        <v>1629</v>
      </c>
      <c r="E5101">
        <v>427.23</v>
      </c>
      <c r="F5101" t="s">
        <v>1578</v>
      </c>
      <c r="G5101" t="s">
        <v>1479</v>
      </c>
    </row>
    <row r="5102" spans="1:7">
      <c r="A5102" t="s">
        <v>6705</v>
      </c>
      <c r="B5102" s="2">
        <v>45957</v>
      </c>
      <c r="C5102" t="s">
        <v>61</v>
      </c>
      <c r="D5102" t="s">
        <v>1629</v>
      </c>
      <c r="E5102">
        <v>272.33999999999997</v>
      </c>
      <c r="F5102" t="s">
        <v>1578</v>
      </c>
      <c r="G5102" t="s">
        <v>1480</v>
      </c>
    </row>
    <row r="5103" spans="1:7">
      <c r="A5103" t="s">
        <v>6706</v>
      </c>
      <c r="B5103" s="2">
        <v>45957</v>
      </c>
      <c r="C5103" t="s">
        <v>65</v>
      </c>
      <c r="D5103" t="s">
        <v>1629</v>
      </c>
      <c r="E5103">
        <v>271</v>
      </c>
      <c r="F5103" t="s">
        <v>1578</v>
      </c>
      <c r="G5103" t="s">
        <v>1480</v>
      </c>
    </row>
    <row r="5104" spans="1:7">
      <c r="A5104" t="s">
        <v>6707</v>
      </c>
      <c r="B5104" s="2">
        <v>45957</v>
      </c>
      <c r="C5104" t="s">
        <v>68</v>
      </c>
      <c r="D5104" t="s">
        <v>1629</v>
      </c>
      <c r="E5104">
        <v>272.33999999999997</v>
      </c>
      <c r="F5104" t="s">
        <v>1578</v>
      </c>
      <c r="G5104" t="s">
        <v>1480</v>
      </c>
    </row>
    <row r="5105" spans="1:7">
      <c r="A5105" t="s">
        <v>6708</v>
      </c>
      <c r="B5105" s="2">
        <v>45957</v>
      </c>
      <c r="C5105" t="s">
        <v>70</v>
      </c>
      <c r="D5105" t="s">
        <v>1629</v>
      </c>
      <c r="E5105">
        <v>269.67</v>
      </c>
      <c r="F5105" t="s">
        <v>1578</v>
      </c>
      <c r="G5105" t="s">
        <v>1480</v>
      </c>
    </row>
    <row r="5106" spans="1:7">
      <c r="A5106" t="s">
        <v>6709</v>
      </c>
      <c r="B5106" s="2">
        <v>45957</v>
      </c>
      <c r="C5106" t="s">
        <v>75</v>
      </c>
      <c r="D5106" t="s">
        <v>1629</v>
      </c>
      <c r="E5106">
        <v>269.67</v>
      </c>
      <c r="F5106" t="s">
        <v>1578</v>
      </c>
      <c r="G5106" t="s">
        <v>1480</v>
      </c>
    </row>
    <row r="5107" spans="1:7">
      <c r="A5107" t="s">
        <v>6710</v>
      </c>
      <c r="B5107" s="2">
        <v>45957</v>
      </c>
      <c r="C5107" t="s">
        <v>77</v>
      </c>
      <c r="D5107" t="s">
        <v>1629</v>
      </c>
      <c r="E5107">
        <v>269.67</v>
      </c>
      <c r="F5107" t="s">
        <v>1578</v>
      </c>
      <c r="G5107" t="s">
        <v>1480</v>
      </c>
    </row>
    <row r="5108" spans="1:7">
      <c r="A5108" t="s">
        <v>6711</v>
      </c>
      <c r="B5108" s="2">
        <v>45957</v>
      </c>
      <c r="C5108" t="s">
        <v>79</v>
      </c>
      <c r="D5108" t="s">
        <v>1629</v>
      </c>
      <c r="E5108">
        <v>272.33999999999997</v>
      </c>
      <c r="F5108" t="s">
        <v>1578</v>
      </c>
      <c r="G5108" t="s">
        <v>1480</v>
      </c>
    </row>
    <row r="5109" spans="1:7">
      <c r="A5109" t="s">
        <v>6712</v>
      </c>
      <c r="B5109" s="2">
        <v>45957</v>
      </c>
      <c r="C5109" t="s">
        <v>81</v>
      </c>
      <c r="D5109" t="s">
        <v>1629</v>
      </c>
      <c r="E5109">
        <v>539.34</v>
      </c>
      <c r="F5109" t="s">
        <v>1578</v>
      </c>
      <c r="G5109" t="s">
        <v>1480</v>
      </c>
    </row>
    <row r="5110" spans="1:7">
      <c r="A5110" t="s">
        <v>6713</v>
      </c>
      <c r="B5110" s="2">
        <v>45957</v>
      </c>
      <c r="C5110" t="s">
        <v>110</v>
      </c>
      <c r="D5110" t="s">
        <v>1629</v>
      </c>
      <c r="E5110">
        <v>272.33999999999997</v>
      </c>
      <c r="F5110" t="s">
        <v>1578</v>
      </c>
      <c r="G5110" t="s">
        <v>1480</v>
      </c>
    </row>
    <row r="5111" spans="1:7">
      <c r="A5111" t="s">
        <v>6714</v>
      </c>
      <c r="B5111" s="2">
        <v>45957</v>
      </c>
      <c r="C5111" t="s">
        <v>114</v>
      </c>
      <c r="D5111" t="s">
        <v>1629</v>
      </c>
      <c r="E5111">
        <v>269.67</v>
      </c>
      <c r="F5111" t="s">
        <v>1578</v>
      </c>
      <c r="G5111" t="s">
        <v>1480</v>
      </c>
    </row>
    <row r="5112" spans="1:7">
      <c r="A5112" t="s">
        <v>6715</v>
      </c>
      <c r="B5112" s="2">
        <v>45957</v>
      </c>
      <c r="C5112" t="s">
        <v>117</v>
      </c>
      <c r="D5112" t="s">
        <v>1629</v>
      </c>
      <c r="E5112">
        <v>268.33</v>
      </c>
      <c r="F5112" t="s">
        <v>1578</v>
      </c>
      <c r="G5112" t="s">
        <v>1480</v>
      </c>
    </row>
    <row r="5113" spans="1:7">
      <c r="A5113" t="s">
        <v>6716</v>
      </c>
      <c r="B5113" s="2">
        <v>45957</v>
      </c>
      <c r="C5113" t="s">
        <v>119</v>
      </c>
      <c r="D5113" t="s">
        <v>1629</v>
      </c>
      <c r="E5113">
        <v>269.67</v>
      </c>
      <c r="F5113" t="s">
        <v>1578</v>
      </c>
      <c r="G5113" t="s">
        <v>1480</v>
      </c>
    </row>
    <row r="5114" spans="1:7">
      <c r="A5114" t="s">
        <v>6717</v>
      </c>
      <c r="B5114" s="2">
        <v>45957</v>
      </c>
      <c r="C5114" t="s">
        <v>106</v>
      </c>
      <c r="D5114" t="s">
        <v>1683</v>
      </c>
      <c r="E5114">
        <v>211</v>
      </c>
      <c r="F5114" t="s">
        <v>1578</v>
      </c>
      <c r="G5114" t="s">
        <v>922</v>
      </c>
    </row>
    <row r="5115" spans="1:7">
      <c r="A5115" t="s">
        <v>6718</v>
      </c>
      <c r="B5115" s="2">
        <v>45957</v>
      </c>
      <c r="C5115" t="s">
        <v>99</v>
      </c>
      <c r="D5115" t="s">
        <v>1683</v>
      </c>
      <c r="E5115">
        <v>119</v>
      </c>
      <c r="F5115" t="s">
        <v>1578</v>
      </c>
      <c r="G5115" t="s">
        <v>924</v>
      </c>
    </row>
    <row r="5116" spans="1:7">
      <c r="A5116" t="s">
        <v>6719</v>
      </c>
      <c r="B5116" s="2">
        <v>45957</v>
      </c>
      <c r="C5116" t="s">
        <v>95</v>
      </c>
      <c r="D5116" t="s">
        <v>1683</v>
      </c>
      <c r="E5116">
        <v>54</v>
      </c>
      <c r="F5116" t="s">
        <v>1578</v>
      </c>
      <c r="G5116" t="s">
        <v>925</v>
      </c>
    </row>
    <row r="5117" spans="1:7">
      <c r="A5117" t="s">
        <v>6720</v>
      </c>
      <c r="B5117" s="2">
        <v>45957</v>
      </c>
      <c r="C5117" t="s">
        <v>95</v>
      </c>
      <c r="D5117" t="s">
        <v>1683</v>
      </c>
      <c r="E5117">
        <v>207</v>
      </c>
      <c r="F5117" t="s">
        <v>1578</v>
      </c>
      <c r="G5117" t="s">
        <v>926</v>
      </c>
    </row>
    <row r="5118" spans="1:7">
      <c r="A5118" t="s">
        <v>6721</v>
      </c>
      <c r="B5118" s="2">
        <v>45958</v>
      </c>
      <c r="C5118" t="s">
        <v>75</v>
      </c>
      <c r="D5118" t="s">
        <v>1629</v>
      </c>
      <c r="E5118">
        <v>250.48</v>
      </c>
      <c r="F5118" t="s">
        <v>1578</v>
      </c>
      <c r="G5118" t="s">
        <v>1481</v>
      </c>
    </row>
    <row r="5119" spans="1:7">
      <c r="A5119" t="s">
        <v>6722</v>
      </c>
      <c r="B5119" s="2">
        <v>45958</v>
      </c>
      <c r="C5119" t="s">
        <v>104</v>
      </c>
      <c r="D5119" t="s">
        <v>1629</v>
      </c>
      <c r="E5119">
        <v>510.88</v>
      </c>
      <c r="F5119" t="s">
        <v>1578</v>
      </c>
      <c r="G5119" t="s">
        <v>1481</v>
      </c>
    </row>
    <row r="5120" spans="1:7">
      <c r="A5120" t="s">
        <v>6723</v>
      </c>
      <c r="B5120" s="2">
        <v>45958</v>
      </c>
      <c r="C5120" t="s">
        <v>108</v>
      </c>
      <c r="D5120" t="s">
        <v>1629</v>
      </c>
      <c r="E5120">
        <v>503.44</v>
      </c>
      <c r="F5120" t="s">
        <v>1578</v>
      </c>
      <c r="G5120" t="s">
        <v>1481</v>
      </c>
    </row>
    <row r="5121" spans="1:7">
      <c r="A5121" t="s">
        <v>6724</v>
      </c>
      <c r="B5121" s="2">
        <v>45958</v>
      </c>
      <c r="C5121" t="s">
        <v>110</v>
      </c>
      <c r="D5121" t="s">
        <v>1629</v>
      </c>
      <c r="E5121">
        <v>252.96</v>
      </c>
      <c r="F5121" t="s">
        <v>1578</v>
      </c>
      <c r="G5121" t="s">
        <v>1481</v>
      </c>
    </row>
    <row r="5122" spans="1:7">
      <c r="A5122" t="s">
        <v>6725</v>
      </c>
      <c r="B5122" s="2">
        <v>45958</v>
      </c>
      <c r="C5122" t="s">
        <v>114</v>
      </c>
      <c r="D5122" t="s">
        <v>1629</v>
      </c>
      <c r="E5122">
        <v>250.48</v>
      </c>
      <c r="F5122" t="s">
        <v>1578</v>
      </c>
      <c r="G5122" t="s">
        <v>1481</v>
      </c>
    </row>
    <row r="5123" spans="1:7">
      <c r="A5123" t="s">
        <v>6726</v>
      </c>
      <c r="B5123" s="2">
        <v>45958</v>
      </c>
      <c r="C5123" t="s">
        <v>117</v>
      </c>
      <c r="D5123" t="s">
        <v>1629</v>
      </c>
      <c r="E5123">
        <v>249.24</v>
      </c>
      <c r="F5123" t="s">
        <v>1578</v>
      </c>
      <c r="G5123" t="s">
        <v>1481</v>
      </c>
    </row>
    <row r="5124" spans="1:7">
      <c r="A5124" t="s">
        <v>6727</v>
      </c>
      <c r="B5124" s="2">
        <v>45958</v>
      </c>
      <c r="C5124" t="s">
        <v>119</v>
      </c>
      <c r="D5124" t="s">
        <v>1629</v>
      </c>
      <c r="E5124">
        <v>250.48</v>
      </c>
      <c r="F5124" t="s">
        <v>1578</v>
      </c>
      <c r="G5124" t="s">
        <v>1481</v>
      </c>
    </row>
    <row r="5125" spans="1:7">
      <c r="A5125" t="s">
        <v>6728</v>
      </c>
      <c r="B5125" s="2">
        <v>45959</v>
      </c>
      <c r="C5125" t="s">
        <v>75</v>
      </c>
      <c r="D5125" t="s">
        <v>1629</v>
      </c>
      <c r="E5125">
        <v>454.5</v>
      </c>
      <c r="F5125" t="s">
        <v>1578</v>
      </c>
      <c r="G5125" t="s">
        <v>1482</v>
      </c>
    </row>
    <row r="5126" spans="1:7">
      <c r="A5126" t="s">
        <v>6729</v>
      </c>
      <c r="B5126" s="2">
        <v>45959</v>
      </c>
      <c r="C5126" t="s">
        <v>91</v>
      </c>
      <c r="D5126" t="s">
        <v>1629</v>
      </c>
      <c r="E5126">
        <v>461.25</v>
      </c>
      <c r="F5126" t="s">
        <v>1578</v>
      </c>
      <c r="G5126" t="s">
        <v>1482</v>
      </c>
    </row>
    <row r="5127" spans="1:7">
      <c r="A5127" t="s">
        <v>6730</v>
      </c>
      <c r="B5127" s="2">
        <v>45959</v>
      </c>
      <c r="C5127" t="s">
        <v>93</v>
      </c>
      <c r="D5127" t="s">
        <v>1629</v>
      </c>
      <c r="E5127">
        <v>459</v>
      </c>
      <c r="F5127" t="s">
        <v>1578</v>
      </c>
      <c r="G5127" t="s">
        <v>1482</v>
      </c>
    </row>
    <row r="5128" spans="1:7">
      <c r="A5128" t="s">
        <v>6731</v>
      </c>
      <c r="B5128" s="2">
        <v>45959</v>
      </c>
      <c r="C5128" t="s">
        <v>95</v>
      </c>
      <c r="D5128" t="s">
        <v>1629</v>
      </c>
      <c r="E5128">
        <v>456.75</v>
      </c>
      <c r="F5128" t="s">
        <v>1578</v>
      </c>
      <c r="G5128" t="s">
        <v>1482</v>
      </c>
    </row>
    <row r="5129" spans="1:7">
      <c r="A5129" t="s">
        <v>6732</v>
      </c>
      <c r="B5129" s="2">
        <v>45959</v>
      </c>
      <c r="C5129" t="s">
        <v>97</v>
      </c>
      <c r="D5129" t="s">
        <v>1629</v>
      </c>
      <c r="E5129">
        <v>454.5</v>
      </c>
      <c r="F5129" t="s">
        <v>1578</v>
      </c>
      <c r="G5129" t="s">
        <v>1482</v>
      </c>
    </row>
    <row r="5130" spans="1:7">
      <c r="A5130" t="s">
        <v>6733</v>
      </c>
      <c r="B5130" s="2">
        <v>45959</v>
      </c>
      <c r="C5130" t="s">
        <v>99</v>
      </c>
      <c r="D5130" t="s">
        <v>1629</v>
      </c>
      <c r="E5130">
        <v>231.75</v>
      </c>
      <c r="F5130" t="s">
        <v>1578</v>
      </c>
      <c r="G5130" t="s">
        <v>1482</v>
      </c>
    </row>
    <row r="5131" spans="1:7">
      <c r="A5131" t="s">
        <v>6734</v>
      </c>
      <c r="B5131" s="2">
        <v>45959</v>
      </c>
      <c r="C5131" t="s">
        <v>102</v>
      </c>
      <c r="D5131" t="s">
        <v>1629</v>
      </c>
      <c r="E5131">
        <v>459</v>
      </c>
      <c r="F5131" t="s">
        <v>1578</v>
      </c>
      <c r="G5131" t="s">
        <v>1482</v>
      </c>
    </row>
    <row r="5132" spans="1:7">
      <c r="A5132" t="s">
        <v>6735</v>
      </c>
      <c r="B5132" s="2">
        <v>45959</v>
      </c>
      <c r="C5132" t="s">
        <v>108</v>
      </c>
      <c r="D5132" t="s">
        <v>1629</v>
      </c>
      <c r="E5132">
        <v>913.5</v>
      </c>
      <c r="F5132" t="s">
        <v>1578</v>
      </c>
      <c r="G5132" t="s">
        <v>1482</v>
      </c>
    </row>
    <row r="5133" spans="1:7">
      <c r="A5133" t="s">
        <v>6736</v>
      </c>
      <c r="B5133" s="2">
        <v>45959</v>
      </c>
      <c r="C5133" t="s">
        <v>110</v>
      </c>
      <c r="D5133" t="s">
        <v>1629</v>
      </c>
      <c r="E5133">
        <v>459</v>
      </c>
      <c r="F5133" t="s">
        <v>1578</v>
      </c>
      <c r="G5133" t="s">
        <v>1482</v>
      </c>
    </row>
    <row r="5134" spans="1:7">
      <c r="A5134" t="s">
        <v>6737</v>
      </c>
      <c r="B5134" s="2">
        <v>45959</v>
      </c>
      <c r="C5134" t="s">
        <v>114</v>
      </c>
      <c r="D5134" t="s">
        <v>1629</v>
      </c>
      <c r="E5134">
        <v>454.5</v>
      </c>
      <c r="F5134" t="s">
        <v>1578</v>
      </c>
      <c r="G5134" t="s">
        <v>1482</v>
      </c>
    </row>
    <row r="5135" spans="1:7">
      <c r="A5135" t="s">
        <v>6738</v>
      </c>
      <c r="B5135" s="2">
        <v>45959</v>
      </c>
      <c r="C5135" t="s">
        <v>117</v>
      </c>
      <c r="D5135" t="s">
        <v>1629</v>
      </c>
      <c r="E5135">
        <v>452.25</v>
      </c>
      <c r="F5135" t="s">
        <v>1578</v>
      </c>
      <c r="G5135" t="s">
        <v>1482</v>
      </c>
    </row>
    <row r="5136" spans="1:7">
      <c r="A5136" t="s">
        <v>6739</v>
      </c>
      <c r="B5136" s="2">
        <v>45959</v>
      </c>
      <c r="C5136" t="s">
        <v>119</v>
      </c>
      <c r="D5136" t="s">
        <v>1629</v>
      </c>
      <c r="E5136">
        <v>454.5</v>
      </c>
      <c r="F5136" t="s">
        <v>1578</v>
      </c>
      <c r="G5136" t="s">
        <v>1482</v>
      </c>
    </row>
    <row r="5137" spans="1:7">
      <c r="A5137" t="s">
        <v>6740</v>
      </c>
      <c r="B5137" s="2">
        <v>45959</v>
      </c>
      <c r="C5137" t="s">
        <v>75</v>
      </c>
      <c r="D5137" t="s">
        <v>1629</v>
      </c>
      <c r="E5137">
        <v>166.65</v>
      </c>
      <c r="F5137" t="s">
        <v>1578</v>
      </c>
      <c r="G5137" t="s">
        <v>1483</v>
      </c>
    </row>
    <row r="5138" spans="1:7">
      <c r="A5138" t="s">
        <v>6741</v>
      </c>
      <c r="B5138" s="2">
        <v>45959</v>
      </c>
      <c r="C5138" t="s">
        <v>106</v>
      </c>
      <c r="D5138" t="s">
        <v>1629</v>
      </c>
      <c r="E5138">
        <v>169.95</v>
      </c>
      <c r="F5138" t="s">
        <v>1578</v>
      </c>
      <c r="G5138" t="s">
        <v>1483</v>
      </c>
    </row>
    <row r="5139" spans="1:7">
      <c r="A5139" t="s">
        <v>6742</v>
      </c>
      <c r="B5139" s="2">
        <v>45959</v>
      </c>
      <c r="C5139" t="s">
        <v>108</v>
      </c>
      <c r="D5139" t="s">
        <v>1629</v>
      </c>
      <c r="E5139">
        <v>334.95</v>
      </c>
      <c r="F5139" t="s">
        <v>1578</v>
      </c>
      <c r="G5139" t="s">
        <v>1483</v>
      </c>
    </row>
    <row r="5140" spans="1:7">
      <c r="A5140" t="s">
        <v>6743</v>
      </c>
      <c r="B5140" s="2">
        <v>45959</v>
      </c>
      <c r="C5140" t="s">
        <v>110</v>
      </c>
      <c r="D5140" t="s">
        <v>1629</v>
      </c>
      <c r="E5140">
        <v>168.3</v>
      </c>
      <c r="F5140" t="s">
        <v>1578</v>
      </c>
      <c r="G5140" t="s">
        <v>1483</v>
      </c>
    </row>
    <row r="5141" spans="1:7">
      <c r="A5141" t="s">
        <v>6744</v>
      </c>
      <c r="B5141" s="2">
        <v>45959</v>
      </c>
      <c r="C5141" t="s">
        <v>114</v>
      </c>
      <c r="D5141" t="s">
        <v>1629</v>
      </c>
      <c r="E5141">
        <v>166.65</v>
      </c>
      <c r="F5141" t="s">
        <v>1578</v>
      </c>
      <c r="G5141" t="s">
        <v>1483</v>
      </c>
    </row>
    <row r="5142" spans="1:7">
      <c r="A5142" t="s">
        <v>6745</v>
      </c>
      <c r="B5142" s="2">
        <v>45959</v>
      </c>
      <c r="C5142" t="s">
        <v>117</v>
      </c>
      <c r="D5142" t="s">
        <v>1629</v>
      </c>
      <c r="E5142">
        <v>165.82</v>
      </c>
      <c r="F5142" t="s">
        <v>1578</v>
      </c>
      <c r="G5142" t="s">
        <v>1483</v>
      </c>
    </row>
    <row r="5143" spans="1:7">
      <c r="A5143" t="s">
        <v>6746</v>
      </c>
      <c r="B5143" s="2">
        <v>45959</v>
      </c>
      <c r="C5143" t="s">
        <v>119</v>
      </c>
      <c r="D5143" t="s">
        <v>1629</v>
      </c>
      <c r="E5143">
        <v>166.65</v>
      </c>
      <c r="F5143" t="s">
        <v>1578</v>
      </c>
      <c r="G5143" t="s">
        <v>1483</v>
      </c>
    </row>
    <row r="5144" spans="1:7">
      <c r="A5144" t="s">
        <v>6747</v>
      </c>
      <c r="B5144" s="2">
        <v>45959</v>
      </c>
      <c r="C5144" t="s">
        <v>89</v>
      </c>
      <c r="D5144" t="s">
        <v>1683</v>
      </c>
      <c r="E5144">
        <v>520</v>
      </c>
      <c r="F5144" t="s">
        <v>1578</v>
      </c>
      <c r="G5144" t="s">
        <v>927</v>
      </c>
    </row>
    <row r="5145" spans="1:7">
      <c r="A5145" t="s">
        <v>6748</v>
      </c>
      <c r="B5145" s="2">
        <v>45959</v>
      </c>
      <c r="C5145" t="s">
        <v>70</v>
      </c>
      <c r="D5145" t="s">
        <v>1683</v>
      </c>
      <c r="E5145">
        <v>214</v>
      </c>
      <c r="F5145" t="s">
        <v>1578</v>
      </c>
      <c r="G5145" t="s">
        <v>928</v>
      </c>
    </row>
    <row r="5146" spans="1:7">
      <c r="A5146" t="s">
        <v>6749</v>
      </c>
      <c r="B5146" s="2">
        <v>45960</v>
      </c>
      <c r="C5146" t="s">
        <v>61</v>
      </c>
      <c r="D5146" t="s">
        <v>1629</v>
      </c>
      <c r="E5146">
        <v>409.02</v>
      </c>
      <c r="F5146" t="s">
        <v>1578</v>
      </c>
      <c r="G5146" t="s">
        <v>1484</v>
      </c>
    </row>
    <row r="5147" spans="1:7">
      <c r="A5147" t="s">
        <v>6750</v>
      </c>
      <c r="B5147" s="2">
        <v>45960</v>
      </c>
      <c r="C5147" t="s">
        <v>65</v>
      </c>
      <c r="D5147" t="s">
        <v>1629</v>
      </c>
      <c r="E5147">
        <v>407.02</v>
      </c>
      <c r="F5147" t="s">
        <v>1578</v>
      </c>
      <c r="G5147" t="s">
        <v>1484</v>
      </c>
    </row>
    <row r="5148" spans="1:7">
      <c r="A5148" t="s">
        <v>6751</v>
      </c>
      <c r="B5148" s="2">
        <v>45960</v>
      </c>
      <c r="C5148" t="s">
        <v>68</v>
      </c>
      <c r="D5148" t="s">
        <v>1629</v>
      </c>
      <c r="E5148">
        <v>409.02</v>
      </c>
      <c r="F5148" t="s">
        <v>1578</v>
      </c>
      <c r="G5148" t="s">
        <v>1484</v>
      </c>
    </row>
    <row r="5149" spans="1:7">
      <c r="A5149" t="s">
        <v>6752</v>
      </c>
      <c r="B5149" s="2">
        <v>45960</v>
      </c>
      <c r="C5149" t="s">
        <v>70</v>
      </c>
      <c r="D5149" t="s">
        <v>1629</v>
      </c>
      <c r="E5149">
        <v>405.01</v>
      </c>
      <c r="F5149" t="s">
        <v>1578</v>
      </c>
      <c r="G5149" t="s">
        <v>1484</v>
      </c>
    </row>
    <row r="5150" spans="1:7">
      <c r="A5150" t="s">
        <v>6753</v>
      </c>
      <c r="B5150" s="2">
        <v>45960</v>
      </c>
      <c r="C5150" t="s">
        <v>75</v>
      </c>
      <c r="D5150" t="s">
        <v>1629</v>
      </c>
      <c r="E5150">
        <v>405.01</v>
      </c>
      <c r="F5150" t="s">
        <v>1578</v>
      </c>
      <c r="G5150" t="s">
        <v>1484</v>
      </c>
    </row>
    <row r="5151" spans="1:7">
      <c r="A5151" t="s">
        <v>6754</v>
      </c>
      <c r="B5151" s="2">
        <v>45960</v>
      </c>
      <c r="C5151" t="s">
        <v>77</v>
      </c>
      <c r="D5151" t="s">
        <v>1629</v>
      </c>
      <c r="E5151">
        <v>405.01</v>
      </c>
      <c r="F5151" t="s">
        <v>1578</v>
      </c>
      <c r="G5151" t="s">
        <v>1484</v>
      </c>
    </row>
    <row r="5152" spans="1:7">
      <c r="A5152" t="s">
        <v>6755</v>
      </c>
      <c r="B5152" s="2">
        <v>45960</v>
      </c>
      <c r="C5152" t="s">
        <v>79</v>
      </c>
      <c r="D5152" t="s">
        <v>1629</v>
      </c>
      <c r="E5152">
        <v>409.02</v>
      </c>
      <c r="F5152" t="s">
        <v>1578</v>
      </c>
      <c r="G5152" t="s">
        <v>1484</v>
      </c>
    </row>
    <row r="5153" spans="1:7">
      <c r="A5153" t="s">
        <v>6756</v>
      </c>
      <c r="B5153" s="2">
        <v>45960</v>
      </c>
      <c r="C5153" t="s">
        <v>81</v>
      </c>
      <c r="D5153" t="s">
        <v>1629</v>
      </c>
      <c r="E5153">
        <v>810.02</v>
      </c>
      <c r="F5153" t="s">
        <v>1578</v>
      </c>
      <c r="G5153" t="s">
        <v>1484</v>
      </c>
    </row>
    <row r="5154" spans="1:7">
      <c r="A5154" t="s">
        <v>6757</v>
      </c>
      <c r="B5154" s="2">
        <v>45960</v>
      </c>
      <c r="C5154" t="s">
        <v>110</v>
      </c>
      <c r="D5154" t="s">
        <v>1629</v>
      </c>
      <c r="E5154">
        <v>409.02</v>
      </c>
      <c r="F5154" t="s">
        <v>1578</v>
      </c>
      <c r="G5154" t="s">
        <v>1484</v>
      </c>
    </row>
    <row r="5155" spans="1:7">
      <c r="A5155" t="s">
        <v>6758</v>
      </c>
      <c r="B5155" s="2">
        <v>45960</v>
      </c>
      <c r="C5155" t="s">
        <v>114</v>
      </c>
      <c r="D5155" t="s">
        <v>1629</v>
      </c>
      <c r="E5155">
        <v>405.01</v>
      </c>
      <c r="F5155" t="s">
        <v>1578</v>
      </c>
      <c r="G5155" t="s">
        <v>1484</v>
      </c>
    </row>
    <row r="5156" spans="1:7">
      <c r="A5156" t="s">
        <v>6759</v>
      </c>
      <c r="B5156" s="2">
        <v>45960</v>
      </c>
      <c r="C5156" t="s">
        <v>117</v>
      </c>
      <c r="D5156" t="s">
        <v>1629</v>
      </c>
      <c r="E5156">
        <v>403</v>
      </c>
      <c r="F5156" t="s">
        <v>1578</v>
      </c>
      <c r="G5156" t="s">
        <v>1484</v>
      </c>
    </row>
    <row r="5157" spans="1:7">
      <c r="A5157" t="s">
        <v>6760</v>
      </c>
      <c r="B5157" s="2">
        <v>45960</v>
      </c>
      <c r="C5157" t="s">
        <v>119</v>
      </c>
      <c r="D5157" t="s">
        <v>1629</v>
      </c>
      <c r="E5157">
        <v>405.01</v>
      </c>
      <c r="F5157" t="s">
        <v>1578</v>
      </c>
      <c r="G5157" t="s">
        <v>1484</v>
      </c>
    </row>
    <row r="5158" spans="1:7">
      <c r="A5158" t="s">
        <v>6761</v>
      </c>
      <c r="B5158" s="2">
        <v>45960</v>
      </c>
      <c r="C5158" t="s">
        <v>93</v>
      </c>
      <c r="D5158" t="s">
        <v>1683</v>
      </c>
      <c r="E5158">
        <v>691</v>
      </c>
      <c r="F5158" t="s">
        <v>1578</v>
      </c>
      <c r="G5158" t="s">
        <v>929</v>
      </c>
    </row>
    <row r="5159" spans="1:7">
      <c r="A5159" t="s">
        <v>6762</v>
      </c>
      <c r="B5159" s="2">
        <v>45960</v>
      </c>
      <c r="C5159" t="s">
        <v>77</v>
      </c>
      <c r="D5159" t="s">
        <v>1683</v>
      </c>
      <c r="E5159">
        <v>149</v>
      </c>
      <c r="F5159" t="s">
        <v>1578</v>
      </c>
      <c r="G5159" t="s">
        <v>930</v>
      </c>
    </row>
    <row r="5160" spans="1:7">
      <c r="A5160" t="s">
        <v>6763</v>
      </c>
      <c r="B5160" s="2">
        <v>45961</v>
      </c>
      <c r="C5160" t="s">
        <v>89</v>
      </c>
      <c r="D5160" t="s">
        <v>1683</v>
      </c>
      <c r="E5160">
        <v>519</v>
      </c>
      <c r="F5160" t="s">
        <v>1578</v>
      </c>
      <c r="G5160" t="s">
        <v>931</v>
      </c>
    </row>
    <row r="5161" spans="1:7">
      <c r="A5161" t="s">
        <v>6764</v>
      </c>
      <c r="B5161" s="2">
        <v>45962</v>
      </c>
      <c r="C5161" t="s">
        <v>61</v>
      </c>
      <c r="D5161" t="s">
        <v>1629</v>
      </c>
      <c r="E5161">
        <v>110.16</v>
      </c>
      <c r="F5161" t="s">
        <v>1578</v>
      </c>
      <c r="G5161" t="s">
        <v>1485</v>
      </c>
    </row>
    <row r="5162" spans="1:7">
      <c r="A5162" t="s">
        <v>6765</v>
      </c>
      <c r="B5162" s="2">
        <v>45962</v>
      </c>
      <c r="C5162" t="s">
        <v>65</v>
      </c>
      <c r="D5162" t="s">
        <v>1629</v>
      </c>
      <c r="E5162">
        <v>109.62</v>
      </c>
      <c r="F5162" t="s">
        <v>1578</v>
      </c>
      <c r="G5162" t="s">
        <v>1485</v>
      </c>
    </row>
    <row r="5163" spans="1:7">
      <c r="A5163" t="s">
        <v>6766</v>
      </c>
      <c r="B5163" s="2">
        <v>45962</v>
      </c>
      <c r="C5163" t="s">
        <v>68</v>
      </c>
      <c r="D5163" t="s">
        <v>1629</v>
      </c>
      <c r="E5163">
        <v>110.16</v>
      </c>
      <c r="F5163" t="s">
        <v>1578</v>
      </c>
      <c r="G5163" t="s">
        <v>1485</v>
      </c>
    </row>
    <row r="5164" spans="1:7">
      <c r="A5164" t="s">
        <v>6767</v>
      </c>
      <c r="B5164" s="2">
        <v>45962</v>
      </c>
      <c r="C5164" t="s">
        <v>70</v>
      </c>
      <c r="D5164" t="s">
        <v>1629</v>
      </c>
      <c r="E5164">
        <v>109.08</v>
      </c>
      <c r="F5164" t="s">
        <v>1578</v>
      </c>
      <c r="G5164" t="s">
        <v>1485</v>
      </c>
    </row>
    <row r="5165" spans="1:7">
      <c r="A5165" t="s">
        <v>6768</v>
      </c>
      <c r="B5165" s="2">
        <v>45962</v>
      </c>
      <c r="C5165" t="s">
        <v>75</v>
      </c>
      <c r="D5165" t="s">
        <v>1629</v>
      </c>
      <c r="E5165">
        <v>109.08</v>
      </c>
      <c r="F5165" t="s">
        <v>1578</v>
      </c>
      <c r="G5165" t="s">
        <v>1485</v>
      </c>
    </row>
    <row r="5166" spans="1:7">
      <c r="A5166" t="s">
        <v>6769</v>
      </c>
      <c r="B5166" s="2">
        <v>45962</v>
      </c>
      <c r="C5166" t="s">
        <v>77</v>
      </c>
      <c r="D5166" t="s">
        <v>1629</v>
      </c>
      <c r="E5166">
        <v>109.08</v>
      </c>
      <c r="F5166" t="s">
        <v>1578</v>
      </c>
      <c r="G5166" t="s">
        <v>1485</v>
      </c>
    </row>
    <row r="5167" spans="1:7">
      <c r="A5167" t="s">
        <v>6770</v>
      </c>
      <c r="B5167" s="2">
        <v>45962</v>
      </c>
      <c r="C5167" t="s">
        <v>79</v>
      </c>
      <c r="D5167" t="s">
        <v>1629</v>
      </c>
      <c r="E5167">
        <v>110.16</v>
      </c>
      <c r="F5167" t="s">
        <v>1578</v>
      </c>
      <c r="G5167" t="s">
        <v>1485</v>
      </c>
    </row>
    <row r="5168" spans="1:7">
      <c r="A5168" t="s">
        <v>6771</v>
      </c>
      <c r="B5168" s="2">
        <v>45962</v>
      </c>
      <c r="C5168" t="s">
        <v>81</v>
      </c>
      <c r="D5168" t="s">
        <v>1629</v>
      </c>
      <c r="E5168">
        <v>218.16</v>
      </c>
      <c r="F5168" t="s">
        <v>1578</v>
      </c>
      <c r="G5168" t="s">
        <v>1485</v>
      </c>
    </row>
    <row r="5169" spans="1:7">
      <c r="A5169" t="s">
        <v>6772</v>
      </c>
      <c r="B5169" s="2">
        <v>45962</v>
      </c>
      <c r="C5169" t="s">
        <v>110</v>
      </c>
      <c r="D5169" t="s">
        <v>1629</v>
      </c>
      <c r="E5169">
        <v>110.16</v>
      </c>
      <c r="F5169" t="s">
        <v>1578</v>
      </c>
      <c r="G5169" t="s">
        <v>1485</v>
      </c>
    </row>
    <row r="5170" spans="1:7">
      <c r="A5170" t="s">
        <v>6773</v>
      </c>
      <c r="B5170" s="2">
        <v>45962</v>
      </c>
      <c r="C5170" t="s">
        <v>114</v>
      </c>
      <c r="D5170" t="s">
        <v>1629</v>
      </c>
      <c r="E5170">
        <v>109.08</v>
      </c>
      <c r="F5170" t="s">
        <v>1578</v>
      </c>
      <c r="G5170" t="s">
        <v>1485</v>
      </c>
    </row>
    <row r="5171" spans="1:7">
      <c r="A5171" t="s">
        <v>6774</v>
      </c>
      <c r="B5171" s="2">
        <v>45962</v>
      </c>
      <c r="C5171" t="s">
        <v>117</v>
      </c>
      <c r="D5171" t="s">
        <v>1629</v>
      </c>
      <c r="E5171">
        <v>108.54</v>
      </c>
      <c r="F5171" t="s">
        <v>1578</v>
      </c>
      <c r="G5171" t="s">
        <v>1485</v>
      </c>
    </row>
    <row r="5172" spans="1:7">
      <c r="A5172" t="s">
        <v>6775</v>
      </c>
      <c r="B5172" s="2">
        <v>45962</v>
      </c>
      <c r="C5172" t="s">
        <v>119</v>
      </c>
      <c r="D5172" t="s">
        <v>1629</v>
      </c>
      <c r="E5172">
        <v>109.08</v>
      </c>
      <c r="F5172" t="s">
        <v>1578</v>
      </c>
      <c r="G5172" t="s">
        <v>1485</v>
      </c>
    </row>
    <row r="5173" spans="1:7">
      <c r="A5173" t="s">
        <v>6776</v>
      </c>
      <c r="B5173" s="2">
        <v>45962</v>
      </c>
      <c r="C5173" t="s">
        <v>87</v>
      </c>
      <c r="D5173" t="s">
        <v>1683</v>
      </c>
      <c r="E5173">
        <v>338</v>
      </c>
      <c r="F5173" t="s">
        <v>1578</v>
      </c>
      <c r="G5173" t="s">
        <v>933</v>
      </c>
    </row>
    <row r="5174" spans="1:7">
      <c r="A5174" t="s">
        <v>6777</v>
      </c>
      <c r="B5174" s="2">
        <v>45963</v>
      </c>
      <c r="C5174" t="s">
        <v>75</v>
      </c>
      <c r="D5174" t="s">
        <v>1629</v>
      </c>
      <c r="E5174">
        <v>157.56</v>
      </c>
      <c r="F5174" t="s">
        <v>1578</v>
      </c>
      <c r="G5174" t="s">
        <v>1486</v>
      </c>
    </row>
    <row r="5175" spans="1:7">
      <c r="A5175" t="s">
        <v>6778</v>
      </c>
      <c r="B5175" s="2">
        <v>45963</v>
      </c>
      <c r="C5175" t="s">
        <v>91</v>
      </c>
      <c r="D5175" t="s">
        <v>1629</v>
      </c>
      <c r="E5175">
        <v>159.9</v>
      </c>
      <c r="F5175" t="s">
        <v>1578</v>
      </c>
      <c r="G5175" t="s">
        <v>1486</v>
      </c>
    </row>
    <row r="5176" spans="1:7">
      <c r="A5176" t="s">
        <v>6779</v>
      </c>
      <c r="B5176" s="2">
        <v>45963</v>
      </c>
      <c r="C5176" t="s">
        <v>93</v>
      </c>
      <c r="D5176" t="s">
        <v>1629</v>
      </c>
      <c r="E5176">
        <v>159.12</v>
      </c>
      <c r="F5176" t="s">
        <v>1578</v>
      </c>
      <c r="G5176" t="s">
        <v>1486</v>
      </c>
    </row>
    <row r="5177" spans="1:7">
      <c r="A5177" t="s">
        <v>6780</v>
      </c>
      <c r="B5177" s="2">
        <v>45963</v>
      </c>
      <c r="C5177" t="s">
        <v>95</v>
      </c>
      <c r="D5177" t="s">
        <v>1629</v>
      </c>
      <c r="E5177">
        <v>158.34</v>
      </c>
      <c r="F5177" t="s">
        <v>1578</v>
      </c>
      <c r="G5177" t="s">
        <v>1486</v>
      </c>
    </row>
    <row r="5178" spans="1:7">
      <c r="A5178" t="s">
        <v>6781</v>
      </c>
      <c r="B5178" s="2">
        <v>45963</v>
      </c>
      <c r="C5178" t="s">
        <v>97</v>
      </c>
      <c r="D5178" t="s">
        <v>1629</v>
      </c>
      <c r="E5178">
        <v>157.56</v>
      </c>
      <c r="F5178" t="s">
        <v>1578</v>
      </c>
      <c r="G5178" t="s">
        <v>1486</v>
      </c>
    </row>
    <row r="5179" spans="1:7">
      <c r="A5179" t="s">
        <v>6782</v>
      </c>
      <c r="B5179" s="2">
        <v>45963</v>
      </c>
      <c r="C5179" t="s">
        <v>99</v>
      </c>
      <c r="D5179" t="s">
        <v>1629</v>
      </c>
      <c r="E5179">
        <v>192.82</v>
      </c>
      <c r="F5179" t="s">
        <v>1578</v>
      </c>
      <c r="G5179" t="s">
        <v>1486</v>
      </c>
    </row>
    <row r="5180" spans="1:7">
      <c r="A5180" t="s">
        <v>6783</v>
      </c>
      <c r="B5180" s="2">
        <v>45963</v>
      </c>
      <c r="C5180" t="s">
        <v>102</v>
      </c>
      <c r="D5180" t="s">
        <v>1629</v>
      </c>
      <c r="E5180">
        <v>159.12</v>
      </c>
      <c r="F5180" t="s">
        <v>1578</v>
      </c>
      <c r="G5180" t="s">
        <v>1486</v>
      </c>
    </row>
    <row r="5181" spans="1:7">
      <c r="A5181" t="s">
        <v>6784</v>
      </c>
      <c r="B5181" s="2">
        <v>45963</v>
      </c>
      <c r="C5181" t="s">
        <v>108</v>
      </c>
      <c r="D5181" t="s">
        <v>1629</v>
      </c>
      <c r="E5181">
        <v>316.68</v>
      </c>
      <c r="F5181" t="s">
        <v>1578</v>
      </c>
      <c r="G5181" t="s">
        <v>1486</v>
      </c>
    </row>
    <row r="5182" spans="1:7">
      <c r="A5182" t="s">
        <v>6785</v>
      </c>
      <c r="B5182" s="2">
        <v>45963</v>
      </c>
      <c r="C5182" t="s">
        <v>110</v>
      </c>
      <c r="D5182" t="s">
        <v>1629</v>
      </c>
      <c r="E5182">
        <v>159.12</v>
      </c>
      <c r="F5182" t="s">
        <v>1578</v>
      </c>
      <c r="G5182" t="s">
        <v>1486</v>
      </c>
    </row>
    <row r="5183" spans="1:7">
      <c r="A5183" t="s">
        <v>6786</v>
      </c>
      <c r="B5183" s="2">
        <v>45963</v>
      </c>
      <c r="C5183" t="s">
        <v>114</v>
      </c>
      <c r="D5183" t="s">
        <v>1629</v>
      </c>
      <c r="E5183">
        <v>157.56</v>
      </c>
      <c r="F5183" t="s">
        <v>1578</v>
      </c>
      <c r="G5183" t="s">
        <v>1486</v>
      </c>
    </row>
    <row r="5184" spans="1:7">
      <c r="A5184" t="s">
        <v>6787</v>
      </c>
      <c r="B5184" s="2">
        <v>45963</v>
      </c>
      <c r="C5184" t="s">
        <v>117</v>
      </c>
      <c r="D5184" t="s">
        <v>1629</v>
      </c>
      <c r="E5184">
        <v>156.78</v>
      </c>
      <c r="F5184" t="s">
        <v>1578</v>
      </c>
      <c r="G5184" t="s">
        <v>1486</v>
      </c>
    </row>
    <row r="5185" spans="1:7">
      <c r="A5185" t="s">
        <v>6788</v>
      </c>
      <c r="B5185" s="2">
        <v>45963</v>
      </c>
      <c r="C5185" t="s">
        <v>119</v>
      </c>
      <c r="D5185" t="s">
        <v>1629</v>
      </c>
      <c r="E5185">
        <v>157.56</v>
      </c>
      <c r="F5185" t="s">
        <v>1578</v>
      </c>
      <c r="G5185" t="s">
        <v>1486</v>
      </c>
    </row>
    <row r="5186" spans="1:7">
      <c r="A5186" t="s">
        <v>6789</v>
      </c>
      <c r="B5186" s="2">
        <v>45963</v>
      </c>
      <c r="C5186" t="s">
        <v>61</v>
      </c>
      <c r="D5186" t="s">
        <v>1629</v>
      </c>
      <c r="E5186">
        <v>153</v>
      </c>
      <c r="F5186" t="s">
        <v>1578</v>
      </c>
      <c r="G5186" t="s">
        <v>1487</v>
      </c>
    </row>
    <row r="5187" spans="1:7">
      <c r="A5187" t="s">
        <v>6790</v>
      </c>
      <c r="B5187" s="2">
        <v>45963</v>
      </c>
      <c r="C5187" t="s">
        <v>65</v>
      </c>
      <c r="D5187" t="s">
        <v>1629</v>
      </c>
      <c r="E5187">
        <v>152.25</v>
      </c>
      <c r="F5187" t="s">
        <v>1578</v>
      </c>
      <c r="G5187" t="s">
        <v>1487</v>
      </c>
    </row>
    <row r="5188" spans="1:7">
      <c r="A5188" t="s">
        <v>6791</v>
      </c>
      <c r="B5188" s="2">
        <v>45963</v>
      </c>
      <c r="C5188" t="s">
        <v>68</v>
      </c>
      <c r="D5188" t="s">
        <v>1629</v>
      </c>
      <c r="E5188">
        <v>153</v>
      </c>
      <c r="F5188" t="s">
        <v>1578</v>
      </c>
      <c r="G5188" t="s">
        <v>1487</v>
      </c>
    </row>
    <row r="5189" spans="1:7">
      <c r="A5189" t="s">
        <v>6792</v>
      </c>
      <c r="B5189" s="2">
        <v>45963</v>
      </c>
      <c r="C5189" t="s">
        <v>70</v>
      </c>
      <c r="D5189" t="s">
        <v>1629</v>
      </c>
      <c r="E5189">
        <v>151.5</v>
      </c>
      <c r="F5189" t="s">
        <v>1578</v>
      </c>
      <c r="G5189" t="s">
        <v>1487</v>
      </c>
    </row>
    <row r="5190" spans="1:7">
      <c r="A5190" t="s">
        <v>6793</v>
      </c>
      <c r="B5190" s="2">
        <v>45963</v>
      </c>
      <c r="C5190" t="s">
        <v>75</v>
      </c>
      <c r="D5190" t="s">
        <v>1629</v>
      </c>
      <c r="E5190">
        <v>151.5</v>
      </c>
      <c r="F5190" t="s">
        <v>1578</v>
      </c>
      <c r="G5190" t="s">
        <v>1487</v>
      </c>
    </row>
    <row r="5191" spans="1:7">
      <c r="A5191" t="s">
        <v>6794</v>
      </c>
      <c r="B5191" s="2">
        <v>45963</v>
      </c>
      <c r="C5191" t="s">
        <v>77</v>
      </c>
      <c r="D5191" t="s">
        <v>1629</v>
      </c>
      <c r="E5191">
        <v>151.5</v>
      </c>
      <c r="F5191" t="s">
        <v>1578</v>
      </c>
      <c r="G5191" t="s">
        <v>1487</v>
      </c>
    </row>
    <row r="5192" spans="1:7">
      <c r="A5192" t="s">
        <v>6795</v>
      </c>
      <c r="B5192" s="2">
        <v>45963</v>
      </c>
      <c r="C5192" t="s">
        <v>79</v>
      </c>
      <c r="D5192" t="s">
        <v>1629</v>
      </c>
      <c r="E5192">
        <v>153</v>
      </c>
      <c r="F5192" t="s">
        <v>1578</v>
      </c>
      <c r="G5192" t="s">
        <v>1487</v>
      </c>
    </row>
    <row r="5193" spans="1:7">
      <c r="A5193" t="s">
        <v>6796</v>
      </c>
      <c r="B5193" s="2">
        <v>45963</v>
      </c>
      <c r="C5193" t="s">
        <v>81</v>
      </c>
      <c r="D5193" t="s">
        <v>1629</v>
      </c>
      <c r="E5193">
        <v>303</v>
      </c>
      <c r="F5193" t="s">
        <v>1578</v>
      </c>
      <c r="G5193" t="s">
        <v>1487</v>
      </c>
    </row>
    <row r="5194" spans="1:7">
      <c r="A5194" t="s">
        <v>6797</v>
      </c>
      <c r="B5194" s="2">
        <v>45963</v>
      </c>
      <c r="C5194" t="s">
        <v>108</v>
      </c>
      <c r="D5194" t="s">
        <v>1629</v>
      </c>
      <c r="E5194">
        <v>304.5</v>
      </c>
      <c r="F5194" t="s">
        <v>1578</v>
      </c>
      <c r="G5194" t="s">
        <v>1487</v>
      </c>
    </row>
    <row r="5195" spans="1:7">
      <c r="A5195" t="s">
        <v>6798</v>
      </c>
      <c r="B5195" s="2">
        <v>45963</v>
      </c>
      <c r="C5195" t="s">
        <v>110</v>
      </c>
      <c r="D5195" t="s">
        <v>1629</v>
      </c>
      <c r="E5195">
        <v>153</v>
      </c>
      <c r="F5195" t="s">
        <v>1578</v>
      </c>
      <c r="G5195" t="s">
        <v>1487</v>
      </c>
    </row>
    <row r="5196" spans="1:7">
      <c r="A5196" t="s">
        <v>6799</v>
      </c>
      <c r="B5196" s="2">
        <v>45963</v>
      </c>
      <c r="C5196" t="s">
        <v>114</v>
      </c>
      <c r="D5196" t="s">
        <v>1629</v>
      </c>
      <c r="E5196">
        <v>151.5</v>
      </c>
      <c r="F5196" t="s">
        <v>1578</v>
      </c>
      <c r="G5196" t="s">
        <v>1487</v>
      </c>
    </row>
    <row r="5197" spans="1:7">
      <c r="A5197" t="s">
        <v>6800</v>
      </c>
      <c r="B5197" s="2">
        <v>45963</v>
      </c>
      <c r="C5197" t="s">
        <v>117</v>
      </c>
      <c r="D5197" t="s">
        <v>1629</v>
      </c>
      <c r="E5197">
        <v>150.75</v>
      </c>
      <c r="F5197" t="s">
        <v>1578</v>
      </c>
      <c r="G5197" t="s">
        <v>1487</v>
      </c>
    </row>
    <row r="5198" spans="1:7">
      <c r="A5198" t="s">
        <v>6801</v>
      </c>
      <c r="B5198" s="2">
        <v>45963</v>
      </c>
      <c r="C5198" t="s">
        <v>119</v>
      </c>
      <c r="D5198" t="s">
        <v>1629</v>
      </c>
      <c r="E5198">
        <v>151.5</v>
      </c>
      <c r="F5198" t="s">
        <v>1578</v>
      </c>
      <c r="G5198" t="s">
        <v>1487</v>
      </c>
    </row>
    <row r="5199" spans="1:7">
      <c r="A5199" t="s">
        <v>6802</v>
      </c>
      <c r="B5199" s="2">
        <v>45963</v>
      </c>
      <c r="C5199" t="s">
        <v>91</v>
      </c>
      <c r="D5199" t="s">
        <v>1683</v>
      </c>
      <c r="E5199">
        <v>257</v>
      </c>
      <c r="F5199" t="s">
        <v>1578</v>
      </c>
      <c r="G5199" t="s">
        <v>934</v>
      </c>
    </row>
    <row r="5200" spans="1:7">
      <c r="A5200" t="s">
        <v>6803</v>
      </c>
      <c r="B5200" s="2">
        <v>45963</v>
      </c>
      <c r="C5200" t="s">
        <v>81</v>
      </c>
      <c r="D5200" t="s">
        <v>1683</v>
      </c>
      <c r="E5200">
        <v>261</v>
      </c>
      <c r="F5200" t="s">
        <v>1578</v>
      </c>
      <c r="G5200" t="s">
        <v>936</v>
      </c>
    </row>
    <row r="5201" spans="1:7">
      <c r="A5201" t="s">
        <v>6804</v>
      </c>
      <c r="B5201" s="2">
        <v>45964</v>
      </c>
      <c r="C5201" t="s">
        <v>61</v>
      </c>
      <c r="D5201" t="s">
        <v>1629</v>
      </c>
      <c r="E5201">
        <v>227.46</v>
      </c>
      <c r="F5201" t="s">
        <v>1578</v>
      </c>
      <c r="G5201" t="s">
        <v>1488</v>
      </c>
    </row>
    <row r="5202" spans="1:7">
      <c r="A5202" t="s">
        <v>6805</v>
      </c>
      <c r="B5202" s="2">
        <v>45964</v>
      </c>
      <c r="C5202" t="s">
        <v>65</v>
      </c>
      <c r="D5202" t="s">
        <v>1629</v>
      </c>
      <c r="E5202">
        <v>226.34</v>
      </c>
      <c r="F5202" t="s">
        <v>1578</v>
      </c>
      <c r="G5202" t="s">
        <v>1488</v>
      </c>
    </row>
    <row r="5203" spans="1:7">
      <c r="A5203" t="s">
        <v>6806</v>
      </c>
      <c r="B5203" s="2">
        <v>45964</v>
      </c>
      <c r="C5203" t="s">
        <v>68</v>
      </c>
      <c r="D5203" t="s">
        <v>1629</v>
      </c>
      <c r="E5203">
        <v>227.46</v>
      </c>
      <c r="F5203" t="s">
        <v>1578</v>
      </c>
      <c r="G5203" t="s">
        <v>1488</v>
      </c>
    </row>
    <row r="5204" spans="1:7">
      <c r="A5204" t="s">
        <v>6807</v>
      </c>
      <c r="B5204" s="2">
        <v>45964</v>
      </c>
      <c r="C5204" t="s">
        <v>70</v>
      </c>
      <c r="D5204" t="s">
        <v>1629</v>
      </c>
      <c r="E5204">
        <v>225.23</v>
      </c>
      <c r="F5204" t="s">
        <v>1578</v>
      </c>
      <c r="G5204" t="s">
        <v>1488</v>
      </c>
    </row>
    <row r="5205" spans="1:7">
      <c r="A5205" t="s">
        <v>6808</v>
      </c>
      <c r="B5205" s="2">
        <v>45964</v>
      </c>
      <c r="C5205" t="s">
        <v>75</v>
      </c>
      <c r="D5205" t="s">
        <v>1629</v>
      </c>
      <c r="E5205">
        <v>225.23</v>
      </c>
      <c r="F5205" t="s">
        <v>1578</v>
      </c>
      <c r="G5205" t="s">
        <v>1488</v>
      </c>
    </row>
    <row r="5206" spans="1:7">
      <c r="A5206" t="s">
        <v>6809</v>
      </c>
      <c r="B5206" s="2">
        <v>45964</v>
      </c>
      <c r="C5206" t="s">
        <v>77</v>
      </c>
      <c r="D5206" t="s">
        <v>1629</v>
      </c>
      <c r="E5206">
        <v>225.23</v>
      </c>
      <c r="F5206" t="s">
        <v>1578</v>
      </c>
      <c r="G5206" t="s">
        <v>1488</v>
      </c>
    </row>
    <row r="5207" spans="1:7">
      <c r="A5207" t="s">
        <v>6810</v>
      </c>
      <c r="B5207" s="2">
        <v>45964</v>
      </c>
      <c r="C5207" t="s">
        <v>79</v>
      </c>
      <c r="D5207" t="s">
        <v>1629</v>
      </c>
      <c r="E5207">
        <v>227.46</v>
      </c>
      <c r="F5207" t="s">
        <v>1578</v>
      </c>
      <c r="G5207" t="s">
        <v>1488</v>
      </c>
    </row>
    <row r="5208" spans="1:7">
      <c r="A5208" t="s">
        <v>6811</v>
      </c>
      <c r="B5208" s="2">
        <v>45964</v>
      </c>
      <c r="C5208" t="s">
        <v>81</v>
      </c>
      <c r="D5208" t="s">
        <v>1629</v>
      </c>
      <c r="E5208">
        <v>450.46</v>
      </c>
      <c r="F5208" t="s">
        <v>1578</v>
      </c>
      <c r="G5208" t="s">
        <v>1488</v>
      </c>
    </row>
    <row r="5209" spans="1:7">
      <c r="A5209" t="s">
        <v>6812</v>
      </c>
      <c r="B5209" s="2">
        <v>45964</v>
      </c>
      <c r="C5209" t="s">
        <v>110</v>
      </c>
      <c r="D5209" t="s">
        <v>1629</v>
      </c>
      <c r="E5209">
        <v>227.46</v>
      </c>
      <c r="F5209" t="s">
        <v>1578</v>
      </c>
      <c r="G5209" t="s">
        <v>1488</v>
      </c>
    </row>
    <row r="5210" spans="1:7">
      <c r="A5210" t="s">
        <v>6813</v>
      </c>
      <c r="B5210" s="2">
        <v>45964</v>
      </c>
      <c r="C5210" t="s">
        <v>114</v>
      </c>
      <c r="D5210" t="s">
        <v>1629</v>
      </c>
      <c r="E5210">
        <v>225.23</v>
      </c>
      <c r="F5210" t="s">
        <v>1578</v>
      </c>
      <c r="G5210" t="s">
        <v>1488</v>
      </c>
    </row>
    <row r="5211" spans="1:7">
      <c r="A5211" t="s">
        <v>6814</v>
      </c>
      <c r="B5211" s="2">
        <v>45964</v>
      </c>
      <c r="C5211" t="s">
        <v>117</v>
      </c>
      <c r="D5211" t="s">
        <v>1629</v>
      </c>
      <c r="E5211">
        <v>224.11</v>
      </c>
      <c r="F5211" t="s">
        <v>1578</v>
      </c>
      <c r="G5211" t="s">
        <v>1488</v>
      </c>
    </row>
    <row r="5212" spans="1:7">
      <c r="A5212" t="s">
        <v>6815</v>
      </c>
      <c r="B5212" s="2">
        <v>45964</v>
      </c>
      <c r="C5212" t="s">
        <v>119</v>
      </c>
      <c r="D5212" t="s">
        <v>1629</v>
      </c>
      <c r="E5212">
        <v>225.23</v>
      </c>
      <c r="F5212" t="s">
        <v>1578</v>
      </c>
      <c r="G5212" t="s">
        <v>1488</v>
      </c>
    </row>
    <row r="5213" spans="1:7">
      <c r="A5213" t="s">
        <v>6816</v>
      </c>
      <c r="B5213" s="2">
        <v>45964</v>
      </c>
      <c r="C5213" t="s">
        <v>104</v>
      </c>
      <c r="D5213" t="s">
        <v>1683</v>
      </c>
      <c r="E5213">
        <v>292</v>
      </c>
      <c r="F5213" t="s">
        <v>1578</v>
      </c>
      <c r="G5213" t="s">
        <v>937</v>
      </c>
    </row>
    <row r="5214" spans="1:7">
      <c r="A5214" t="s">
        <v>6817</v>
      </c>
      <c r="B5214" s="2">
        <v>45965</v>
      </c>
      <c r="C5214" t="s">
        <v>61</v>
      </c>
      <c r="D5214" t="s">
        <v>1629</v>
      </c>
      <c r="E5214">
        <v>425.34</v>
      </c>
      <c r="F5214" t="s">
        <v>1578</v>
      </c>
      <c r="G5214" t="s">
        <v>1489</v>
      </c>
    </row>
    <row r="5215" spans="1:7">
      <c r="A5215" t="s">
        <v>6818</v>
      </c>
      <c r="B5215" s="2">
        <v>45965</v>
      </c>
      <c r="C5215" t="s">
        <v>65</v>
      </c>
      <c r="D5215" t="s">
        <v>1629</v>
      </c>
      <c r="E5215">
        <v>423.25</v>
      </c>
      <c r="F5215" t="s">
        <v>1578</v>
      </c>
      <c r="G5215" t="s">
        <v>1489</v>
      </c>
    </row>
    <row r="5216" spans="1:7">
      <c r="A5216" t="s">
        <v>6819</v>
      </c>
      <c r="B5216" s="2">
        <v>45965</v>
      </c>
      <c r="C5216" t="s">
        <v>75</v>
      </c>
      <c r="D5216" t="s">
        <v>1629</v>
      </c>
      <c r="E5216">
        <v>421.17</v>
      </c>
      <c r="F5216" t="s">
        <v>1578</v>
      </c>
      <c r="G5216" t="s">
        <v>1489</v>
      </c>
    </row>
    <row r="5217" spans="1:7">
      <c r="A5217" t="s">
        <v>6820</v>
      </c>
      <c r="B5217" s="2">
        <v>45965</v>
      </c>
      <c r="C5217" t="s">
        <v>79</v>
      </c>
      <c r="D5217" t="s">
        <v>1629</v>
      </c>
      <c r="E5217">
        <v>425.34</v>
      </c>
      <c r="F5217" t="s">
        <v>1578</v>
      </c>
      <c r="G5217" t="s">
        <v>1489</v>
      </c>
    </row>
    <row r="5218" spans="1:7">
      <c r="A5218" t="s">
        <v>6821</v>
      </c>
      <c r="B5218" s="2">
        <v>45965</v>
      </c>
      <c r="C5218" t="s">
        <v>81</v>
      </c>
      <c r="D5218" t="s">
        <v>1629</v>
      </c>
      <c r="E5218">
        <v>842.34</v>
      </c>
      <c r="F5218" t="s">
        <v>1578</v>
      </c>
      <c r="G5218" t="s">
        <v>1489</v>
      </c>
    </row>
    <row r="5219" spans="1:7">
      <c r="A5219" t="s">
        <v>6822</v>
      </c>
      <c r="B5219" s="2">
        <v>45965</v>
      </c>
      <c r="C5219" t="s">
        <v>84</v>
      </c>
      <c r="D5219" t="s">
        <v>1629</v>
      </c>
      <c r="E5219">
        <v>150.33000000000001</v>
      </c>
      <c r="F5219" t="s">
        <v>1578</v>
      </c>
      <c r="G5219" t="s">
        <v>1489</v>
      </c>
    </row>
    <row r="5220" spans="1:7">
      <c r="A5220" t="s">
        <v>6823</v>
      </c>
      <c r="B5220" s="2">
        <v>45965</v>
      </c>
      <c r="C5220" t="s">
        <v>89</v>
      </c>
      <c r="D5220" t="s">
        <v>1629</v>
      </c>
      <c r="E5220">
        <v>641.14</v>
      </c>
      <c r="F5220" t="s">
        <v>1578</v>
      </c>
      <c r="G5220" t="s">
        <v>1489</v>
      </c>
    </row>
    <row r="5221" spans="1:7">
      <c r="A5221" t="s">
        <v>6824</v>
      </c>
      <c r="B5221" s="2">
        <v>45965</v>
      </c>
      <c r="C5221" t="s">
        <v>110</v>
      </c>
      <c r="D5221" t="s">
        <v>1629</v>
      </c>
      <c r="E5221">
        <v>425.34</v>
      </c>
      <c r="F5221" t="s">
        <v>1578</v>
      </c>
      <c r="G5221" t="s">
        <v>1489</v>
      </c>
    </row>
    <row r="5222" spans="1:7">
      <c r="A5222" t="s">
        <v>6825</v>
      </c>
      <c r="B5222" s="2">
        <v>45965</v>
      </c>
      <c r="C5222" t="s">
        <v>114</v>
      </c>
      <c r="D5222" t="s">
        <v>1629</v>
      </c>
      <c r="E5222">
        <v>421.17</v>
      </c>
      <c r="F5222" t="s">
        <v>1578</v>
      </c>
      <c r="G5222" t="s">
        <v>1489</v>
      </c>
    </row>
    <row r="5223" spans="1:7">
      <c r="A5223" t="s">
        <v>6826</v>
      </c>
      <c r="B5223" s="2">
        <v>45965</v>
      </c>
      <c r="C5223" t="s">
        <v>117</v>
      </c>
      <c r="D5223" t="s">
        <v>1629</v>
      </c>
      <c r="E5223">
        <v>419.08</v>
      </c>
      <c r="F5223" t="s">
        <v>1578</v>
      </c>
      <c r="G5223" t="s">
        <v>1489</v>
      </c>
    </row>
    <row r="5224" spans="1:7">
      <c r="A5224" t="s">
        <v>6827</v>
      </c>
      <c r="B5224" s="2">
        <v>45965</v>
      </c>
      <c r="C5224" t="s">
        <v>119</v>
      </c>
      <c r="D5224" t="s">
        <v>1629</v>
      </c>
      <c r="E5224">
        <v>421.17</v>
      </c>
      <c r="F5224" t="s">
        <v>1578</v>
      </c>
      <c r="G5224" t="s">
        <v>1489</v>
      </c>
    </row>
    <row r="5225" spans="1:7">
      <c r="A5225" t="s">
        <v>6828</v>
      </c>
      <c r="B5225" s="2">
        <v>45965</v>
      </c>
      <c r="C5225" t="s">
        <v>108</v>
      </c>
      <c r="D5225" t="s">
        <v>1683</v>
      </c>
      <c r="E5225">
        <v>133</v>
      </c>
      <c r="F5225" t="s">
        <v>1578</v>
      </c>
      <c r="G5225" t="s">
        <v>938</v>
      </c>
    </row>
    <row r="5226" spans="1:7">
      <c r="A5226" t="s">
        <v>6829</v>
      </c>
      <c r="B5226" s="2">
        <v>45965</v>
      </c>
      <c r="C5226" t="s">
        <v>117</v>
      </c>
      <c r="D5226" t="s">
        <v>1683</v>
      </c>
      <c r="E5226">
        <v>278</v>
      </c>
      <c r="F5226" t="s">
        <v>1578</v>
      </c>
      <c r="G5226" t="s">
        <v>939</v>
      </c>
    </row>
    <row r="5227" spans="1:7">
      <c r="A5227" t="s">
        <v>6830</v>
      </c>
      <c r="B5227" s="2">
        <v>45965</v>
      </c>
      <c r="C5227" t="s">
        <v>110</v>
      </c>
      <c r="D5227" t="s">
        <v>1683</v>
      </c>
      <c r="E5227">
        <v>222</v>
      </c>
      <c r="F5227" t="s">
        <v>1578</v>
      </c>
      <c r="G5227" t="s">
        <v>940</v>
      </c>
    </row>
    <row r="5228" spans="1:7">
      <c r="A5228" t="s">
        <v>6831</v>
      </c>
      <c r="B5228" s="2">
        <v>45966</v>
      </c>
      <c r="C5228" t="s">
        <v>75</v>
      </c>
      <c r="D5228" t="s">
        <v>1629</v>
      </c>
      <c r="E5228">
        <v>490.86</v>
      </c>
      <c r="F5228" t="s">
        <v>1578</v>
      </c>
      <c r="G5228" t="s">
        <v>1490</v>
      </c>
    </row>
    <row r="5229" spans="1:7">
      <c r="A5229" t="s">
        <v>6832</v>
      </c>
      <c r="B5229" s="2">
        <v>45966</v>
      </c>
      <c r="C5229" t="s">
        <v>91</v>
      </c>
      <c r="D5229" t="s">
        <v>1629</v>
      </c>
      <c r="E5229">
        <v>498.15</v>
      </c>
      <c r="F5229" t="s">
        <v>1578</v>
      </c>
      <c r="G5229" t="s">
        <v>1490</v>
      </c>
    </row>
    <row r="5230" spans="1:7">
      <c r="A5230" t="s">
        <v>6833</v>
      </c>
      <c r="B5230" s="2">
        <v>45966</v>
      </c>
      <c r="C5230" t="s">
        <v>93</v>
      </c>
      <c r="D5230" t="s">
        <v>1629</v>
      </c>
      <c r="E5230">
        <v>495.72</v>
      </c>
      <c r="F5230" t="s">
        <v>1578</v>
      </c>
      <c r="G5230" t="s">
        <v>1490</v>
      </c>
    </row>
    <row r="5231" spans="1:7">
      <c r="A5231" t="s">
        <v>6834</v>
      </c>
      <c r="B5231" s="2">
        <v>45966</v>
      </c>
      <c r="C5231" t="s">
        <v>95</v>
      </c>
      <c r="D5231" t="s">
        <v>1629</v>
      </c>
      <c r="E5231">
        <v>493.29</v>
      </c>
      <c r="F5231" t="s">
        <v>1578</v>
      </c>
      <c r="G5231" t="s">
        <v>1490</v>
      </c>
    </row>
    <row r="5232" spans="1:7">
      <c r="A5232" t="s">
        <v>6835</v>
      </c>
      <c r="B5232" s="2">
        <v>45966</v>
      </c>
      <c r="C5232" t="s">
        <v>97</v>
      </c>
      <c r="D5232" t="s">
        <v>1629</v>
      </c>
      <c r="E5232">
        <v>490.86</v>
      </c>
      <c r="F5232" t="s">
        <v>1578</v>
      </c>
      <c r="G5232" t="s">
        <v>1490</v>
      </c>
    </row>
    <row r="5233" spans="1:7">
      <c r="A5233" t="s">
        <v>6836</v>
      </c>
      <c r="B5233" s="2">
        <v>45966</v>
      </c>
      <c r="C5233" t="s">
        <v>99</v>
      </c>
      <c r="D5233" t="s">
        <v>1629</v>
      </c>
      <c r="E5233">
        <v>250.29</v>
      </c>
      <c r="F5233" t="s">
        <v>1578</v>
      </c>
      <c r="G5233" t="s">
        <v>1490</v>
      </c>
    </row>
    <row r="5234" spans="1:7">
      <c r="A5234" t="s">
        <v>6837</v>
      </c>
      <c r="B5234" s="2">
        <v>45966</v>
      </c>
      <c r="C5234" t="s">
        <v>102</v>
      </c>
      <c r="D5234" t="s">
        <v>1629</v>
      </c>
      <c r="E5234">
        <v>495.72</v>
      </c>
      <c r="F5234" t="s">
        <v>1578</v>
      </c>
      <c r="G5234" t="s">
        <v>1490</v>
      </c>
    </row>
    <row r="5235" spans="1:7">
      <c r="A5235" t="s">
        <v>6838</v>
      </c>
      <c r="B5235" s="2">
        <v>45966</v>
      </c>
      <c r="C5235" t="s">
        <v>108</v>
      </c>
      <c r="D5235" t="s">
        <v>1629</v>
      </c>
      <c r="E5235">
        <v>986.58</v>
      </c>
      <c r="F5235" t="s">
        <v>1578</v>
      </c>
      <c r="G5235" t="s">
        <v>1490</v>
      </c>
    </row>
    <row r="5236" spans="1:7">
      <c r="A5236" t="s">
        <v>6839</v>
      </c>
      <c r="B5236" s="2">
        <v>45966</v>
      </c>
      <c r="C5236" t="s">
        <v>110</v>
      </c>
      <c r="D5236" t="s">
        <v>1629</v>
      </c>
      <c r="E5236">
        <v>495.72</v>
      </c>
      <c r="F5236" t="s">
        <v>1578</v>
      </c>
      <c r="G5236" t="s">
        <v>1490</v>
      </c>
    </row>
    <row r="5237" spans="1:7">
      <c r="A5237" t="s">
        <v>6840</v>
      </c>
      <c r="B5237" s="2">
        <v>45966</v>
      </c>
      <c r="C5237" t="s">
        <v>114</v>
      </c>
      <c r="D5237" t="s">
        <v>1629</v>
      </c>
      <c r="E5237">
        <v>490.86</v>
      </c>
      <c r="F5237" t="s">
        <v>1578</v>
      </c>
      <c r="G5237" t="s">
        <v>1490</v>
      </c>
    </row>
    <row r="5238" spans="1:7">
      <c r="A5238" t="s">
        <v>6841</v>
      </c>
      <c r="B5238" s="2">
        <v>45966</v>
      </c>
      <c r="C5238" t="s">
        <v>117</v>
      </c>
      <c r="D5238" t="s">
        <v>1629</v>
      </c>
      <c r="E5238">
        <v>488.43</v>
      </c>
      <c r="F5238" t="s">
        <v>1578</v>
      </c>
      <c r="G5238" t="s">
        <v>1490</v>
      </c>
    </row>
    <row r="5239" spans="1:7">
      <c r="A5239" t="s">
        <v>6842</v>
      </c>
      <c r="B5239" s="2">
        <v>45966</v>
      </c>
      <c r="C5239" t="s">
        <v>119</v>
      </c>
      <c r="D5239" t="s">
        <v>1629</v>
      </c>
      <c r="E5239">
        <v>490.86</v>
      </c>
      <c r="F5239" t="s">
        <v>1578</v>
      </c>
      <c r="G5239" t="s">
        <v>1490</v>
      </c>
    </row>
    <row r="5240" spans="1:7">
      <c r="A5240" t="s">
        <v>6843</v>
      </c>
      <c r="B5240" s="2">
        <v>45966</v>
      </c>
      <c r="C5240" t="s">
        <v>75</v>
      </c>
      <c r="D5240" t="s">
        <v>1629</v>
      </c>
      <c r="E5240">
        <v>225.23</v>
      </c>
      <c r="F5240" t="s">
        <v>1578</v>
      </c>
      <c r="G5240" t="s">
        <v>1491</v>
      </c>
    </row>
    <row r="5241" spans="1:7">
      <c r="A5241" t="s">
        <v>6844</v>
      </c>
      <c r="B5241" s="2">
        <v>45966</v>
      </c>
      <c r="C5241" t="s">
        <v>104</v>
      </c>
      <c r="D5241" t="s">
        <v>1629</v>
      </c>
      <c r="E5241">
        <v>459.38</v>
      </c>
      <c r="F5241" t="s">
        <v>1578</v>
      </c>
      <c r="G5241" t="s">
        <v>1491</v>
      </c>
    </row>
    <row r="5242" spans="1:7">
      <c r="A5242" t="s">
        <v>6845</v>
      </c>
      <c r="B5242" s="2">
        <v>45966</v>
      </c>
      <c r="C5242" t="s">
        <v>108</v>
      </c>
      <c r="D5242" t="s">
        <v>1629</v>
      </c>
      <c r="E5242">
        <v>452.69</v>
      </c>
      <c r="F5242" t="s">
        <v>1578</v>
      </c>
      <c r="G5242" t="s">
        <v>1491</v>
      </c>
    </row>
    <row r="5243" spans="1:7">
      <c r="A5243" t="s">
        <v>6846</v>
      </c>
      <c r="B5243" s="2">
        <v>45966</v>
      </c>
      <c r="C5243" t="s">
        <v>110</v>
      </c>
      <c r="D5243" t="s">
        <v>1629</v>
      </c>
      <c r="E5243">
        <v>227.46</v>
      </c>
      <c r="F5243" t="s">
        <v>1578</v>
      </c>
      <c r="G5243" t="s">
        <v>1491</v>
      </c>
    </row>
    <row r="5244" spans="1:7">
      <c r="A5244" t="s">
        <v>6847</v>
      </c>
      <c r="B5244" s="2">
        <v>45966</v>
      </c>
      <c r="C5244" t="s">
        <v>114</v>
      </c>
      <c r="D5244" t="s">
        <v>1629</v>
      </c>
      <c r="E5244">
        <v>225.23</v>
      </c>
      <c r="F5244" t="s">
        <v>1578</v>
      </c>
      <c r="G5244" t="s">
        <v>1491</v>
      </c>
    </row>
    <row r="5245" spans="1:7">
      <c r="A5245" t="s">
        <v>6848</v>
      </c>
      <c r="B5245" s="2">
        <v>45966</v>
      </c>
      <c r="C5245" t="s">
        <v>117</v>
      </c>
      <c r="D5245" t="s">
        <v>1629</v>
      </c>
      <c r="E5245">
        <v>224.11</v>
      </c>
      <c r="F5245" t="s">
        <v>1578</v>
      </c>
      <c r="G5245" t="s">
        <v>1491</v>
      </c>
    </row>
    <row r="5246" spans="1:7">
      <c r="A5246" t="s">
        <v>6849</v>
      </c>
      <c r="B5246" s="2">
        <v>45966</v>
      </c>
      <c r="C5246" t="s">
        <v>119</v>
      </c>
      <c r="D5246" t="s">
        <v>1629</v>
      </c>
      <c r="E5246">
        <v>225.23</v>
      </c>
      <c r="F5246" t="s">
        <v>1578</v>
      </c>
      <c r="G5246" t="s">
        <v>1491</v>
      </c>
    </row>
    <row r="5247" spans="1:7">
      <c r="A5247" t="s">
        <v>6850</v>
      </c>
      <c r="B5247" s="2">
        <v>45966</v>
      </c>
      <c r="C5247" t="s">
        <v>61</v>
      </c>
      <c r="D5247" t="s">
        <v>1629</v>
      </c>
      <c r="E5247">
        <v>309.06</v>
      </c>
      <c r="F5247" t="s">
        <v>1578</v>
      </c>
      <c r="G5247" t="s">
        <v>1492</v>
      </c>
    </row>
    <row r="5248" spans="1:7">
      <c r="A5248" t="s">
        <v>6851</v>
      </c>
      <c r="B5248" s="2">
        <v>45966</v>
      </c>
      <c r="C5248" t="s">
        <v>65</v>
      </c>
      <c r="D5248" t="s">
        <v>1629</v>
      </c>
      <c r="E5248">
        <v>307.54000000000002</v>
      </c>
      <c r="F5248" t="s">
        <v>1578</v>
      </c>
      <c r="G5248" t="s">
        <v>1492</v>
      </c>
    </row>
    <row r="5249" spans="1:7">
      <c r="A5249" t="s">
        <v>6852</v>
      </c>
      <c r="B5249" s="2">
        <v>45966</v>
      </c>
      <c r="C5249" t="s">
        <v>68</v>
      </c>
      <c r="D5249" t="s">
        <v>1629</v>
      </c>
      <c r="E5249">
        <v>309.06</v>
      </c>
      <c r="F5249" t="s">
        <v>1578</v>
      </c>
      <c r="G5249" t="s">
        <v>1492</v>
      </c>
    </row>
    <row r="5250" spans="1:7">
      <c r="A5250" t="s">
        <v>6853</v>
      </c>
      <c r="B5250" s="2">
        <v>45966</v>
      </c>
      <c r="C5250" t="s">
        <v>70</v>
      </c>
      <c r="D5250" t="s">
        <v>1629</v>
      </c>
      <c r="E5250">
        <v>306.02999999999997</v>
      </c>
      <c r="F5250" t="s">
        <v>1578</v>
      </c>
      <c r="G5250" t="s">
        <v>1492</v>
      </c>
    </row>
    <row r="5251" spans="1:7">
      <c r="A5251" t="s">
        <v>6854</v>
      </c>
      <c r="B5251" s="2">
        <v>45966</v>
      </c>
      <c r="C5251" t="s">
        <v>75</v>
      </c>
      <c r="D5251" t="s">
        <v>1629</v>
      </c>
      <c r="E5251">
        <v>306.02999999999997</v>
      </c>
      <c r="F5251" t="s">
        <v>1578</v>
      </c>
      <c r="G5251" t="s">
        <v>1492</v>
      </c>
    </row>
    <row r="5252" spans="1:7">
      <c r="A5252" t="s">
        <v>6855</v>
      </c>
      <c r="B5252" s="2">
        <v>45966</v>
      </c>
      <c r="C5252" t="s">
        <v>77</v>
      </c>
      <c r="D5252" t="s">
        <v>1629</v>
      </c>
      <c r="E5252">
        <v>306.02999999999997</v>
      </c>
      <c r="F5252" t="s">
        <v>1578</v>
      </c>
      <c r="G5252" t="s">
        <v>1492</v>
      </c>
    </row>
    <row r="5253" spans="1:7">
      <c r="A5253" t="s">
        <v>6856</v>
      </c>
      <c r="B5253" s="2">
        <v>45966</v>
      </c>
      <c r="C5253" t="s">
        <v>79</v>
      </c>
      <c r="D5253" t="s">
        <v>1629</v>
      </c>
      <c r="E5253">
        <v>309.06</v>
      </c>
      <c r="F5253" t="s">
        <v>1578</v>
      </c>
      <c r="G5253" t="s">
        <v>1492</v>
      </c>
    </row>
    <row r="5254" spans="1:7">
      <c r="A5254" t="s">
        <v>6857</v>
      </c>
      <c r="B5254" s="2">
        <v>45966</v>
      </c>
      <c r="C5254" t="s">
        <v>81</v>
      </c>
      <c r="D5254" t="s">
        <v>1629</v>
      </c>
      <c r="E5254">
        <v>612.05999999999995</v>
      </c>
      <c r="F5254" t="s">
        <v>1578</v>
      </c>
      <c r="G5254" t="s">
        <v>1492</v>
      </c>
    </row>
    <row r="5255" spans="1:7">
      <c r="A5255" t="s">
        <v>6858</v>
      </c>
      <c r="B5255" s="2">
        <v>45966</v>
      </c>
      <c r="C5255" t="s">
        <v>110</v>
      </c>
      <c r="D5255" t="s">
        <v>1629</v>
      </c>
      <c r="E5255">
        <v>309.06</v>
      </c>
      <c r="F5255" t="s">
        <v>1578</v>
      </c>
      <c r="G5255" t="s">
        <v>1492</v>
      </c>
    </row>
    <row r="5256" spans="1:7">
      <c r="A5256" t="s">
        <v>6859</v>
      </c>
      <c r="B5256" s="2">
        <v>45966</v>
      </c>
      <c r="C5256" t="s">
        <v>114</v>
      </c>
      <c r="D5256" t="s">
        <v>1629</v>
      </c>
      <c r="E5256">
        <v>306.02999999999997</v>
      </c>
      <c r="F5256" t="s">
        <v>1578</v>
      </c>
      <c r="G5256" t="s">
        <v>1492</v>
      </c>
    </row>
    <row r="5257" spans="1:7">
      <c r="A5257" t="s">
        <v>6860</v>
      </c>
      <c r="B5257" s="2">
        <v>45966</v>
      </c>
      <c r="C5257" t="s">
        <v>117</v>
      </c>
      <c r="D5257" t="s">
        <v>1629</v>
      </c>
      <c r="E5257">
        <v>304.52</v>
      </c>
      <c r="F5257" t="s">
        <v>1578</v>
      </c>
      <c r="G5257" t="s">
        <v>1492</v>
      </c>
    </row>
    <row r="5258" spans="1:7">
      <c r="A5258" t="s">
        <v>6861</v>
      </c>
      <c r="B5258" s="2">
        <v>45966</v>
      </c>
      <c r="C5258" t="s">
        <v>119</v>
      </c>
      <c r="D5258" t="s">
        <v>1629</v>
      </c>
      <c r="E5258">
        <v>306.02999999999997</v>
      </c>
      <c r="F5258" t="s">
        <v>1578</v>
      </c>
      <c r="G5258" t="s">
        <v>1492</v>
      </c>
    </row>
    <row r="5259" spans="1:7">
      <c r="A5259" t="s">
        <v>6862</v>
      </c>
      <c r="B5259" s="2">
        <v>45966</v>
      </c>
      <c r="C5259" t="s">
        <v>70</v>
      </c>
      <c r="D5259" t="s">
        <v>1683</v>
      </c>
      <c r="E5259">
        <v>389</v>
      </c>
      <c r="F5259" t="s">
        <v>1578</v>
      </c>
      <c r="G5259" t="s">
        <v>942</v>
      </c>
    </row>
    <row r="5260" spans="1:7">
      <c r="A5260" t="s">
        <v>6863</v>
      </c>
      <c r="B5260" s="2">
        <v>45966</v>
      </c>
      <c r="C5260" t="s">
        <v>93</v>
      </c>
      <c r="D5260" t="s">
        <v>1683</v>
      </c>
      <c r="E5260">
        <v>152</v>
      </c>
      <c r="F5260" t="s">
        <v>1578</v>
      </c>
      <c r="G5260" t="s">
        <v>943</v>
      </c>
    </row>
    <row r="5261" spans="1:7">
      <c r="A5261" t="s">
        <v>6864</v>
      </c>
      <c r="B5261" s="2">
        <v>45967</v>
      </c>
      <c r="C5261" t="s">
        <v>61</v>
      </c>
      <c r="D5261" t="s">
        <v>1629</v>
      </c>
      <c r="E5261">
        <v>412.08</v>
      </c>
      <c r="F5261" t="s">
        <v>1578</v>
      </c>
      <c r="G5261" t="s">
        <v>1493</v>
      </c>
    </row>
    <row r="5262" spans="1:7">
      <c r="A5262" t="s">
        <v>6865</v>
      </c>
      <c r="B5262" s="2">
        <v>45967</v>
      </c>
      <c r="C5262" t="s">
        <v>65</v>
      </c>
      <c r="D5262" t="s">
        <v>1629</v>
      </c>
      <c r="E5262">
        <v>410.06</v>
      </c>
      <c r="F5262" t="s">
        <v>1578</v>
      </c>
      <c r="G5262" t="s">
        <v>1493</v>
      </c>
    </row>
    <row r="5263" spans="1:7">
      <c r="A5263" t="s">
        <v>6866</v>
      </c>
      <c r="B5263" s="2">
        <v>45967</v>
      </c>
      <c r="C5263" t="s">
        <v>75</v>
      </c>
      <c r="D5263" t="s">
        <v>1629</v>
      </c>
      <c r="E5263">
        <v>408.04</v>
      </c>
      <c r="F5263" t="s">
        <v>1578</v>
      </c>
      <c r="G5263" t="s">
        <v>1493</v>
      </c>
    </row>
    <row r="5264" spans="1:7">
      <c r="A5264" t="s">
        <v>6867</v>
      </c>
      <c r="B5264" s="2">
        <v>45967</v>
      </c>
      <c r="C5264" t="s">
        <v>79</v>
      </c>
      <c r="D5264" t="s">
        <v>1629</v>
      </c>
      <c r="E5264">
        <v>412.08</v>
      </c>
      <c r="F5264" t="s">
        <v>1578</v>
      </c>
      <c r="G5264" t="s">
        <v>1493</v>
      </c>
    </row>
    <row r="5265" spans="1:7">
      <c r="A5265" t="s">
        <v>6868</v>
      </c>
      <c r="B5265" s="2">
        <v>45967</v>
      </c>
      <c r="C5265" t="s">
        <v>81</v>
      </c>
      <c r="D5265" t="s">
        <v>1629</v>
      </c>
      <c r="E5265">
        <v>816.08</v>
      </c>
      <c r="F5265" t="s">
        <v>1578</v>
      </c>
      <c r="G5265" t="s">
        <v>1493</v>
      </c>
    </row>
    <row r="5266" spans="1:7">
      <c r="A5266" t="s">
        <v>6869</v>
      </c>
      <c r="B5266" s="2">
        <v>45967</v>
      </c>
      <c r="C5266" t="s">
        <v>84</v>
      </c>
      <c r="D5266" t="s">
        <v>1629</v>
      </c>
      <c r="E5266">
        <v>145.63999999999999</v>
      </c>
      <c r="F5266" t="s">
        <v>1578</v>
      </c>
      <c r="G5266" t="s">
        <v>1493</v>
      </c>
    </row>
    <row r="5267" spans="1:7">
      <c r="A5267" t="s">
        <v>6870</v>
      </c>
      <c r="B5267" s="2">
        <v>45967</v>
      </c>
      <c r="C5267" t="s">
        <v>89</v>
      </c>
      <c r="D5267" t="s">
        <v>1629</v>
      </c>
      <c r="E5267">
        <v>621.15</v>
      </c>
      <c r="F5267" t="s">
        <v>1578</v>
      </c>
      <c r="G5267" t="s">
        <v>1493</v>
      </c>
    </row>
    <row r="5268" spans="1:7">
      <c r="A5268" t="s">
        <v>6871</v>
      </c>
      <c r="B5268" s="2">
        <v>45967</v>
      </c>
      <c r="C5268" t="s">
        <v>110</v>
      </c>
      <c r="D5268" t="s">
        <v>1629</v>
      </c>
      <c r="E5268">
        <v>412.08</v>
      </c>
      <c r="F5268" t="s">
        <v>1578</v>
      </c>
      <c r="G5268" t="s">
        <v>1493</v>
      </c>
    </row>
    <row r="5269" spans="1:7">
      <c r="A5269" t="s">
        <v>6872</v>
      </c>
      <c r="B5269" s="2">
        <v>45967</v>
      </c>
      <c r="C5269" t="s">
        <v>114</v>
      </c>
      <c r="D5269" t="s">
        <v>1629</v>
      </c>
      <c r="E5269">
        <v>408.04</v>
      </c>
      <c r="F5269" t="s">
        <v>1578</v>
      </c>
      <c r="G5269" t="s">
        <v>1493</v>
      </c>
    </row>
    <row r="5270" spans="1:7">
      <c r="A5270" t="s">
        <v>6873</v>
      </c>
      <c r="B5270" s="2">
        <v>45967</v>
      </c>
      <c r="C5270" t="s">
        <v>117</v>
      </c>
      <c r="D5270" t="s">
        <v>1629</v>
      </c>
      <c r="E5270">
        <v>406.02</v>
      </c>
      <c r="F5270" t="s">
        <v>1578</v>
      </c>
      <c r="G5270" t="s">
        <v>1493</v>
      </c>
    </row>
    <row r="5271" spans="1:7">
      <c r="A5271" t="s">
        <v>6874</v>
      </c>
      <c r="B5271" s="2">
        <v>45967</v>
      </c>
      <c r="C5271" t="s">
        <v>119</v>
      </c>
      <c r="D5271" t="s">
        <v>1629</v>
      </c>
      <c r="E5271">
        <v>408.04</v>
      </c>
      <c r="F5271" t="s">
        <v>1578</v>
      </c>
      <c r="G5271" t="s">
        <v>1493</v>
      </c>
    </row>
    <row r="5272" spans="1:7">
      <c r="A5272" t="s">
        <v>6875</v>
      </c>
      <c r="B5272" s="2">
        <v>45967</v>
      </c>
      <c r="C5272" t="s">
        <v>75</v>
      </c>
      <c r="D5272" t="s">
        <v>1629</v>
      </c>
      <c r="E5272">
        <v>257.55</v>
      </c>
      <c r="F5272" t="s">
        <v>1578</v>
      </c>
      <c r="G5272" t="s">
        <v>1494</v>
      </c>
    </row>
    <row r="5273" spans="1:7">
      <c r="A5273" t="s">
        <v>6876</v>
      </c>
      <c r="B5273" s="2">
        <v>45967</v>
      </c>
      <c r="C5273" t="s">
        <v>106</v>
      </c>
      <c r="D5273" t="s">
        <v>1629</v>
      </c>
      <c r="E5273">
        <v>262.64999999999998</v>
      </c>
      <c r="F5273" t="s">
        <v>1578</v>
      </c>
      <c r="G5273" t="s">
        <v>1494</v>
      </c>
    </row>
    <row r="5274" spans="1:7">
      <c r="A5274" t="s">
        <v>6877</v>
      </c>
      <c r="B5274" s="2">
        <v>45967</v>
      </c>
      <c r="C5274" t="s">
        <v>108</v>
      </c>
      <c r="D5274" t="s">
        <v>1629</v>
      </c>
      <c r="E5274">
        <v>517.65</v>
      </c>
      <c r="F5274" t="s">
        <v>1578</v>
      </c>
      <c r="G5274" t="s">
        <v>1494</v>
      </c>
    </row>
    <row r="5275" spans="1:7">
      <c r="A5275" t="s">
        <v>6878</v>
      </c>
      <c r="B5275" s="2">
        <v>45967</v>
      </c>
      <c r="C5275" t="s">
        <v>110</v>
      </c>
      <c r="D5275" t="s">
        <v>1629</v>
      </c>
      <c r="E5275">
        <v>260.10000000000002</v>
      </c>
      <c r="F5275" t="s">
        <v>1578</v>
      </c>
      <c r="G5275" t="s">
        <v>1494</v>
      </c>
    </row>
    <row r="5276" spans="1:7">
      <c r="A5276" t="s">
        <v>6879</v>
      </c>
      <c r="B5276" s="2">
        <v>45967</v>
      </c>
      <c r="C5276" t="s">
        <v>114</v>
      </c>
      <c r="D5276" t="s">
        <v>1629</v>
      </c>
      <c r="E5276">
        <v>257.55</v>
      </c>
      <c r="F5276" t="s">
        <v>1578</v>
      </c>
      <c r="G5276" t="s">
        <v>1494</v>
      </c>
    </row>
    <row r="5277" spans="1:7">
      <c r="A5277" t="s">
        <v>6880</v>
      </c>
      <c r="B5277" s="2">
        <v>45967</v>
      </c>
      <c r="C5277" t="s">
        <v>117</v>
      </c>
      <c r="D5277" t="s">
        <v>1629</v>
      </c>
      <c r="E5277">
        <v>256.27</v>
      </c>
      <c r="F5277" t="s">
        <v>1578</v>
      </c>
      <c r="G5277" t="s">
        <v>1494</v>
      </c>
    </row>
    <row r="5278" spans="1:7">
      <c r="A5278" t="s">
        <v>6881</v>
      </c>
      <c r="B5278" s="2">
        <v>45967</v>
      </c>
      <c r="C5278" t="s">
        <v>119</v>
      </c>
      <c r="D5278" t="s">
        <v>1629</v>
      </c>
      <c r="E5278">
        <v>257.55</v>
      </c>
      <c r="F5278" t="s">
        <v>1578</v>
      </c>
      <c r="G5278" t="s">
        <v>1494</v>
      </c>
    </row>
    <row r="5279" spans="1:7">
      <c r="A5279" t="s">
        <v>6882</v>
      </c>
      <c r="B5279" s="2">
        <v>45968</v>
      </c>
      <c r="C5279" t="s">
        <v>61</v>
      </c>
      <c r="D5279" t="s">
        <v>1629</v>
      </c>
      <c r="E5279">
        <v>222.36</v>
      </c>
      <c r="F5279" t="s">
        <v>1578</v>
      </c>
      <c r="G5279" t="s">
        <v>1495</v>
      </c>
    </row>
    <row r="5280" spans="1:7">
      <c r="A5280" t="s">
        <v>6883</v>
      </c>
      <c r="B5280" s="2">
        <v>45968</v>
      </c>
      <c r="C5280" t="s">
        <v>65</v>
      </c>
      <c r="D5280" t="s">
        <v>1629</v>
      </c>
      <c r="E5280">
        <v>221.27</v>
      </c>
      <c r="F5280" t="s">
        <v>1578</v>
      </c>
      <c r="G5280" t="s">
        <v>1495</v>
      </c>
    </row>
    <row r="5281" spans="1:7">
      <c r="A5281" t="s">
        <v>6884</v>
      </c>
      <c r="B5281" s="2">
        <v>45968</v>
      </c>
      <c r="C5281" t="s">
        <v>68</v>
      </c>
      <c r="D5281" t="s">
        <v>1629</v>
      </c>
      <c r="E5281">
        <v>222.36</v>
      </c>
      <c r="F5281" t="s">
        <v>1578</v>
      </c>
      <c r="G5281" t="s">
        <v>1495</v>
      </c>
    </row>
    <row r="5282" spans="1:7">
      <c r="A5282" t="s">
        <v>6885</v>
      </c>
      <c r="B5282" s="2">
        <v>45968</v>
      </c>
      <c r="C5282" t="s">
        <v>75</v>
      </c>
      <c r="D5282" t="s">
        <v>1629</v>
      </c>
      <c r="E5282">
        <v>220.18</v>
      </c>
      <c r="F5282" t="s">
        <v>1578</v>
      </c>
      <c r="G5282" t="s">
        <v>1495</v>
      </c>
    </row>
    <row r="5283" spans="1:7">
      <c r="A5283" t="s">
        <v>6886</v>
      </c>
      <c r="B5283" s="2">
        <v>45968</v>
      </c>
      <c r="C5283" t="s">
        <v>79</v>
      </c>
      <c r="D5283" t="s">
        <v>1629</v>
      </c>
      <c r="E5283">
        <v>222.36</v>
      </c>
      <c r="F5283" t="s">
        <v>1578</v>
      </c>
      <c r="G5283" t="s">
        <v>1495</v>
      </c>
    </row>
    <row r="5284" spans="1:7">
      <c r="A5284" t="s">
        <v>6887</v>
      </c>
      <c r="B5284" s="2">
        <v>45968</v>
      </c>
      <c r="C5284" t="s">
        <v>81</v>
      </c>
      <c r="D5284" t="s">
        <v>1629</v>
      </c>
      <c r="E5284">
        <v>440.36</v>
      </c>
      <c r="F5284" t="s">
        <v>1578</v>
      </c>
      <c r="G5284" t="s">
        <v>1495</v>
      </c>
    </row>
    <row r="5285" spans="1:7">
      <c r="A5285" t="s">
        <v>6888</v>
      </c>
      <c r="B5285" s="2">
        <v>45968</v>
      </c>
      <c r="C5285" t="s">
        <v>110</v>
      </c>
      <c r="D5285" t="s">
        <v>1629</v>
      </c>
      <c r="E5285">
        <v>222.36</v>
      </c>
      <c r="F5285" t="s">
        <v>1578</v>
      </c>
      <c r="G5285" t="s">
        <v>1495</v>
      </c>
    </row>
    <row r="5286" spans="1:7">
      <c r="A5286" t="s">
        <v>6889</v>
      </c>
      <c r="B5286" s="2">
        <v>45968</v>
      </c>
      <c r="C5286" t="s">
        <v>114</v>
      </c>
      <c r="D5286" t="s">
        <v>1629</v>
      </c>
      <c r="E5286">
        <v>220.18</v>
      </c>
      <c r="F5286" t="s">
        <v>1578</v>
      </c>
      <c r="G5286" t="s">
        <v>1495</v>
      </c>
    </row>
    <row r="5287" spans="1:7">
      <c r="A5287" t="s">
        <v>6890</v>
      </c>
      <c r="B5287" s="2">
        <v>45968</v>
      </c>
      <c r="C5287" t="s">
        <v>117</v>
      </c>
      <c r="D5287" t="s">
        <v>1629</v>
      </c>
      <c r="E5287">
        <v>219.09</v>
      </c>
      <c r="F5287" t="s">
        <v>1578</v>
      </c>
      <c r="G5287" t="s">
        <v>1495</v>
      </c>
    </row>
    <row r="5288" spans="1:7">
      <c r="A5288" t="s">
        <v>6891</v>
      </c>
      <c r="B5288" s="2">
        <v>45968</v>
      </c>
      <c r="C5288" t="s">
        <v>119</v>
      </c>
      <c r="D5288" t="s">
        <v>1629</v>
      </c>
      <c r="E5288">
        <v>220.18</v>
      </c>
      <c r="F5288" t="s">
        <v>1578</v>
      </c>
      <c r="G5288" t="s">
        <v>1495</v>
      </c>
    </row>
    <row r="5289" spans="1:7">
      <c r="A5289" t="s">
        <v>6892</v>
      </c>
      <c r="B5289" s="2">
        <v>45968</v>
      </c>
      <c r="C5289" t="s">
        <v>84</v>
      </c>
      <c r="D5289" t="s">
        <v>1683</v>
      </c>
      <c r="E5289">
        <v>219</v>
      </c>
      <c r="F5289" t="s">
        <v>1578</v>
      </c>
      <c r="G5289" t="s">
        <v>945</v>
      </c>
    </row>
    <row r="5290" spans="1:7">
      <c r="A5290" t="s">
        <v>6893</v>
      </c>
      <c r="B5290" s="2">
        <v>45968</v>
      </c>
      <c r="C5290" t="s">
        <v>95</v>
      </c>
      <c r="D5290" t="s">
        <v>1683</v>
      </c>
      <c r="E5290">
        <v>404</v>
      </c>
      <c r="F5290" t="s">
        <v>1578</v>
      </c>
      <c r="G5290" t="s">
        <v>946</v>
      </c>
    </row>
    <row r="5291" spans="1:7">
      <c r="A5291" t="s">
        <v>6894</v>
      </c>
      <c r="B5291" s="2">
        <v>45968</v>
      </c>
      <c r="C5291" t="s">
        <v>119</v>
      </c>
      <c r="D5291" t="s">
        <v>1683</v>
      </c>
      <c r="E5291">
        <v>101</v>
      </c>
      <c r="F5291" t="s">
        <v>1578</v>
      </c>
      <c r="G5291" t="s">
        <v>947</v>
      </c>
    </row>
    <row r="5292" spans="1:7">
      <c r="A5292" t="s">
        <v>6895</v>
      </c>
      <c r="B5292" s="2">
        <v>45968</v>
      </c>
      <c r="C5292" t="s">
        <v>87</v>
      </c>
      <c r="D5292" t="s">
        <v>1683</v>
      </c>
      <c r="E5292">
        <v>306</v>
      </c>
      <c r="F5292" t="s">
        <v>1578</v>
      </c>
      <c r="G5292" t="s">
        <v>948</v>
      </c>
    </row>
    <row r="5293" spans="1:7">
      <c r="A5293" t="s">
        <v>6896</v>
      </c>
      <c r="B5293" s="2">
        <v>45968</v>
      </c>
      <c r="C5293" t="s">
        <v>65</v>
      </c>
      <c r="D5293" t="s">
        <v>1683</v>
      </c>
      <c r="E5293">
        <v>46</v>
      </c>
      <c r="F5293" t="s">
        <v>1578</v>
      </c>
      <c r="G5293" t="s">
        <v>949</v>
      </c>
    </row>
    <row r="5294" spans="1:7">
      <c r="A5294" t="s">
        <v>6897</v>
      </c>
      <c r="B5294" s="2">
        <v>45970</v>
      </c>
      <c r="C5294" t="s">
        <v>117</v>
      </c>
      <c r="D5294" t="s">
        <v>1683</v>
      </c>
      <c r="E5294">
        <v>381</v>
      </c>
      <c r="F5294" t="s">
        <v>1578</v>
      </c>
      <c r="G5294" t="s">
        <v>950</v>
      </c>
    </row>
    <row r="5295" spans="1:7">
      <c r="A5295" t="s">
        <v>6898</v>
      </c>
      <c r="B5295" s="2">
        <v>45971</v>
      </c>
      <c r="C5295" t="s">
        <v>102</v>
      </c>
      <c r="D5295" t="s">
        <v>1683</v>
      </c>
      <c r="E5295">
        <v>129</v>
      </c>
      <c r="F5295" t="s">
        <v>1578</v>
      </c>
      <c r="G5295" t="s">
        <v>951</v>
      </c>
    </row>
    <row r="5296" spans="1:7">
      <c r="A5296" t="s">
        <v>6899</v>
      </c>
      <c r="B5296" s="2">
        <v>45971</v>
      </c>
      <c r="C5296" t="s">
        <v>99</v>
      </c>
      <c r="D5296" t="s">
        <v>1683</v>
      </c>
      <c r="E5296">
        <v>479</v>
      </c>
      <c r="F5296" t="s">
        <v>1578</v>
      </c>
      <c r="G5296" t="s">
        <v>952</v>
      </c>
    </row>
    <row r="5297" spans="1:7">
      <c r="A5297" t="s">
        <v>6900</v>
      </c>
      <c r="B5297" s="2">
        <v>45971</v>
      </c>
      <c r="C5297" t="s">
        <v>87</v>
      </c>
      <c r="D5297" t="s">
        <v>1683</v>
      </c>
      <c r="E5297">
        <v>334</v>
      </c>
      <c r="F5297" t="s">
        <v>1578</v>
      </c>
      <c r="G5297" t="s">
        <v>953</v>
      </c>
    </row>
    <row r="5298" spans="1:7">
      <c r="A5298" t="s">
        <v>6901</v>
      </c>
      <c r="B5298" s="2">
        <v>45972</v>
      </c>
      <c r="C5298" t="s">
        <v>61</v>
      </c>
      <c r="D5298" t="s">
        <v>1629</v>
      </c>
      <c r="E5298">
        <v>347.82</v>
      </c>
      <c r="F5298" t="s">
        <v>1578</v>
      </c>
      <c r="G5298" t="s">
        <v>1496</v>
      </c>
    </row>
    <row r="5299" spans="1:7">
      <c r="A5299" t="s">
        <v>6902</v>
      </c>
      <c r="B5299" s="2">
        <v>45972</v>
      </c>
      <c r="C5299" t="s">
        <v>65</v>
      </c>
      <c r="D5299" t="s">
        <v>1629</v>
      </c>
      <c r="E5299">
        <v>346.11</v>
      </c>
      <c r="F5299" t="s">
        <v>1578</v>
      </c>
      <c r="G5299" t="s">
        <v>1496</v>
      </c>
    </row>
    <row r="5300" spans="1:7">
      <c r="A5300" t="s">
        <v>6903</v>
      </c>
      <c r="B5300" s="2">
        <v>45972</v>
      </c>
      <c r="C5300" t="s">
        <v>68</v>
      </c>
      <c r="D5300" t="s">
        <v>1629</v>
      </c>
      <c r="E5300">
        <v>347.82</v>
      </c>
      <c r="F5300" t="s">
        <v>1578</v>
      </c>
      <c r="G5300" t="s">
        <v>1496</v>
      </c>
    </row>
    <row r="5301" spans="1:7">
      <c r="A5301" t="s">
        <v>6904</v>
      </c>
      <c r="B5301" s="2">
        <v>45972</v>
      </c>
      <c r="C5301" t="s">
        <v>70</v>
      </c>
      <c r="D5301" t="s">
        <v>1629</v>
      </c>
      <c r="E5301">
        <v>344.41</v>
      </c>
      <c r="F5301" t="s">
        <v>1578</v>
      </c>
      <c r="G5301" t="s">
        <v>1496</v>
      </c>
    </row>
    <row r="5302" spans="1:7">
      <c r="A5302" t="s">
        <v>6905</v>
      </c>
      <c r="B5302" s="2">
        <v>45972</v>
      </c>
      <c r="C5302" t="s">
        <v>73</v>
      </c>
      <c r="D5302" t="s">
        <v>1629</v>
      </c>
      <c r="E5302">
        <v>347.82</v>
      </c>
      <c r="F5302" t="s">
        <v>1578</v>
      </c>
      <c r="G5302" t="s">
        <v>1496</v>
      </c>
    </row>
    <row r="5303" spans="1:7">
      <c r="A5303" t="s">
        <v>6906</v>
      </c>
      <c r="B5303" s="2">
        <v>45972</v>
      </c>
      <c r="C5303" t="s">
        <v>75</v>
      </c>
      <c r="D5303" t="s">
        <v>1629</v>
      </c>
      <c r="E5303">
        <v>344.41</v>
      </c>
      <c r="F5303" t="s">
        <v>1578</v>
      </c>
      <c r="G5303" t="s">
        <v>1496</v>
      </c>
    </row>
    <row r="5304" spans="1:7">
      <c r="A5304" t="s">
        <v>6907</v>
      </c>
      <c r="B5304" s="2">
        <v>45972</v>
      </c>
      <c r="C5304" t="s">
        <v>77</v>
      </c>
      <c r="D5304" t="s">
        <v>1629</v>
      </c>
      <c r="E5304">
        <v>344.41</v>
      </c>
      <c r="F5304" t="s">
        <v>1578</v>
      </c>
      <c r="G5304" t="s">
        <v>1496</v>
      </c>
    </row>
    <row r="5305" spans="1:7">
      <c r="A5305" t="s">
        <v>6908</v>
      </c>
      <c r="B5305" s="2">
        <v>45972</v>
      </c>
      <c r="C5305" t="s">
        <v>79</v>
      </c>
      <c r="D5305" t="s">
        <v>1629</v>
      </c>
      <c r="E5305">
        <v>347.82</v>
      </c>
      <c r="F5305" t="s">
        <v>1578</v>
      </c>
      <c r="G5305" t="s">
        <v>1496</v>
      </c>
    </row>
    <row r="5306" spans="1:7">
      <c r="A5306" t="s">
        <v>6909</v>
      </c>
      <c r="B5306" s="2">
        <v>45972</v>
      </c>
      <c r="C5306" t="s">
        <v>81</v>
      </c>
      <c r="D5306" t="s">
        <v>1629</v>
      </c>
      <c r="E5306">
        <v>688.82</v>
      </c>
      <c r="F5306" t="s">
        <v>1578</v>
      </c>
      <c r="G5306" t="s">
        <v>1496</v>
      </c>
    </row>
    <row r="5307" spans="1:7">
      <c r="A5307" t="s">
        <v>6910</v>
      </c>
      <c r="B5307" s="2">
        <v>45972</v>
      </c>
      <c r="C5307" t="s">
        <v>108</v>
      </c>
      <c r="D5307" t="s">
        <v>1629</v>
      </c>
      <c r="E5307">
        <v>692.23</v>
      </c>
      <c r="F5307" t="s">
        <v>1578</v>
      </c>
      <c r="G5307" t="s">
        <v>1496</v>
      </c>
    </row>
    <row r="5308" spans="1:7">
      <c r="A5308" t="s">
        <v>6911</v>
      </c>
      <c r="B5308" s="2">
        <v>45972</v>
      </c>
      <c r="C5308" t="s">
        <v>110</v>
      </c>
      <c r="D5308" t="s">
        <v>1629</v>
      </c>
      <c r="E5308">
        <v>347.82</v>
      </c>
      <c r="F5308" t="s">
        <v>1578</v>
      </c>
      <c r="G5308" t="s">
        <v>1496</v>
      </c>
    </row>
    <row r="5309" spans="1:7">
      <c r="A5309" t="s">
        <v>6912</v>
      </c>
      <c r="B5309" s="2">
        <v>45972</v>
      </c>
      <c r="C5309" t="s">
        <v>114</v>
      </c>
      <c r="D5309" t="s">
        <v>1629</v>
      </c>
      <c r="E5309">
        <v>344.41</v>
      </c>
      <c r="F5309" t="s">
        <v>1578</v>
      </c>
      <c r="G5309" t="s">
        <v>1496</v>
      </c>
    </row>
    <row r="5310" spans="1:7">
      <c r="A5310" t="s">
        <v>6913</v>
      </c>
      <c r="B5310" s="2">
        <v>45972</v>
      </c>
      <c r="C5310" t="s">
        <v>117</v>
      </c>
      <c r="D5310" t="s">
        <v>1629</v>
      </c>
      <c r="E5310">
        <v>342.7</v>
      </c>
      <c r="F5310" t="s">
        <v>1578</v>
      </c>
      <c r="G5310" t="s">
        <v>1496</v>
      </c>
    </row>
    <row r="5311" spans="1:7">
      <c r="A5311" t="s">
        <v>6914</v>
      </c>
      <c r="B5311" s="2">
        <v>45972</v>
      </c>
      <c r="C5311" t="s">
        <v>119</v>
      </c>
      <c r="D5311" t="s">
        <v>1629</v>
      </c>
      <c r="E5311">
        <v>344.41</v>
      </c>
      <c r="F5311" t="s">
        <v>1578</v>
      </c>
      <c r="G5311" t="s">
        <v>1496</v>
      </c>
    </row>
    <row r="5312" spans="1:7">
      <c r="A5312" t="s">
        <v>6915</v>
      </c>
      <c r="B5312" s="2">
        <v>45973</v>
      </c>
      <c r="C5312" t="s">
        <v>61</v>
      </c>
      <c r="D5312" t="s">
        <v>1629</v>
      </c>
      <c r="E5312">
        <v>427.38</v>
      </c>
      <c r="F5312" t="s">
        <v>1578</v>
      </c>
      <c r="G5312" t="s">
        <v>1497</v>
      </c>
    </row>
    <row r="5313" spans="1:7">
      <c r="A5313" t="s">
        <v>6916</v>
      </c>
      <c r="B5313" s="2">
        <v>45973</v>
      </c>
      <c r="C5313" t="s">
        <v>65</v>
      </c>
      <c r="D5313" t="s">
        <v>1629</v>
      </c>
      <c r="E5313">
        <v>425.28</v>
      </c>
      <c r="F5313" t="s">
        <v>1578</v>
      </c>
      <c r="G5313" t="s">
        <v>1497</v>
      </c>
    </row>
    <row r="5314" spans="1:7">
      <c r="A5314" t="s">
        <v>6917</v>
      </c>
      <c r="B5314" s="2">
        <v>45973</v>
      </c>
      <c r="C5314" t="s">
        <v>68</v>
      </c>
      <c r="D5314" t="s">
        <v>1629</v>
      </c>
      <c r="E5314">
        <v>427.38</v>
      </c>
      <c r="F5314" t="s">
        <v>1578</v>
      </c>
      <c r="G5314" t="s">
        <v>1497</v>
      </c>
    </row>
    <row r="5315" spans="1:7">
      <c r="A5315" t="s">
        <v>6918</v>
      </c>
      <c r="B5315" s="2">
        <v>45973</v>
      </c>
      <c r="C5315" t="s">
        <v>70</v>
      </c>
      <c r="D5315" t="s">
        <v>1629</v>
      </c>
      <c r="E5315">
        <v>423.19</v>
      </c>
      <c r="F5315" t="s">
        <v>1578</v>
      </c>
      <c r="G5315" t="s">
        <v>1497</v>
      </c>
    </row>
    <row r="5316" spans="1:7">
      <c r="A5316" t="s">
        <v>6919</v>
      </c>
      <c r="B5316" s="2">
        <v>45973</v>
      </c>
      <c r="C5316" t="s">
        <v>73</v>
      </c>
      <c r="D5316" t="s">
        <v>1629</v>
      </c>
      <c r="E5316">
        <v>427.38</v>
      </c>
      <c r="F5316" t="s">
        <v>1578</v>
      </c>
      <c r="G5316" t="s">
        <v>1497</v>
      </c>
    </row>
    <row r="5317" spans="1:7">
      <c r="A5317" t="s">
        <v>6920</v>
      </c>
      <c r="B5317" s="2">
        <v>45973</v>
      </c>
      <c r="C5317" t="s">
        <v>75</v>
      </c>
      <c r="D5317" t="s">
        <v>1629</v>
      </c>
      <c r="E5317">
        <v>423.19</v>
      </c>
      <c r="F5317" t="s">
        <v>1578</v>
      </c>
      <c r="G5317" t="s">
        <v>1497</v>
      </c>
    </row>
    <row r="5318" spans="1:7">
      <c r="A5318" t="s">
        <v>6921</v>
      </c>
      <c r="B5318" s="2">
        <v>45973</v>
      </c>
      <c r="C5318" t="s">
        <v>77</v>
      </c>
      <c r="D5318" t="s">
        <v>1629</v>
      </c>
      <c r="E5318">
        <v>423.19</v>
      </c>
      <c r="F5318" t="s">
        <v>1578</v>
      </c>
      <c r="G5318" t="s">
        <v>1497</v>
      </c>
    </row>
    <row r="5319" spans="1:7">
      <c r="A5319" t="s">
        <v>6922</v>
      </c>
      <c r="B5319" s="2">
        <v>45973</v>
      </c>
      <c r="C5319" t="s">
        <v>79</v>
      </c>
      <c r="D5319" t="s">
        <v>1629</v>
      </c>
      <c r="E5319">
        <v>427.38</v>
      </c>
      <c r="F5319" t="s">
        <v>1578</v>
      </c>
      <c r="G5319" t="s">
        <v>1497</v>
      </c>
    </row>
    <row r="5320" spans="1:7">
      <c r="A5320" t="s">
        <v>6923</v>
      </c>
      <c r="B5320" s="2">
        <v>45973</v>
      </c>
      <c r="C5320" t="s">
        <v>81</v>
      </c>
      <c r="D5320" t="s">
        <v>1629</v>
      </c>
      <c r="E5320">
        <v>846.38</v>
      </c>
      <c r="F5320" t="s">
        <v>1578</v>
      </c>
      <c r="G5320" t="s">
        <v>1497</v>
      </c>
    </row>
    <row r="5321" spans="1:7">
      <c r="A5321" t="s">
        <v>6924</v>
      </c>
      <c r="B5321" s="2">
        <v>45973</v>
      </c>
      <c r="C5321" t="s">
        <v>108</v>
      </c>
      <c r="D5321" t="s">
        <v>1629</v>
      </c>
      <c r="E5321">
        <v>850.57</v>
      </c>
      <c r="F5321" t="s">
        <v>1578</v>
      </c>
      <c r="G5321" t="s">
        <v>1497</v>
      </c>
    </row>
    <row r="5322" spans="1:7">
      <c r="A5322" t="s">
        <v>6925</v>
      </c>
      <c r="B5322" s="2">
        <v>45973</v>
      </c>
      <c r="C5322" t="s">
        <v>110</v>
      </c>
      <c r="D5322" t="s">
        <v>1629</v>
      </c>
      <c r="E5322">
        <v>427.38</v>
      </c>
      <c r="F5322" t="s">
        <v>1578</v>
      </c>
      <c r="G5322" t="s">
        <v>1497</v>
      </c>
    </row>
    <row r="5323" spans="1:7">
      <c r="A5323" t="s">
        <v>6926</v>
      </c>
      <c r="B5323" s="2">
        <v>45973</v>
      </c>
      <c r="C5323" t="s">
        <v>114</v>
      </c>
      <c r="D5323" t="s">
        <v>1629</v>
      </c>
      <c r="E5323">
        <v>423.19</v>
      </c>
      <c r="F5323" t="s">
        <v>1578</v>
      </c>
      <c r="G5323" t="s">
        <v>1497</v>
      </c>
    </row>
    <row r="5324" spans="1:7">
      <c r="A5324" t="s">
        <v>6927</v>
      </c>
      <c r="B5324" s="2">
        <v>45973</v>
      </c>
      <c r="C5324" t="s">
        <v>117</v>
      </c>
      <c r="D5324" t="s">
        <v>1629</v>
      </c>
      <c r="E5324">
        <v>421.1</v>
      </c>
      <c r="F5324" t="s">
        <v>1578</v>
      </c>
      <c r="G5324" t="s">
        <v>1497</v>
      </c>
    </row>
    <row r="5325" spans="1:7">
      <c r="A5325" t="s">
        <v>6928</v>
      </c>
      <c r="B5325" s="2">
        <v>45973</v>
      </c>
      <c r="C5325" t="s">
        <v>119</v>
      </c>
      <c r="D5325" t="s">
        <v>1629</v>
      </c>
      <c r="E5325">
        <v>423.19</v>
      </c>
      <c r="F5325" t="s">
        <v>1578</v>
      </c>
      <c r="G5325" t="s">
        <v>1497</v>
      </c>
    </row>
    <row r="5326" spans="1:7">
      <c r="A5326" t="s">
        <v>6929</v>
      </c>
      <c r="B5326" s="2">
        <v>45973</v>
      </c>
      <c r="C5326" t="s">
        <v>61</v>
      </c>
      <c r="D5326" t="s">
        <v>1629</v>
      </c>
      <c r="E5326">
        <v>277.44</v>
      </c>
      <c r="F5326" t="s">
        <v>1578</v>
      </c>
      <c r="G5326" t="s">
        <v>1498</v>
      </c>
    </row>
    <row r="5327" spans="1:7">
      <c r="A5327" t="s">
        <v>6930</v>
      </c>
      <c r="B5327" s="2">
        <v>45973</v>
      </c>
      <c r="C5327" t="s">
        <v>65</v>
      </c>
      <c r="D5327" t="s">
        <v>1629</v>
      </c>
      <c r="E5327">
        <v>276.08</v>
      </c>
      <c r="F5327" t="s">
        <v>1578</v>
      </c>
      <c r="G5327" t="s">
        <v>1498</v>
      </c>
    </row>
    <row r="5328" spans="1:7">
      <c r="A5328" t="s">
        <v>6931</v>
      </c>
      <c r="B5328" s="2">
        <v>45973</v>
      </c>
      <c r="C5328" t="s">
        <v>68</v>
      </c>
      <c r="D5328" t="s">
        <v>1629</v>
      </c>
      <c r="E5328">
        <v>277.44</v>
      </c>
      <c r="F5328" t="s">
        <v>1578</v>
      </c>
      <c r="G5328" t="s">
        <v>1498</v>
      </c>
    </row>
    <row r="5329" spans="1:7">
      <c r="A5329" t="s">
        <v>6932</v>
      </c>
      <c r="B5329" s="2">
        <v>45973</v>
      </c>
      <c r="C5329" t="s">
        <v>70</v>
      </c>
      <c r="D5329" t="s">
        <v>1629</v>
      </c>
      <c r="E5329">
        <v>274.72000000000003</v>
      </c>
      <c r="F5329" t="s">
        <v>1578</v>
      </c>
      <c r="G5329" t="s">
        <v>1498</v>
      </c>
    </row>
    <row r="5330" spans="1:7">
      <c r="A5330" t="s">
        <v>6933</v>
      </c>
      <c r="B5330" s="2">
        <v>45973</v>
      </c>
      <c r="C5330" t="s">
        <v>75</v>
      </c>
      <c r="D5330" t="s">
        <v>1629</v>
      </c>
      <c r="E5330">
        <v>274.72000000000003</v>
      </c>
      <c r="F5330" t="s">
        <v>1578</v>
      </c>
      <c r="G5330" t="s">
        <v>1498</v>
      </c>
    </row>
    <row r="5331" spans="1:7">
      <c r="A5331" t="s">
        <v>6934</v>
      </c>
      <c r="B5331" s="2">
        <v>45973</v>
      </c>
      <c r="C5331" t="s">
        <v>77</v>
      </c>
      <c r="D5331" t="s">
        <v>1629</v>
      </c>
      <c r="E5331">
        <v>274.72000000000003</v>
      </c>
      <c r="F5331" t="s">
        <v>1578</v>
      </c>
      <c r="G5331" t="s">
        <v>1498</v>
      </c>
    </row>
    <row r="5332" spans="1:7">
      <c r="A5332" t="s">
        <v>6935</v>
      </c>
      <c r="B5332" s="2">
        <v>45973</v>
      </c>
      <c r="C5332" t="s">
        <v>79</v>
      </c>
      <c r="D5332" t="s">
        <v>1629</v>
      </c>
      <c r="E5332">
        <v>277.44</v>
      </c>
      <c r="F5332" t="s">
        <v>1578</v>
      </c>
      <c r="G5332" t="s">
        <v>1498</v>
      </c>
    </row>
    <row r="5333" spans="1:7">
      <c r="A5333" t="s">
        <v>6936</v>
      </c>
      <c r="B5333" s="2">
        <v>45973</v>
      </c>
      <c r="C5333" t="s">
        <v>81</v>
      </c>
      <c r="D5333" t="s">
        <v>1629</v>
      </c>
      <c r="E5333">
        <v>549.44000000000005</v>
      </c>
      <c r="F5333" t="s">
        <v>1578</v>
      </c>
      <c r="G5333" t="s">
        <v>1498</v>
      </c>
    </row>
    <row r="5334" spans="1:7">
      <c r="A5334" t="s">
        <v>6937</v>
      </c>
      <c r="B5334" s="2">
        <v>45973</v>
      </c>
      <c r="C5334" t="s">
        <v>110</v>
      </c>
      <c r="D5334" t="s">
        <v>1629</v>
      </c>
      <c r="E5334">
        <v>277.44</v>
      </c>
      <c r="F5334" t="s">
        <v>1578</v>
      </c>
      <c r="G5334" t="s">
        <v>1498</v>
      </c>
    </row>
    <row r="5335" spans="1:7">
      <c r="A5335" t="s">
        <v>6938</v>
      </c>
      <c r="B5335" s="2">
        <v>45973</v>
      </c>
      <c r="C5335" t="s">
        <v>114</v>
      </c>
      <c r="D5335" t="s">
        <v>1629</v>
      </c>
      <c r="E5335">
        <v>274.72000000000003</v>
      </c>
      <c r="F5335" t="s">
        <v>1578</v>
      </c>
      <c r="G5335" t="s">
        <v>1498</v>
      </c>
    </row>
    <row r="5336" spans="1:7">
      <c r="A5336" t="s">
        <v>6939</v>
      </c>
      <c r="B5336" s="2">
        <v>45973</v>
      </c>
      <c r="C5336" t="s">
        <v>117</v>
      </c>
      <c r="D5336" t="s">
        <v>1629</v>
      </c>
      <c r="E5336">
        <v>273.36</v>
      </c>
      <c r="F5336" t="s">
        <v>1578</v>
      </c>
      <c r="G5336" t="s">
        <v>1498</v>
      </c>
    </row>
    <row r="5337" spans="1:7">
      <c r="A5337" t="s">
        <v>6940</v>
      </c>
      <c r="B5337" s="2">
        <v>45973</v>
      </c>
      <c r="C5337" t="s">
        <v>119</v>
      </c>
      <c r="D5337" t="s">
        <v>1629</v>
      </c>
      <c r="E5337">
        <v>274.72000000000003</v>
      </c>
      <c r="F5337" t="s">
        <v>1578</v>
      </c>
      <c r="G5337" t="s">
        <v>1498</v>
      </c>
    </row>
    <row r="5338" spans="1:7">
      <c r="A5338" t="s">
        <v>6941</v>
      </c>
      <c r="B5338" s="2">
        <v>45973</v>
      </c>
      <c r="C5338" t="s">
        <v>104</v>
      </c>
      <c r="D5338" t="s">
        <v>1683</v>
      </c>
      <c r="E5338">
        <v>455</v>
      </c>
      <c r="F5338" t="s">
        <v>1578</v>
      </c>
      <c r="G5338" t="s">
        <v>954</v>
      </c>
    </row>
    <row r="5339" spans="1:7">
      <c r="A5339" t="s">
        <v>6942</v>
      </c>
      <c r="B5339" s="2">
        <v>45973</v>
      </c>
      <c r="C5339" t="s">
        <v>104</v>
      </c>
      <c r="D5339" t="s">
        <v>1683</v>
      </c>
      <c r="E5339">
        <v>210</v>
      </c>
      <c r="F5339" t="s">
        <v>1578</v>
      </c>
      <c r="G5339" t="s">
        <v>955</v>
      </c>
    </row>
    <row r="5340" spans="1:7">
      <c r="A5340" t="s">
        <v>6943</v>
      </c>
      <c r="B5340" s="2">
        <v>45974</v>
      </c>
      <c r="C5340" t="s">
        <v>106</v>
      </c>
      <c r="D5340" t="s">
        <v>1683</v>
      </c>
      <c r="E5340">
        <v>183</v>
      </c>
      <c r="F5340" t="s">
        <v>1578</v>
      </c>
      <c r="G5340" t="s">
        <v>956</v>
      </c>
    </row>
    <row r="5341" spans="1:7">
      <c r="A5341" t="s">
        <v>6944</v>
      </c>
      <c r="B5341" s="2">
        <v>45974</v>
      </c>
      <c r="C5341" t="s">
        <v>89</v>
      </c>
      <c r="D5341" t="s">
        <v>1683</v>
      </c>
      <c r="E5341">
        <v>270</v>
      </c>
      <c r="F5341" t="s">
        <v>1578</v>
      </c>
      <c r="G5341" t="s">
        <v>957</v>
      </c>
    </row>
    <row r="5342" spans="1:7">
      <c r="A5342" t="s">
        <v>6945</v>
      </c>
      <c r="B5342" s="2">
        <v>45975</v>
      </c>
      <c r="C5342" t="s">
        <v>99</v>
      </c>
      <c r="D5342" t="s">
        <v>1683</v>
      </c>
      <c r="E5342">
        <v>229</v>
      </c>
      <c r="F5342" t="s">
        <v>1578</v>
      </c>
      <c r="G5342" t="s">
        <v>959</v>
      </c>
    </row>
    <row r="5343" spans="1:7">
      <c r="A5343" t="s">
        <v>6946</v>
      </c>
      <c r="B5343" s="2">
        <v>45976</v>
      </c>
      <c r="C5343" t="s">
        <v>61</v>
      </c>
      <c r="D5343" t="s">
        <v>1629</v>
      </c>
      <c r="E5343">
        <v>265.2</v>
      </c>
      <c r="F5343" t="s">
        <v>1578</v>
      </c>
      <c r="G5343" t="s">
        <v>1499</v>
      </c>
    </row>
    <row r="5344" spans="1:7">
      <c r="A5344" t="s">
        <v>6947</v>
      </c>
      <c r="B5344" s="2">
        <v>45976</v>
      </c>
      <c r="C5344" t="s">
        <v>65</v>
      </c>
      <c r="D5344" t="s">
        <v>1629</v>
      </c>
      <c r="E5344">
        <v>263.89999999999998</v>
      </c>
      <c r="F5344" t="s">
        <v>1578</v>
      </c>
      <c r="G5344" t="s">
        <v>1499</v>
      </c>
    </row>
    <row r="5345" spans="1:7">
      <c r="A5345" t="s">
        <v>6948</v>
      </c>
      <c r="B5345" s="2">
        <v>45976</v>
      </c>
      <c r="C5345" t="s">
        <v>68</v>
      </c>
      <c r="D5345" t="s">
        <v>1629</v>
      </c>
      <c r="E5345">
        <v>265.2</v>
      </c>
      <c r="F5345" t="s">
        <v>1578</v>
      </c>
      <c r="G5345" t="s">
        <v>1499</v>
      </c>
    </row>
    <row r="5346" spans="1:7">
      <c r="A5346" t="s">
        <v>6949</v>
      </c>
      <c r="B5346" s="2">
        <v>45976</v>
      </c>
      <c r="C5346" t="s">
        <v>70</v>
      </c>
      <c r="D5346" t="s">
        <v>1629</v>
      </c>
      <c r="E5346">
        <v>262.60000000000002</v>
      </c>
      <c r="F5346" t="s">
        <v>1578</v>
      </c>
      <c r="G5346" t="s">
        <v>1499</v>
      </c>
    </row>
    <row r="5347" spans="1:7">
      <c r="A5347" t="s">
        <v>6950</v>
      </c>
      <c r="B5347" s="2">
        <v>45976</v>
      </c>
      <c r="C5347" t="s">
        <v>75</v>
      </c>
      <c r="D5347" t="s">
        <v>1629</v>
      </c>
      <c r="E5347">
        <v>262.60000000000002</v>
      </c>
      <c r="F5347" t="s">
        <v>1578</v>
      </c>
      <c r="G5347" t="s">
        <v>1499</v>
      </c>
    </row>
    <row r="5348" spans="1:7">
      <c r="A5348" t="s">
        <v>6951</v>
      </c>
      <c r="B5348" s="2">
        <v>45976</v>
      </c>
      <c r="C5348" t="s">
        <v>77</v>
      </c>
      <c r="D5348" t="s">
        <v>1629</v>
      </c>
      <c r="E5348">
        <v>262.60000000000002</v>
      </c>
      <c r="F5348" t="s">
        <v>1578</v>
      </c>
      <c r="G5348" t="s">
        <v>1499</v>
      </c>
    </row>
    <row r="5349" spans="1:7">
      <c r="A5349" t="s">
        <v>6952</v>
      </c>
      <c r="B5349" s="2">
        <v>45976</v>
      </c>
      <c r="C5349" t="s">
        <v>79</v>
      </c>
      <c r="D5349" t="s">
        <v>1629</v>
      </c>
      <c r="E5349">
        <v>265.2</v>
      </c>
      <c r="F5349" t="s">
        <v>1578</v>
      </c>
      <c r="G5349" t="s">
        <v>1499</v>
      </c>
    </row>
    <row r="5350" spans="1:7">
      <c r="A5350" t="s">
        <v>6953</v>
      </c>
      <c r="B5350" s="2">
        <v>45976</v>
      </c>
      <c r="C5350" t="s">
        <v>81</v>
      </c>
      <c r="D5350" t="s">
        <v>1629</v>
      </c>
      <c r="E5350">
        <v>525.20000000000005</v>
      </c>
      <c r="F5350" t="s">
        <v>1578</v>
      </c>
      <c r="G5350" t="s">
        <v>1499</v>
      </c>
    </row>
    <row r="5351" spans="1:7">
      <c r="A5351" t="s">
        <v>6954</v>
      </c>
      <c r="B5351" s="2">
        <v>45976</v>
      </c>
      <c r="C5351" t="s">
        <v>110</v>
      </c>
      <c r="D5351" t="s">
        <v>1629</v>
      </c>
      <c r="E5351">
        <v>265.2</v>
      </c>
      <c r="F5351" t="s">
        <v>1578</v>
      </c>
      <c r="G5351" t="s">
        <v>1499</v>
      </c>
    </row>
    <row r="5352" spans="1:7">
      <c r="A5352" t="s">
        <v>6955</v>
      </c>
      <c r="B5352" s="2">
        <v>45976</v>
      </c>
      <c r="C5352" t="s">
        <v>114</v>
      </c>
      <c r="D5352" t="s">
        <v>1629</v>
      </c>
      <c r="E5352">
        <v>262.60000000000002</v>
      </c>
      <c r="F5352" t="s">
        <v>1578</v>
      </c>
      <c r="G5352" t="s">
        <v>1499</v>
      </c>
    </row>
    <row r="5353" spans="1:7">
      <c r="A5353" t="s">
        <v>6956</v>
      </c>
      <c r="B5353" s="2">
        <v>45976</v>
      </c>
      <c r="C5353" t="s">
        <v>117</v>
      </c>
      <c r="D5353" t="s">
        <v>1629</v>
      </c>
      <c r="E5353">
        <v>261.3</v>
      </c>
      <c r="F5353" t="s">
        <v>1578</v>
      </c>
      <c r="G5353" t="s">
        <v>1499</v>
      </c>
    </row>
    <row r="5354" spans="1:7">
      <c r="A5354" t="s">
        <v>6957</v>
      </c>
      <c r="B5354" s="2">
        <v>45976</v>
      </c>
      <c r="C5354" t="s">
        <v>119</v>
      </c>
      <c r="D5354" t="s">
        <v>1629</v>
      </c>
      <c r="E5354">
        <v>262.60000000000002</v>
      </c>
      <c r="F5354" t="s">
        <v>1578</v>
      </c>
      <c r="G5354" t="s">
        <v>1499</v>
      </c>
    </row>
    <row r="5355" spans="1:7">
      <c r="A5355" t="s">
        <v>6958</v>
      </c>
      <c r="B5355" s="2">
        <v>45976</v>
      </c>
      <c r="C5355" t="s">
        <v>61</v>
      </c>
      <c r="D5355" t="s">
        <v>1629</v>
      </c>
      <c r="E5355">
        <v>173.4</v>
      </c>
      <c r="F5355" t="s">
        <v>1578</v>
      </c>
      <c r="G5355" t="s">
        <v>1500</v>
      </c>
    </row>
    <row r="5356" spans="1:7">
      <c r="A5356" t="s">
        <v>6959</v>
      </c>
      <c r="B5356" s="2">
        <v>45976</v>
      </c>
      <c r="C5356" t="s">
        <v>65</v>
      </c>
      <c r="D5356" t="s">
        <v>1629</v>
      </c>
      <c r="E5356">
        <v>172.55</v>
      </c>
      <c r="F5356" t="s">
        <v>1578</v>
      </c>
      <c r="G5356" t="s">
        <v>1500</v>
      </c>
    </row>
    <row r="5357" spans="1:7">
      <c r="A5357" t="s">
        <v>6960</v>
      </c>
      <c r="B5357" s="2">
        <v>45976</v>
      </c>
      <c r="C5357" t="s">
        <v>75</v>
      </c>
      <c r="D5357" t="s">
        <v>1629</v>
      </c>
      <c r="E5357">
        <v>171.7</v>
      </c>
      <c r="F5357" t="s">
        <v>1578</v>
      </c>
      <c r="G5357" t="s">
        <v>1500</v>
      </c>
    </row>
    <row r="5358" spans="1:7">
      <c r="A5358" t="s">
        <v>6961</v>
      </c>
      <c r="B5358" s="2">
        <v>45976</v>
      </c>
      <c r="C5358" t="s">
        <v>79</v>
      </c>
      <c r="D5358" t="s">
        <v>1629</v>
      </c>
      <c r="E5358">
        <v>173.4</v>
      </c>
      <c r="F5358" t="s">
        <v>1578</v>
      </c>
      <c r="G5358" t="s">
        <v>1500</v>
      </c>
    </row>
    <row r="5359" spans="1:7">
      <c r="A5359" t="s">
        <v>6962</v>
      </c>
      <c r="B5359" s="2">
        <v>45976</v>
      </c>
      <c r="C5359" t="s">
        <v>81</v>
      </c>
      <c r="D5359" t="s">
        <v>1629</v>
      </c>
      <c r="E5359">
        <v>343.4</v>
      </c>
      <c r="F5359" t="s">
        <v>1578</v>
      </c>
      <c r="G5359" t="s">
        <v>1500</v>
      </c>
    </row>
    <row r="5360" spans="1:7">
      <c r="A5360" t="s">
        <v>6963</v>
      </c>
      <c r="B5360" s="2">
        <v>45976</v>
      </c>
      <c r="C5360" t="s">
        <v>84</v>
      </c>
      <c r="D5360" t="s">
        <v>1629</v>
      </c>
      <c r="E5360">
        <v>61.28</v>
      </c>
      <c r="F5360" t="s">
        <v>1578</v>
      </c>
      <c r="G5360" t="s">
        <v>1500</v>
      </c>
    </row>
    <row r="5361" spans="1:7">
      <c r="A5361" t="s">
        <v>6964</v>
      </c>
      <c r="B5361" s="2">
        <v>45976</v>
      </c>
      <c r="C5361" t="s">
        <v>89</v>
      </c>
      <c r="D5361" t="s">
        <v>1629</v>
      </c>
      <c r="E5361">
        <v>261.38</v>
      </c>
      <c r="F5361" t="s">
        <v>1578</v>
      </c>
      <c r="G5361" t="s">
        <v>1500</v>
      </c>
    </row>
    <row r="5362" spans="1:7">
      <c r="A5362" t="s">
        <v>6965</v>
      </c>
      <c r="B5362" s="2">
        <v>45976</v>
      </c>
      <c r="C5362" t="s">
        <v>110</v>
      </c>
      <c r="D5362" t="s">
        <v>1629</v>
      </c>
      <c r="E5362">
        <v>173.4</v>
      </c>
      <c r="F5362" t="s">
        <v>1578</v>
      </c>
      <c r="G5362" t="s">
        <v>1500</v>
      </c>
    </row>
    <row r="5363" spans="1:7">
      <c r="A5363" t="s">
        <v>6966</v>
      </c>
      <c r="B5363" s="2">
        <v>45976</v>
      </c>
      <c r="C5363" t="s">
        <v>114</v>
      </c>
      <c r="D5363" t="s">
        <v>1629</v>
      </c>
      <c r="E5363">
        <v>171.7</v>
      </c>
      <c r="F5363" t="s">
        <v>1578</v>
      </c>
      <c r="G5363" t="s">
        <v>1500</v>
      </c>
    </row>
    <row r="5364" spans="1:7">
      <c r="A5364" t="s">
        <v>6967</v>
      </c>
      <c r="B5364" s="2">
        <v>45976</v>
      </c>
      <c r="C5364" t="s">
        <v>117</v>
      </c>
      <c r="D5364" t="s">
        <v>1629</v>
      </c>
      <c r="E5364">
        <v>170.85</v>
      </c>
      <c r="F5364" t="s">
        <v>1578</v>
      </c>
      <c r="G5364" t="s">
        <v>1500</v>
      </c>
    </row>
    <row r="5365" spans="1:7">
      <c r="A5365" t="s">
        <v>6968</v>
      </c>
      <c r="B5365" s="2">
        <v>45976</v>
      </c>
      <c r="C5365" t="s">
        <v>119</v>
      </c>
      <c r="D5365" t="s">
        <v>1629</v>
      </c>
      <c r="E5365">
        <v>171.7</v>
      </c>
      <c r="F5365" t="s">
        <v>1578</v>
      </c>
      <c r="G5365" t="s">
        <v>1500</v>
      </c>
    </row>
    <row r="5366" spans="1:7">
      <c r="A5366" t="s">
        <v>6969</v>
      </c>
      <c r="B5366" s="2">
        <v>45976</v>
      </c>
      <c r="C5366" t="s">
        <v>108</v>
      </c>
      <c r="D5366" t="s">
        <v>1683</v>
      </c>
      <c r="E5366">
        <v>149</v>
      </c>
      <c r="F5366" t="s">
        <v>1578</v>
      </c>
      <c r="G5366" t="s">
        <v>960</v>
      </c>
    </row>
    <row r="5367" spans="1:7">
      <c r="A5367" t="s">
        <v>6970</v>
      </c>
      <c r="B5367" s="2">
        <v>45977</v>
      </c>
      <c r="C5367" t="s">
        <v>61</v>
      </c>
      <c r="D5367" t="s">
        <v>1629</v>
      </c>
      <c r="E5367">
        <v>105.06</v>
      </c>
      <c r="F5367" t="s">
        <v>1578</v>
      </c>
      <c r="G5367" t="s">
        <v>1501</v>
      </c>
    </row>
    <row r="5368" spans="1:7">
      <c r="A5368" t="s">
        <v>6971</v>
      </c>
      <c r="B5368" s="2">
        <v>45977</v>
      </c>
      <c r="C5368" t="s">
        <v>65</v>
      </c>
      <c r="D5368" t="s">
        <v>1629</v>
      </c>
      <c r="E5368">
        <v>104.54</v>
      </c>
      <c r="F5368" t="s">
        <v>1578</v>
      </c>
      <c r="G5368" t="s">
        <v>1501</v>
      </c>
    </row>
    <row r="5369" spans="1:7">
      <c r="A5369" t="s">
        <v>6972</v>
      </c>
      <c r="B5369" s="2">
        <v>45977</v>
      </c>
      <c r="C5369" t="s">
        <v>75</v>
      </c>
      <c r="D5369" t="s">
        <v>1629</v>
      </c>
      <c r="E5369">
        <v>104.03</v>
      </c>
      <c r="F5369" t="s">
        <v>1578</v>
      </c>
      <c r="G5369" t="s">
        <v>1501</v>
      </c>
    </row>
    <row r="5370" spans="1:7">
      <c r="A5370" t="s">
        <v>6973</v>
      </c>
      <c r="B5370" s="2">
        <v>45977</v>
      </c>
      <c r="C5370" t="s">
        <v>79</v>
      </c>
      <c r="D5370" t="s">
        <v>1629</v>
      </c>
      <c r="E5370">
        <v>105.06</v>
      </c>
      <c r="F5370" t="s">
        <v>1578</v>
      </c>
      <c r="G5370" t="s">
        <v>1501</v>
      </c>
    </row>
    <row r="5371" spans="1:7">
      <c r="A5371" t="s">
        <v>6974</v>
      </c>
      <c r="B5371" s="2">
        <v>45977</v>
      </c>
      <c r="C5371" t="s">
        <v>81</v>
      </c>
      <c r="D5371" t="s">
        <v>1629</v>
      </c>
      <c r="E5371">
        <v>208.06</v>
      </c>
      <c r="F5371" t="s">
        <v>1578</v>
      </c>
      <c r="G5371" t="s">
        <v>1501</v>
      </c>
    </row>
    <row r="5372" spans="1:7">
      <c r="A5372" t="s">
        <v>6975</v>
      </c>
      <c r="B5372" s="2">
        <v>45977</v>
      </c>
      <c r="C5372" t="s">
        <v>84</v>
      </c>
      <c r="D5372" t="s">
        <v>1629</v>
      </c>
      <c r="E5372">
        <v>37.130000000000003</v>
      </c>
      <c r="F5372" t="s">
        <v>1578</v>
      </c>
      <c r="G5372" t="s">
        <v>1501</v>
      </c>
    </row>
    <row r="5373" spans="1:7">
      <c r="A5373" t="s">
        <v>6976</v>
      </c>
      <c r="B5373" s="2">
        <v>45977</v>
      </c>
      <c r="C5373" t="s">
        <v>89</v>
      </c>
      <c r="D5373" t="s">
        <v>1629</v>
      </c>
      <c r="E5373">
        <v>158.36000000000001</v>
      </c>
      <c r="F5373" t="s">
        <v>1578</v>
      </c>
      <c r="G5373" t="s">
        <v>1501</v>
      </c>
    </row>
    <row r="5374" spans="1:7">
      <c r="A5374" t="s">
        <v>6977</v>
      </c>
      <c r="B5374" s="2">
        <v>45977</v>
      </c>
      <c r="C5374" t="s">
        <v>110</v>
      </c>
      <c r="D5374" t="s">
        <v>1629</v>
      </c>
      <c r="E5374">
        <v>105.06</v>
      </c>
      <c r="F5374" t="s">
        <v>1578</v>
      </c>
      <c r="G5374" t="s">
        <v>1501</v>
      </c>
    </row>
    <row r="5375" spans="1:7">
      <c r="A5375" t="s">
        <v>6978</v>
      </c>
      <c r="B5375" s="2">
        <v>45977</v>
      </c>
      <c r="C5375" t="s">
        <v>114</v>
      </c>
      <c r="D5375" t="s">
        <v>1629</v>
      </c>
      <c r="E5375">
        <v>104.03</v>
      </c>
      <c r="F5375" t="s">
        <v>1578</v>
      </c>
      <c r="G5375" t="s">
        <v>1501</v>
      </c>
    </row>
    <row r="5376" spans="1:7">
      <c r="A5376" t="s">
        <v>6979</v>
      </c>
      <c r="B5376" s="2">
        <v>45977</v>
      </c>
      <c r="C5376" t="s">
        <v>117</v>
      </c>
      <c r="D5376" t="s">
        <v>1629</v>
      </c>
      <c r="E5376">
        <v>103.51</v>
      </c>
      <c r="F5376" t="s">
        <v>1578</v>
      </c>
      <c r="G5376" t="s">
        <v>1501</v>
      </c>
    </row>
    <row r="5377" spans="1:7">
      <c r="A5377" t="s">
        <v>6980</v>
      </c>
      <c r="B5377" s="2">
        <v>45977</v>
      </c>
      <c r="C5377" t="s">
        <v>119</v>
      </c>
      <c r="D5377" t="s">
        <v>1629</v>
      </c>
      <c r="E5377">
        <v>104.03</v>
      </c>
      <c r="F5377" t="s">
        <v>1578</v>
      </c>
      <c r="G5377" t="s">
        <v>1501</v>
      </c>
    </row>
    <row r="5378" spans="1:7">
      <c r="A5378" t="s">
        <v>6981</v>
      </c>
      <c r="B5378" s="2">
        <v>45977</v>
      </c>
      <c r="C5378" t="s">
        <v>81</v>
      </c>
      <c r="D5378" t="s">
        <v>1683</v>
      </c>
      <c r="E5378">
        <v>64</v>
      </c>
      <c r="F5378" t="s">
        <v>1578</v>
      </c>
      <c r="G5378" t="s">
        <v>962</v>
      </c>
    </row>
    <row r="5379" spans="1:7">
      <c r="A5379" t="s">
        <v>6982</v>
      </c>
      <c r="B5379" s="2">
        <v>45977</v>
      </c>
      <c r="C5379" t="s">
        <v>117</v>
      </c>
      <c r="D5379" t="s">
        <v>1683</v>
      </c>
      <c r="E5379">
        <v>79</v>
      </c>
      <c r="F5379" t="s">
        <v>1578</v>
      </c>
      <c r="G5379" t="s">
        <v>963</v>
      </c>
    </row>
    <row r="5380" spans="1:7">
      <c r="A5380" t="s">
        <v>6983</v>
      </c>
      <c r="B5380" s="2">
        <v>45978</v>
      </c>
      <c r="C5380" t="s">
        <v>75</v>
      </c>
      <c r="D5380" t="s">
        <v>1629</v>
      </c>
      <c r="E5380">
        <v>247.45</v>
      </c>
      <c r="F5380" t="s">
        <v>1578</v>
      </c>
      <c r="G5380" t="s">
        <v>1502</v>
      </c>
    </row>
    <row r="5381" spans="1:7">
      <c r="A5381" t="s">
        <v>6984</v>
      </c>
      <c r="B5381" s="2">
        <v>45978</v>
      </c>
      <c r="C5381" t="s">
        <v>104</v>
      </c>
      <c r="D5381" t="s">
        <v>1629</v>
      </c>
      <c r="E5381">
        <v>504.7</v>
      </c>
      <c r="F5381" t="s">
        <v>1578</v>
      </c>
      <c r="G5381" t="s">
        <v>1502</v>
      </c>
    </row>
    <row r="5382" spans="1:7">
      <c r="A5382" t="s">
        <v>6985</v>
      </c>
      <c r="B5382" s="2">
        <v>45978</v>
      </c>
      <c r="C5382" t="s">
        <v>108</v>
      </c>
      <c r="D5382" t="s">
        <v>1629</v>
      </c>
      <c r="E5382">
        <v>497.35</v>
      </c>
      <c r="F5382" t="s">
        <v>1578</v>
      </c>
      <c r="G5382" t="s">
        <v>1502</v>
      </c>
    </row>
    <row r="5383" spans="1:7">
      <c r="A5383" t="s">
        <v>6986</v>
      </c>
      <c r="B5383" s="2">
        <v>45978</v>
      </c>
      <c r="C5383" t="s">
        <v>110</v>
      </c>
      <c r="D5383" t="s">
        <v>1629</v>
      </c>
      <c r="E5383">
        <v>249.9</v>
      </c>
      <c r="F5383" t="s">
        <v>1578</v>
      </c>
      <c r="G5383" t="s">
        <v>1502</v>
      </c>
    </row>
    <row r="5384" spans="1:7">
      <c r="A5384" t="s">
        <v>6987</v>
      </c>
      <c r="B5384" s="2">
        <v>45978</v>
      </c>
      <c r="C5384" t="s">
        <v>114</v>
      </c>
      <c r="D5384" t="s">
        <v>1629</v>
      </c>
      <c r="E5384">
        <v>247.45</v>
      </c>
      <c r="F5384" t="s">
        <v>1578</v>
      </c>
      <c r="G5384" t="s">
        <v>1502</v>
      </c>
    </row>
    <row r="5385" spans="1:7">
      <c r="A5385" t="s">
        <v>6988</v>
      </c>
      <c r="B5385" s="2">
        <v>45978</v>
      </c>
      <c r="C5385" t="s">
        <v>117</v>
      </c>
      <c r="D5385" t="s">
        <v>1629</v>
      </c>
      <c r="E5385">
        <v>246.22</v>
      </c>
      <c r="F5385" t="s">
        <v>1578</v>
      </c>
      <c r="G5385" t="s">
        <v>1502</v>
      </c>
    </row>
    <row r="5386" spans="1:7">
      <c r="A5386" t="s">
        <v>6989</v>
      </c>
      <c r="B5386" s="2">
        <v>45978</v>
      </c>
      <c r="C5386" t="s">
        <v>119</v>
      </c>
      <c r="D5386" t="s">
        <v>1629</v>
      </c>
      <c r="E5386">
        <v>247.45</v>
      </c>
      <c r="F5386" t="s">
        <v>1578</v>
      </c>
      <c r="G5386" t="s">
        <v>1502</v>
      </c>
    </row>
    <row r="5387" spans="1:7">
      <c r="A5387" t="s">
        <v>6990</v>
      </c>
      <c r="B5387" s="2">
        <v>45978</v>
      </c>
      <c r="C5387" t="s">
        <v>81</v>
      </c>
      <c r="D5387" t="s">
        <v>1683</v>
      </c>
      <c r="E5387">
        <v>275</v>
      </c>
      <c r="F5387" t="s">
        <v>1578</v>
      </c>
      <c r="G5387" t="s">
        <v>964</v>
      </c>
    </row>
    <row r="5388" spans="1:7">
      <c r="A5388" t="s">
        <v>6991</v>
      </c>
      <c r="B5388" s="2">
        <v>45978</v>
      </c>
      <c r="C5388" t="s">
        <v>117</v>
      </c>
      <c r="D5388" t="s">
        <v>1683</v>
      </c>
      <c r="E5388">
        <v>617</v>
      </c>
      <c r="F5388" t="s">
        <v>1578</v>
      </c>
      <c r="G5388" t="s">
        <v>965</v>
      </c>
    </row>
    <row r="5389" spans="1:7">
      <c r="A5389" t="s">
        <v>6992</v>
      </c>
      <c r="B5389" s="2">
        <v>45979</v>
      </c>
      <c r="C5389" t="s">
        <v>61</v>
      </c>
      <c r="D5389" t="s">
        <v>1629</v>
      </c>
      <c r="E5389">
        <v>197.88</v>
      </c>
      <c r="F5389" t="s">
        <v>1578</v>
      </c>
      <c r="G5389" t="s">
        <v>1503</v>
      </c>
    </row>
    <row r="5390" spans="1:7">
      <c r="A5390" t="s">
        <v>6993</v>
      </c>
      <c r="B5390" s="2">
        <v>45979</v>
      </c>
      <c r="C5390" t="s">
        <v>65</v>
      </c>
      <c r="D5390" t="s">
        <v>1629</v>
      </c>
      <c r="E5390">
        <v>196.91</v>
      </c>
      <c r="F5390" t="s">
        <v>1578</v>
      </c>
      <c r="G5390" t="s">
        <v>1503</v>
      </c>
    </row>
    <row r="5391" spans="1:7">
      <c r="A5391" t="s">
        <v>6994</v>
      </c>
      <c r="B5391" s="2">
        <v>45979</v>
      </c>
      <c r="C5391" t="s">
        <v>68</v>
      </c>
      <c r="D5391" t="s">
        <v>1629</v>
      </c>
      <c r="E5391">
        <v>197.88</v>
      </c>
      <c r="F5391" t="s">
        <v>1578</v>
      </c>
      <c r="G5391" t="s">
        <v>1503</v>
      </c>
    </row>
    <row r="5392" spans="1:7">
      <c r="A5392" t="s">
        <v>6995</v>
      </c>
      <c r="B5392" s="2">
        <v>45979</v>
      </c>
      <c r="C5392" t="s">
        <v>75</v>
      </c>
      <c r="D5392" t="s">
        <v>1629</v>
      </c>
      <c r="E5392">
        <v>195.94</v>
      </c>
      <c r="F5392" t="s">
        <v>1578</v>
      </c>
      <c r="G5392" t="s">
        <v>1503</v>
      </c>
    </row>
    <row r="5393" spans="1:7">
      <c r="A5393" t="s">
        <v>6996</v>
      </c>
      <c r="B5393" s="2">
        <v>45979</v>
      </c>
      <c r="C5393" t="s">
        <v>79</v>
      </c>
      <c r="D5393" t="s">
        <v>1629</v>
      </c>
      <c r="E5393">
        <v>197.88</v>
      </c>
      <c r="F5393" t="s">
        <v>1578</v>
      </c>
      <c r="G5393" t="s">
        <v>1503</v>
      </c>
    </row>
    <row r="5394" spans="1:7">
      <c r="A5394" t="s">
        <v>6997</v>
      </c>
      <c r="B5394" s="2">
        <v>45979</v>
      </c>
      <c r="C5394" t="s">
        <v>81</v>
      </c>
      <c r="D5394" t="s">
        <v>1629</v>
      </c>
      <c r="E5394">
        <v>391.88</v>
      </c>
      <c r="F5394" t="s">
        <v>1578</v>
      </c>
      <c r="G5394" t="s">
        <v>1503</v>
      </c>
    </row>
    <row r="5395" spans="1:7">
      <c r="A5395" t="s">
        <v>6998</v>
      </c>
      <c r="B5395" s="2">
        <v>45979</v>
      </c>
      <c r="C5395" t="s">
        <v>97</v>
      </c>
      <c r="D5395" t="s">
        <v>1629</v>
      </c>
      <c r="E5395">
        <v>197.88</v>
      </c>
      <c r="F5395" t="s">
        <v>1578</v>
      </c>
      <c r="G5395" t="s">
        <v>1503</v>
      </c>
    </row>
    <row r="5396" spans="1:7">
      <c r="A5396" t="s">
        <v>6999</v>
      </c>
      <c r="B5396" s="2">
        <v>45979</v>
      </c>
      <c r="C5396" t="s">
        <v>110</v>
      </c>
      <c r="D5396" t="s">
        <v>1629</v>
      </c>
      <c r="E5396">
        <v>197.88</v>
      </c>
      <c r="F5396" t="s">
        <v>1578</v>
      </c>
      <c r="G5396" t="s">
        <v>1503</v>
      </c>
    </row>
    <row r="5397" spans="1:7">
      <c r="A5397" t="s">
        <v>7000</v>
      </c>
      <c r="B5397" s="2">
        <v>45979</v>
      </c>
      <c r="C5397" t="s">
        <v>114</v>
      </c>
      <c r="D5397" t="s">
        <v>1629</v>
      </c>
      <c r="E5397">
        <v>195.94</v>
      </c>
      <c r="F5397" t="s">
        <v>1578</v>
      </c>
      <c r="G5397" t="s">
        <v>1503</v>
      </c>
    </row>
    <row r="5398" spans="1:7">
      <c r="A5398" t="s">
        <v>7001</v>
      </c>
      <c r="B5398" s="2">
        <v>45979</v>
      </c>
      <c r="C5398" t="s">
        <v>117</v>
      </c>
      <c r="D5398" t="s">
        <v>1629</v>
      </c>
      <c r="E5398">
        <v>194.97</v>
      </c>
      <c r="F5398" t="s">
        <v>1578</v>
      </c>
      <c r="G5398" t="s">
        <v>1503</v>
      </c>
    </row>
    <row r="5399" spans="1:7">
      <c r="A5399" t="s">
        <v>7002</v>
      </c>
      <c r="B5399" s="2">
        <v>45979</v>
      </c>
      <c r="C5399" t="s">
        <v>119</v>
      </c>
      <c r="D5399" t="s">
        <v>1629</v>
      </c>
      <c r="E5399">
        <v>195.94</v>
      </c>
      <c r="F5399" t="s">
        <v>1578</v>
      </c>
      <c r="G5399" t="s">
        <v>1503</v>
      </c>
    </row>
    <row r="5400" spans="1:7">
      <c r="A5400" t="s">
        <v>7003</v>
      </c>
      <c r="B5400" s="2">
        <v>45979</v>
      </c>
      <c r="C5400" t="s">
        <v>61</v>
      </c>
      <c r="D5400" t="s">
        <v>1629</v>
      </c>
      <c r="E5400">
        <v>206.04</v>
      </c>
      <c r="F5400" t="s">
        <v>1578</v>
      </c>
      <c r="G5400" t="s">
        <v>1504</v>
      </c>
    </row>
    <row r="5401" spans="1:7">
      <c r="A5401" t="s">
        <v>7004</v>
      </c>
      <c r="B5401" s="2">
        <v>45979</v>
      </c>
      <c r="C5401" t="s">
        <v>65</v>
      </c>
      <c r="D5401" t="s">
        <v>1629</v>
      </c>
      <c r="E5401">
        <v>205.03</v>
      </c>
      <c r="F5401" t="s">
        <v>1578</v>
      </c>
      <c r="G5401" t="s">
        <v>1504</v>
      </c>
    </row>
    <row r="5402" spans="1:7">
      <c r="A5402" t="s">
        <v>7005</v>
      </c>
      <c r="B5402" s="2">
        <v>45979</v>
      </c>
      <c r="C5402" t="s">
        <v>68</v>
      </c>
      <c r="D5402" t="s">
        <v>1629</v>
      </c>
      <c r="E5402">
        <v>206.04</v>
      </c>
      <c r="F5402" t="s">
        <v>1578</v>
      </c>
      <c r="G5402" t="s">
        <v>1504</v>
      </c>
    </row>
    <row r="5403" spans="1:7">
      <c r="A5403" t="s">
        <v>7006</v>
      </c>
      <c r="B5403" s="2">
        <v>45979</v>
      </c>
      <c r="C5403" t="s">
        <v>75</v>
      </c>
      <c r="D5403" t="s">
        <v>1629</v>
      </c>
      <c r="E5403">
        <v>204.02</v>
      </c>
      <c r="F5403" t="s">
        <v>1578</v>
      </c>
      <c r="G5403" t="s">
        <v>1504</v>
      </c>
    </row>
    <row r="5404" spans="1:7">
      <c r="A5404" t="s">
        <v>7007</v>
      </c>
      <c r="B5404" s="2">
        <v>45979</v>
      </c>
      <c r="C5404" t="s">
        <v>79</v>
      </c>
      <c r="D5404" t="s">
        <v>1629</v>
      </c>
      <c r="E5404">
        <v>206.04</v>
      </c>
      <c r="F5404" t="s">
        <v>1578</v>
      </c>
      <c r="G5404" t="s">
        <v>1504</v>
      </c>
    </row>
    <row r="5405" spans="1:7">
      <c r="A5405" t="s">
        <v>7008</v>
      </c>
      <c r="B5405" s="2">
        <v>45979</v>
      </c>
      <c r="C5405" t="s">
        <v>81</v>
      </c>
      <c r="D5405" t="s">
        <v>1629</v>
      </c>
      <c r="E5405">
        <v>408.04</v>
      </c>
      <c r="F5405" t="s">
        <v>1578</v>
      </c>
      <c r="G5405" t="s">
        <v>1504</v>
      </c>
    </row>
    <row r="5406" spans="1:7">
      <c r="A5406" t="s">
        <v>7009</v>
      </c>
      <c r="B5406" s="2">
        <v>45979</v>
      </c>
      <c r="C5406" t="s">
        <v>110</v>
      </c>
      <c r="D5406" t="s">
        <v>1629</v>
      </c>
      <c r="E5406">
        <v>206.04</v>
      </c>
      <c r="F5406" t="s">
        <v>1578</v>
      </c>
      <c r="G5406" t="s">
        <v>1504</v>
      </c>
    </row>
    <row r="5407" spans="1:7">
      <c r="A5407" t="s">
        <v>7010</v>
      </c>
      <c r="B5407" s="2">
        <v>45979</v>
      </c>
      <c r="C5407" t="s">
        <v>114</v>
      </c>
      <c r="D5407" t="s">
        <v>1629</v>
      </c>
      <c r="E5407">
        <v>204.02</v>
      </c>
      <c r="F5407" t="s">
        <v>1578</v>
      </c>
      <c r="G5407" t="s">
        <v>1504</v>
      </c>
    </row>
    <row r="5408" spans="1:7">
      <c r="A5408" t="s">
        <v>7011</v>
      </c>
      <c r="B5408" s="2">
        <v>45979</v>
      </c>
      <c r="C5408" t="s">
        <v>117</v>
      </c>
      <c r="D5408" t="s">
        <v>1629</v>
      </c>
      <c r="E5408">
        <v>203.01</v>
      </c>
      <c r="F5408" t="s">
        <v>1578</v>
      </c>
      <c r="G5408" t="s">
        <v>1504</v>
      </c>
    </row>
    <row r="5409" spans="1:7">
      <c r="A5409" t="s">
        <v>7012</v>
      </c>
      <c r="B5409" s="2">
        <v>45979</v>
      </c>
      <c r="C5409" t="s">
        <v>119</v>
      </c>
      <c r="D5409" t="s">
        <v>1629</v>
      </c>
      <c r="E5409">
        <v>204.02</v>
      </c>
      <c r="F5409" t="s">
        <v>1578</v>
      </c>
      <c r="G5409" t="s">
        <v>1504</v>
      </c>
    </row>
    <row r="5410" spans="1:7">
      <c r="A5410" t="s">
        <v>7013</v>
      </c>
      <c r="B5410" s="2">
        <v>45979</v>
      </c>
      <c r="C5410" t="s">
        <v>89</v>
      </c>
      <c r="D5410" t="s">
        <v>1683</v>
      </c>
      <c r="E5410">
        <v>247</v>
      </c>
      <c r="F5410" t="s">
        <v>1578</v>
      </c>
      <c r="G5410" t="s">
        <v>966</v>
      </c>
    </row>
    <row r="5411" spans="1:7">
      <c r="A5411" t="s">
        <v>7014</v>
      </c>
      <c r="B5411" s="2">
        <v>45980</v>
      </c>
      <c r="C5411" t="s">
        <v>61</v>
      </c>
      <c r="D5411" t="s">
        <v>1629</v>
      </c>
      <c r="E5411">
        <v>157.08000000000001</v>
      </c>
      <c r="F5411" t="s">
        <v>1578</v>
      </c>
      <c r="G5411" t="s">
        <v>1505</v>
      </c>
    </row>
    <row r="5412" spans="1:7">
      <c r="A5412" t="s">
        <v>7015</v>
      </c>
      <c r="B5412" s="2">
        <v>45980</v>
      </c>
      <c r="C5412" t="s">
        <v>65</v>
      </c>
      <c r="D5412" t="s">
        <v>1629</v>
      </c>
      <c r="E5412">
        <v>156.31</v>
      </c>
      <c r="F5412" t="s">
        <v>1578</v>
      </c>
      <c r="G5412" t="s">
        <v>1505</v>
      </c>
    </row>
    <row r="5413" spans="1:7">
      <c r="A5413" t="s">
        <v>7016</v>
      </c>
      <c r="B5413" s="2">
        <v>45980</v>
      </c>
      <c r="C5413" t="s">
        <v>68</v>
      </c>
      <c r="D5413" t="s">
        <v>1629</v>
      </c>
      <c r="E5413">
        <v>157.08000000000001</v>
      </c>
      <c r="F5413" t="s">
        <v>1578</v>
      </c>
      <c r="G5413" t="s">
        <v>1505</v>
      </c>
    </row>
    <row r="5414" spans="1:7">
      <c r="A5414" t="s">
        <v>7017</v>
      </c>
      <c r="B5414" s="2">
        <v>45980</v>
      </c>
      <c r="C5414" t="s">
        <v>70</v>
      </c>
      <c r="D5414" t="s">
        <v>1629</v>
      </c>
      <c r="E5414">
        <v>155.54</v>
      </c>
      <c r="F5414" t="s">
        <v>1578</v>
      </c>
      <c r="G5414" t="s">
        <v>1505</v>
      </c>
    </row>
    <row r="5415" spans="1:7">
      <c r="A5415" t="s">
        <v>7018</v>
      </c>
      <c r="B5415" s="2">
        <v>45980</v>
      </c>
      <c r="C5415" t="s">
        <v>75</v>
      </c>
      <c r="D5415" t="s">
        <v>1629</v>
      </c>
      <c r="E5415">
        <v>155.54</v>
      </c>
      <c r="F5415" t="s">
        <v>1578</v>
      </c>
      <c r="G5415" t="s">
        <v>1505</v>
      </c>
    </row>
    <row r="5416" spans="1:7">
      <c r="A5416" t="s">
        <v>7019</v>
      </c>
      <c r="B5416" s="2">
        <v>45980</v>
      </c>
      <c r="C5416" t="s">
        <v>77</v>
      </c>
      <c r="D5416" t="s">
        <v>1629</v>
      </c>
      <c r="E5416">
        <v>155.54</v>
      </c>
      <c r="F5416" t="s">
        <v>1578</v>
      </c>
      <c r="G5416" t="s">
        <v>1505</v>
      </c>
    </row>
    <row r="5417" spans="1:7">
      <c r="A5417" t="s">
        <v>7020</v>
      </c>
      <c r="B5417" s="2">
        <v>45980</v>
      </c>
      <c r="C5417" t="s">
        <v>79</v>
      </c>
      <c r="D5417" t="s">
        <v>1629</v>
      </c>
      <c r="E5417">
        <v>157.08000000000001</v>
      </c>
      <c r="F5417" t="s">
        <v>1578</v>
      </c>
      <c r="G5417" t="s">
        <v>1505</v>
      </c>
    </row>
    <row r="5418" spans="1:7">
      <c r="A5418" t="s">
        <v>7021</v>
      </c>
      <c r="B5418" s="2">
        <v>45980</v>
      </c>
      <c r="C5418" t="s">
        <v>81</v>
      </c>
      <c r="D5418" t="s">
        <v>1629</v>
      </c>
      <c r="E5418">
        <v>311.08</v>
      </c>
      <c r="F5418" t="s">
        <v>1578</v>
      </c>
      <c r="G5418" t="s">
        <v>1505</v>
      </c>
    </row>
    <row r="5419" spans="1:7">
      <c r="A5419" t="s">
        <v>7022</v>
      </c>
      <c r="B5419" s="2">
        <v>45980</v>
      </c>
      <c r="C5419" t="s">
        <v>108</v>
      </c>
      <c r="D5419" t="s">
        <v>1629</v>
      </c>
      <c r="E5419">
        <v>312.62</v>
      </c>
      <c r="F5419" t="s">
        <v>1578</v>
      </c>
      <c r="G5419" t="s">
        <v>1505</v>
      </c>
    </row>
    <row r="5420" spans="1:7">
      <c r="A5420" t="s">
        <v>7023</v>
      </c>
      <c r="B5420" s="2">
        <v>45980</v>
      </c>
      <c r="C5420" t="s">
        <v>110</v>
      </c>
      <c r="D5420" t="s">
        <v>1629</v>
      </c>
      <c r="E5420">
        <v>157.08000000000001</v>
      </c>
      <c r="F5420" t="s">
        <v>1578</v>
      </c>
      <c r="G5420" t="s">
        <v>1505</v>
      </c>
    </row>
    <row r="5421" spans="1:7">
      <c r="A5421" t="s">
        <v>7024</v>
      </c>
      <c r="B5421" s="2">
        <v>45980</v>
      </c>
      <c r="C5421" t="s">
        <v>114</v>
      </c>
      <c r="D5421" t="s">
        <v>1629</v>
      </c>
      <c r="E5421">
        <v>155.54</v>
      </c>
      <c r="F5421" t="s">
        <v>1578</v>
      </c>
      <c r="G5421" t="s">
        <v>1505</v>
      </c>
    </row>
    <row r="5422" spans="1:7">
      <c r="A5422" t="s">
        <v>7025</v>
      </c>
      <c r="B5422" s="2">
        <v>45980</v>
      </c>
      <c r="C5422" t="s">
        <v>117</v>
      </c>
      <c r="D5422" t="s">
        <v>1629</v>
      </c>
      <c r="E5422">
        <v>154.77000000000001</v>
      </c>
      <c r="F5422" t="s">
        <v>1578</v>
      </c>
      <c r="G5422" t="s">
        <v>1505</v>
      </c>
    </row>
    <row r="5423" spans="1:7">
      <c r="A5423" t="s">
        <v>7026</v>
      </c>
      <c r="B5423" s="2">
        <v>45980</v>
      </c>
      <c r="C5423" t="s">
        <v>119</v>
      </c>
      <c r="D5423" t="s">
        <v>1629</v>
      </c>
      <c r="E5423">
        <v>155.54</v>
      </c>
      <c r="F5423" t="s">
        <v>1578</v>
      </c>
      <c r="G5423" t="s">
        <v>1505</v>
      </c>
    </row>
    <row r="5424" spans="1:7">
      <c r="A5424" t="s">
        <v>7027</v>
      </c>
      <c r="B5424" s="2">
        <v>45980</v>
      </c>
      <c r="C5424" t="s">
        <v>61</v>
      </c>
      <c r="D5424" t="s">
        <v>1629</v>
      </c>
      <c r="E5424">
        <v>291.72000000000003</v>
      </c>
      <c r="F5424" t="s">
        <v>1578</v>
      </c>
      <c r="G5424" t="s">
        <v>1506</v>
      </c>
    </row>
    <row r="5425" spans="1:7">
      <c r="A5425" t="s">
        <v>7028</v>
      </c>
      <c r="B5425" s="2">
        <v>45980</v>
      </c>
      <c r="C5425" t="s">
        <v>65</v>
      </c>
      <c r="D5425" t="s">
        <v>1629</v>
      </c>
      <c r="E5425">
        <v>290.29000000000002</v>
      </c>
      <c r="F5425" t="s">
        <v>1578</v>
      </c>
      <c r="G5425" t="s">
        <v>1506</v>
      </c>
    </row>
    <row r="5426" spans="1:7">
      <c r="A5426" t="s">
        <v>7029</v>
      </c>
      <c r="B5426" s="2">
        <v>45980</v>
      </c>
      <c r="C5426" t="s">
        <v>68</v>
      </c>
      <c r="D5426" t="s">
        <v>1629</v>
      </c>
      <c r="E5426">
        <v>291.72000000000003</v>
      </c>
      <c r="F5426" t="s">
        <v>1578</v>
      </c>
      <c r="G5426" t="s">
        <v>1506</v>
      </c>
    </row>
    <row r="5427" spans="1:7">
      <c r="A5427" t="s">
        <v>7030</v>
      </c>
      <c r="B5427" s="2">
        <v>45980</v>
      </c>
      <c r="C5427" t="s">
        <v>70</v>
      </c>
      <c r="D5427" t="s">
        <v>1629</v>
      </c>
      <c r="E5427">
        <v>288.86</v>
      </c>
      <c r="F5427" t="s">
        <v>1578</v>
      </c>
      <c r="G5427" t="s">
        <v>1506</v>
      </c>
    </row>
    <row r="5428" spans="1:7">
      <c r="A5428" t="s">
        <v>7031</v>
      </c>
      <c r="B5428" s="2">
        <v>45980</v>
      </c>
      <c r="C5428" t="s">
        <v>73</v>
      </c>
      <c r="D5428" t="s">
        <v>1629</v>
      </c>
      <c r="E5428">
        <v>291.72000000000003</v>
      </c>
      <c r="F5428" t="s">
        <v>1578</v>
      </c>
      <c r="G5428" t="s">
        <v>1506</v>
      </c>
    </row>
    <row r="5429" spans="1:7">
      <c r="A5429" t="s">
        <v>7032</v>
      </c>
      <c r="B5429" s="2">
        <v>45980</v>
      </c>
      <c r="C5429" t="s">
        <v>75</v>
      </c>
      <c r="D5429" t="s">
        <v>1629</v>
      </c>
      <c r="E5429">
        <v>288.86</v>
      </c>
      <c r="F5429" t="s">
        <v>1578</v>
      </c>
      <c r="G5429" t="s">
        <v>1506</v>
      </c>
    </row>
    <row r="5430" spans="1:7">
      <c r="A5430" t="s">
        <v>7033</v>
      </c>
      <c r="B5430" s="2">
        <v>45980</v>
      </c>
      <c r="C5430" t="s">
        <v>77</v>
      </c>
      <c r="D5430" t="s">
        <v>1629</v>
      </c>
      <c r="E5430">
        <v>288.86</v>
      </c>
      <c r="F5430" t="s">
        <v>1578</v>
      </c>
      <c r="G5430" t="s">
        <v>1506</v>
      </c>
    </row>
    <row r="5431" spans="1:7">
      <c r="A5431" t="s">
        <v>7034</v>
      </c>
      <c r="B5431" s="2">
        <v>45980</v>
      </c>
      <c r="C5431" t="s">
        <v>79</v>
      </c>
      <c r="D5431" t="s">
        <v>1629</v>
      </c>
      <c r="E5431">
        <v>291.72000000000003</v>
      </c>
      <c r="F5431" t="s">
        <v>1578</v>
      </c>
      <c r="G5431" t="s">
        <v>1506</v>
      </c>
    </row>
    <row r="5432" spans="1:7">
      <c r="A5432" t="s">
        <v>7035</v>
      </c>
      <c r="B5432" s="2">
        <v>45980</v>
      </c>
      <c r="C5432" t="s">
        <v>81</v>
      </c>
      <c r="D5432" t="s">
        <v>1629</v>
      </c>
      <c r="E5432">
        <v>577.72</v>
      </c>
      <c r="F5432" t="s">
        <v>1578</v>
      </c>
      <c r="G5432" t="s">
        <v>1506</v>
      </c>
    </row>
    <row r="5433" spans="1:7">
      <c r="A5433" t="s">
        <v>7036</v>
      </c>
      <c r="B5433" s="2">
        <v>45980</v>
      </c>
      <c r="C5433" t="s">
        <v>108</v>
      </c>
      <c r="D5433" t="s">
        <v>1629</v>
      </c>
      <c r="E5433">
        <v>580.58000000000004</v>
      </c>
      <c r="F5433" t="s">
        <v>1578</v>
      </c>
      <c r="G5433" t="s">
        <v>1506</v>
      </c>
    </row>
    <row r="5434" spans="1:7">
      <c r="A5434" t="s">
        <v>7037</v>
      </c>
      <c r="B5434" s="2">
        <v>45980</v>
      </c>
      <c r="C5434" t="s">
        <v>110</v>
      </c>
      <c r="D5434" t="s">
        <v>1629</v>
      </c>
      <c r="E5434">
        <v>291.72000000000003</v>
      </c>
      <c r="F5434" t="s">
        <v>1578</v>
      </c>
      <c r="G5434" t="s">
        <v>1506</v>
      </c>
    </row>
    <row r="5435" spans="1:7">
      <c r="A5435" t="s">
        <v>7038</v>
      </c>
      <c r="B5435" s="2">
        <v>45980</v>
      </c>
      <c r="C5435" t="s">
        <v>114</v>
      </c>
      <c r="D5435" t="s">
        <v>1629</v>
      </c>
      <c r="E5435">
        <v>288.86</v>
      </c>
      <c r="F5435" t="s">
        <v>1578</v>
      </c>
      <c r="G5435" t="s">
        <v>1506</v>
      </c>
    </row>
    <row r="5436" spans="1:7">
      <c r="A5436" t="s">
        <v>7039</v>
      </c>
      <c r="B5436" s="2">
        <v>45980</v>
      </c>
      <c r="C5436" t="s">
        <v>117</v>
      </c>
      <c r="D5436" t="s">
        <v>1629</v>
      </c>
      <c r="E5436">
        <v>287.43</v>
      </c>
      <c r="F5436" t="s">
        <v>1578</v>
      </c>
      <c r="G5436" t="s">
        <v>1506</v>
      </c>
    </row>
    <row r="5437" spans="1:7">
      <c r="A5437" t="s">
        <v>7040</v>
      </c>
      <c r="B5437" s="2">
        <v>45980</v>
      </c>
      <c r="C5437" t="s">
        <v>119</v>
      </c>
      <c r="D5437" t="s">
        <v>1629</v>
      </c>
      <c r="E5437">
        <v>288.86</v>
      </c>
      <c r="F5437" t="s">
        <v>1578</v>
      </c>
      <c r="G5437" t="s">
        <v>1506</v>
      </c>
    </row>
    <row r="5438" spans="1:7">
      <c r="A5438" t="s">
        <v>7041</v>
      </c>
      <c r="B5438" s="2">
        <v>45980</v>
      </c>
      <c r="C5438" t="s">
        <v>70</v>
      </c>
      <c r="D5438" t="s">
        <v>1683</v>
      </c>
      <c r="E5438">
        <v>187</v>
      </c>
      <c r="F5438" t="s">
        <v>1578</v>
      </c>
      <c r="G5438" t="s">
        <v>967</v>
      </c>
    </row>
    <row r="5439" spans="1:7">
      <c r="A5439" t="s">
        <v>7042</v>
      </c>
      <c r="B5439" s="2">
        <v>45980</v>
      </c>
      <c r="C5439" t="s">
        <v>99</v>
      </c>
      <c r="D5439" t="s">
        <v>1683</v>
      </c>
      <c r="E5439">
        <v>393</v>
      </c>
      <c r="F5439" t="s">
        <v>1578</v>
      </c>
      <c r="G5439" t="s">
        <v>968</v>
      </c>
    </row>
    <row r="5440" spans="1:7">
      <c r="A5440" t="s">
        <v>7043</v>
      </c>
      <c r="B5440" s="2">
        <v>45981</v>
      </c>
      <c r="C5440" t="s">
        <v>87</v>
      </c>
      <c r="D5440" t="s">
        <v>1683</v>
      </c>
      <c r="E5440">
        <v>276</v>
      </c>
      <c r="F5440" t="s">
        <v>1578</v>
      </c>
      <c r="G5440" t="s">
        <v>969</v>
      </c>
    </row>
    <row r="5441" spans="1:7">
      <c r="A5441" t="s">
        <v>7044</v>
      </c>
      <c r="B5441" s="2">
        <v>45982</v>
      </c>
      <c r="C5441" t="s">
        <v>61</v>
      </c>
      <c r="D5441" t="s">
        <v>1629</v>
      </c>
      <c r="E5441">
        <v>409.02</v>
      </c>
      <c r="F5441" t="s">
        <v>1578</v>
      </c>
      <c r="G5441" t="s">
        <v>1507</v>
      </c>
    </row>
    <row r="5442" spans="1:7">
      <c r="A5442" t="s">
        <v>7045</v>
      </c>
      <c r="B5442" s="2">
        <v>45982</v>
      </c>
      <c r="C5442" t="s">
        <v>65</v>
      </c>
      <c r="D5442" t="s">
        <v>1629</v>
      </c>
      <c r="E5442">
        <v>407.02</v>
      </c>
      <c r="F5442" t="s">
        <v>1578</v>
      </c>
      <c r="G5442" t="s">
        <v>1507</v>
      </c>
    </row>
    <row r="5443" spans="1:7">
      <c r="A5443" t="s">
        <v>7046</v>
      </c>
      <c r="B5443" s="2">
        <v>45982</v>
      </c>
      <c r="C5443" t="s">
        <v>68</v>
      </c>
      <c r="D5443" t="s">
        <v>1629</v>
      </c>
      <c r="E5443">
        <v>409.02</v>
      </c>
      <c r="F5443" t="s">
        <v>1578</v>
      </c>
      <c r="G5443" t="s">
        <v>1507</v>
      </c>
    </row>
    <row r="5444" spans="1:7">
      <c r="A5444" t="s">
        <v>7047</v>
      </c>
      <c r="B5444" s="2">
        <v>45982</v>
      </c>
      <c r="C5444" t="s">
        <v>70</v>
      </c>
      <c r="D5444" t="s">
        <v>1629</v>
      </c>
      <c r="E5444">
        <v>405.01</v>
      </c>
      <c r="F5444" t="s">
        <v>1578</v>
      </c>
      <c r="G5444" t="s">
        <v>1507</v>
      </c>
    </row>
    <row r="5445" spans="1:7">
      <c r="A5445" t="s">
        <v>7048</v>
      </c>
      <c r="B5445" s="2">
        <v>45982</v>
      </c>
      <c r="C5445" t="s">
        <v>75</v>
      </c>
      <c r="D5445" t="s">
        <v>1629</v>
      </c>
      <c r="E5445">
        <v>405.01</v>
      </c>
      <c r="F5445" t="s">
        <v>1578</v>
      </c>
      <c r="G5445" t="s">
        <v>1507</v>
      </c>
    </row>
    <row r="5446" spans="1:7">
      <c r="A5446" t="s">
        <v>7049</v>
      </c>
      <c r="B5446" s="2">
        <v>45982</v>
      </c>
      <c r="C5446" t="s">
        <v>77</v>
      </c>
      <c r="D5446" t="s">
        <v>1629</v>
      </c>
      <c r="E5446">
        <v>405.01</v>
      </c>
      <c r="F5446" t="s">
        <v>1578</v>
      </c>
      <c r="G5446" t="s">
        <v>1507</v>
      </c>
    </row>
    <row r="5447" spans="1:7">
      <c r="A5447" t="s">
        <v>7050</v>
      </c>
      <c r="B5447" s="2">
        <v>45982</v>
      </c>
      <c r="C5447" t="s">
        <v>79</v>
      </c>
      <c r="D5447" t="s">
        <v>1629</v>
      </c>
      <c r="E5447">
        <v>409.02</v>
      </c>
      <c r="F5447" t="s">
        <v>1578</v>
      </c>
      <c r="G5447" t="s">
        <v>1507</v>
      </c>
    </row>
    <row r="5448" spans="1:7">
      <c r="A5448" t="s">
        <v>7051</v>
      </c>
      <c r="B5448" s="2">
        <v>45982</v>
      </c>
      <c r="C5448" t="s">
        <v>81</v>
      </c>
      <c r="D5448" t="s">
        <v>1629</v>
      </c>
      <c r="E5448">
        <v>810.02</v>
      </c>
      <c r="F5448" t="s">
        <v>1578</v>
      </c>
      <c r="G5448" t="s">
        <v>1507</v>
      </c>
    </row>
    <row r="5449" spans="1:7">
      <c r="A5449" t="s">
        <v>7052</v>
      </c>
      <c r="B5449" s="2">
        <v>45982</v>
      </c>
      <c r="C5449" t="s">
        <v>108</v>
      </c>
      <c r="D5449" t="s">
        <v>1629</v>
      </c>
      <c r="E5449">
        <v>814.03</v>
      </c>
      <c r="F5449" t="s">
        <v>1578</v>
      </c>
      <c r="G5449" t="s">
        <v>1507</v>
      </c>
    </row>
    <row r="5450" spans="1:7">
      <c r="A5450" t="s">
        <v>7053</v>
      </c>
      <c r="B5450" s="2">
        <v>45982</v>
      </c>
      <c r="C5450" t="s">
        <v>110</v>
      </c>
      <c r="D5450" t="s">
        <v>1629</v>
      </c>
      <c r="E5450">
        <v>409.02</v>
      </c>
      <c r="F5450" t="s">
        <v>1578</v>
      </c>
      <c r="G5450" t="s">
        <v>1507</v>
      </c>
    </row>
    <row r="5451" spans="1:7">
      <c r="A5451" t="s">
        <v>7054</v>
      </c>
      <c r="B5451" s="2">
        <v>45982</v>
      </c>
      <c r="C5451" t="s">
        <v>114</v>
      </c>
      <c r="D5451" t="s">
        <v>1629</v>
      </c>
      <c r="E5451">
        <v>405.01</v>
      </c>
      <c r="F5451" t="s">
        <v>1578</v>
      </c>
      <c r="G5451" t="s">
        <v>1507</v>
      </c>
    </row>
    <row r="5452" spans="1:7">
      <c r="A5452" t="s">
        <v>7055</v>
      </c>
      <c r="B5452" s="2">
        <v>45982</v>
      </c>
      <c r="C5452" t="s">
        <v>117</v>
      </c>
      <c r="D5452" t="s">
        <v>1629</v>
      </c>
      <c r="E5452">
        <v>403</v>
      </c>
      <c r="F5452" t="s">
        <v>1578</v>
      </c>
      <c r="G5452" t="s">
        <v>1507</v>
      </c>
    </row>
    <row r="5453" spans="1:7">
      <c r="A5453" t="s">
        <v>7056</v>
      </c>
      <c r="B5453" s="2">
        <v>45982</v>
      </c>
      <c r="C5453" t="s">
        <v>119</v>
      </c>
      <c r="D5453" t="s">
        <v>1629</v>
      </c>
      <c r="E5453">
        <v>405.01</v>
      </c>
      <c r="F5453" t="s">
        <v>1578</v>
      </c>
      <c r="G5453" t="s">
        <v>1507</v>
      </c>
    </row>
    <row r="5454" spans="1:7">
      <c r="A5454" t="s">
        <v>7057</v>
      </c>
      <c r="B5454" s="2">
        <v>45982</v>
      </c>
      <c r="C5454" t="s">
        <v>95</v>
      </c>
      <c r="D5454" t="s">
        <v>1683</v>
      </c>
      <c r="E5454">
        <v>165</v>
      </c>
      <c r="F5454" t="s">
        <v>1578</v>
      </c>
      <c r="G5454" t="s">
        <v>970</v>
      </c>
    </row>
    <row r="5455" spans="1:7">
      <c r="A5455" t="s">
        <v>7058</v>
      </c>
      <c r="B5455" s="2">
        <v>45982</v>
      </c>
      <c r="C5455" t="s">
        <v>91</v>
      </c>
      <c r="D5455" t="s">
        <v>1683</v>
      </c>
      <c r="E5455">
        <v>221</v>
      </c>
      <c r="F5455" t="s">
        <v>1578</v>
      </c>
      <c r="G5455" t="s">
        <v>971</v>
      </c>
    </row>
    <row r="5456" spans="1:7">
      <c r="A5456" t="s">
        <v>7059</v>
      </c>
      <c r="B5456" s="2">
        <v>45982</v>
      </c>
      <c r="C5456" t="s">
        <v>117</v>
      </c>
      <c r="D5456" t="s">
        <v>1683</v>
      </c>
      <c r="E5456">
        <v>117</v>
      </c>
      <c r="F5456" t="s">
        <v>1578</v>
      </c>
      <c r="G5456" t="s">
        <v>973</v>
      </c>
    </row>
    <row r="5457" spans="1:7">
      <c r="A5457" t="s">
        <v>7060</v>
      </c>
      <c r="B5457" s="2">
        <v>45983</v>
      </c>
      <c r="C5457" t="s">
        <v>61</v>
      </c>
      <c r="D5457" t="s">
        <v>1629</v>
      </c>
      <c r="E5457">
        <v>459</v>
      </c>
      <c r="F5457" t="s">
        <v>1578</v>
      </c>
      <c r="G5457" t="s">
        <v>1508</v>
      </c>
    </row>
    <row r="5458" spans="1:7">
      <c r="A5458" t="s">
        <v>7061</v>
      </c>
      <c r="B5458" s="2">
        <v>45983</v>
      </c>
      <c r="C5458" t="s">
        <v>65</v>
      </c>
      <c r="D5458" t="s">
        <v>1629</v>
      </c>
      <c r="E5458">
        <v>456.75</v>
      </c>
      <c r="F5458" t="s">
        <v>1578</v>
      </c>
      <c r="G5458" t="s">
        <v>1508</v>
      </c>
    </row>
    <row r="5459" spans="1:7">
      <c r="A5459" t="s">
        <v>7062</v>
      </c>
      <c r="B5459" s="2">
        <v>45983</v>
      </c>
      <c r="C5459" t="s">
        <v>68</v>
      </c>
      <c r="D5459" t="s">
        <v>1629</v>
      </c>
      <c r="E5459">
        <v>459</v>
      </c>
      <c r="F5459" t="s">
        <v>1578</v>
      </c>
      <c r="G5459" t="s">
        <v>1508</v>
      </c>
    </row>
    <row r="5460" spans="1:7">
      <c r="A5460" t="s">
        <v>7063</v>
      </c>
      <c r="B5460" s="2">
        <v>45983</v>
      </c>
      <c r="C5460" t="s">
        <v>70</v>
      </c>
      <c r="D5460" t="s">
        <v>1629</v>
      </c>
      <c r="E5460">
        <v>454.5</v>
      </c>
      <c r="F5460" t="s">
        <v>1578</v>
      </c>
      <c r="G5460" t="s">
        <v>1508</v>
      </c>
    </row>
    <row r="5461" spans="1:7">
      <c r="A5461" t="s">
        <v>7064</v>
      </c>
      <c r="B5461" s="2">
        <v>45983</v>
      </c>
      <c r="C5461" t="s">
        <v>75</v>
      </c>
      <c r="D5461" t="s">
        <v>1629</v>
      </c>
      <c r="E5461">
        <v>454.5</v>
      </c>
      <c r="F5461" t="s">
        <v>1578</v>
      </c>
      <c r="G5461" t="s">
        <v>1508</v>
      </c>
    </row>
    <row r="5462" spans="1:7">
      <c r="A5462" t="s">
        <v>7065</v>
      </c>
      <c r="B5462" s="2">
        <v>45983</v>
      </c>
      <c r="C5462" t="s">
        <v>77</v>
      </c>
      <c r="D5462" t="s">
        <v>1629</v>
      </c>
      <c r="E5462">
        <v>454.5</v>
      </c>
      <c r="F5462" t="s">
        <v>1578</v>
      </c>
      <c r="G5462" t="s">
        <v>1508</v>
      </c>
    </row>
    <row r="5463" spans="1:7">
      <c r="A5463" t="s">
        <v>7066</v>
      </c>
      <c r="B5463" s="2">
        <v>45983</v>
      </c>
      <c r="C5463" t="s">
        <v>79</v>
      </c>
      <c r="D5463" t="s">
        <v>1629</v>
      </c>
      <c r="E5463">
        <v>459</v>
      </c>
      <c r="F5463" t="s">
        <v>1578</v>
      </c>
      <c r="G5463" t="s">
        <v>1508</v>
      </c>
    </row>
    <row r="5464" spans="1:7">
      <c r="A5464" t="s">
        <v>7067</v>
      </c>
      <c r="B5464" s="2">
        <v>45983</v>
      </c>
      <c r="C5464" t="s">
        <v>81</v>
      </c>
      <c r="D5464" t="s">
        <v>1629</v>
      </c>
      <c r="E5464">
        <v>909</v>
      </c>
      <c r="F5464" t="s">
        <v>1578</v>
      </c>
      <c r="G5464" t="s">
        <v>1508</v>
      </c>
    </row>
    <row r="5465" spans="1:7">
      <c r="A5465" t="s">
        <v>7068</v>
      </c>
      <c r="B5465" s="2">
        <v>45983</v>
      </c>
      <c r="C5465" t="s">
        <v>110</v>
      </c>
      <c r="D5465" t="s">
        <v>1629</v>
      </c>
      <c r="E5465">
        <v>459</v>
      </c>
      <c r="F5465" t="s">
        <v>1578</v>
      </c>
      <c r="G5465" t="s">
        <v>1508</v>
      </c>
    </row>
    <row r="5466" spans="1:7">
      <c r="A5466" t="s">
        <v>7069</v>
      </c>
      <c r="B5466" s="2">
        <v>45983</v>
      </c>
      <c r="C5466" t="s">
        <v>114</v>
      </c>
      <c r="D5466" t="s">
        <v>1629</v>
      </c>
      <c r="E5466">
        <v>454.5</v>
      </c>
      <c r="F5466" t="s">
        <v>1578</v>
      </c>
      <c r="G5466" t="s">
        <v>1508</v>
      </c>
    </row>
    <row r="5467" spans="1:7">
      <c r="A5467" t="s">
        <v>7070</v>
      </c>
      <c r="B5467" s="2">
        <v>45983</v>
      </c>
      <c r="C5467" t="s">
        <v>117</v>
      </c>
      <c r="D5467" t="s">
        <v>1629</v>
      </c>
      <c r="E5467">
        <v>452.25</v>
      </c>
      <c r="F5467" t="s">
        <v>1578</v>
      </c>
      <c r="G5467" t="s">
        <v>1508</v>
      </c>
    </row>
    <row r="5468" spans="1:7">
      <c r="A5468" t="s">
        <v>7071</v>
      </c>
      <c r="B5468" s="2">
        <v>45983</v>
      </c>
      <c r="C5468" t="s">
        <v>119</v>
      </c>
      <c r="D5468" t="s">
        <v>1629</v>
      </c>
      <c r="E5468">
        <v>454.5</v>
      </c>
      <c r="F5468" t="s">
        <v>1578</v>
      </c>
      <c r="G5468" t="s">
        <v>1508</v>
      </c>
    </row>
    <row r="5469" spans="1:7">
      <c r="A5469" t="s">
        <v>7072</v>
      </c>
      <c r="B5469" s="2">
        <v>45983</v>
      </c>
      <c r="C5469" t="s">
        <v>61</v>
      </c>
      <c r="D5469" t="s">
        <v>1629</v>
      </c>
      <c r="E5469">
        <v>279.48</v>
      </c>
      <c r="F5469" t="s">
        <v>1578</v>
      </c>
      <c r="G5469" t="s">
        <v>1509</v>
      </c>
    </row>
    <row r="5470" spans="1:7">
      <c r="A5470" t="s">
        <v>7073</v>
      </c>
      <c r="B5470" s="2">
        <v>45983</v>
      </c>
      <c r="C5470" t="s">
        <v>65</v>
      </c>
      <c r="D5470" t="s">
        <v>1629</v>
      </c>
      <c r="E5470">
        <v>278.11</v>
      </c>
      <c r="F5470" t="s">
        <v>1578</v>
      </c>
      <c r="G5470" t="s">
        <v>1509</v>
      </c>
    </row>
    <row r="5471" spans="1:7">
      <c r="A5471" t="s">
        <v>7074</v>
      </c>
      <c r="B5471" s="2">
        <v>45983</v>
      </c>
      <c r="C5471" t="s">
        <v>68</v>
      </c>
      <c r="D5471" t="s">
        <v>1629</v>
      </c>
      <c r="E5471">
        <v>279.48</v>
      </c>
      <c r="F5471" t="s">
        <v>1578</v>
      </c>
      <c r="G5471" t="s">
        <v>1509</v>
      </c>
    </row>
    <row r="5472" spans="1:7">
      <c r="A5472" t="s">
        <v>7075</v>
      </c>
      <c r="B5472" s="2">
        <v>45983</v>
      </c>
      <c r="C5472" t="s">
        <v>75</v>
      </c>
      <c r="D5472" t="s">
        <v>1629</v>
      </c>
      <c r="E5472">
        <v>276.74</v>
      </c>
      <c r="F5472" t="s">
        <v>1578</v>
      </c>
      <c r="G5472" t="s">
        <v>1509</v>
      </c>
    </row>
    <row r="5473" spans="1:7">
      <c r="A5473" t="s">
        <v>7076</v>
      </c>
      <c r="B5473" s="2">
        <v>45983</v>
      </c>
      <c r="C5473" t="s">
        <v>79</v>
      </c>
      <c r="D5473" t="s">
        <v>1629</v>
      </c>
      <c r="E5473">
        <v>279.48</v>
      </c>
      <c r="F5473" t="s">
        <v>1578</v>
      </c>
      <c r="G5473" t="s">
        <v>1509</v>
      </c>
    </row>
    <row r="5474" spans="1:7">
      <c r="A5474" t="s">
        <v>7077</v>
      </c>
      <c r="B5474" s="2">
        <v>45983</v>
      </c>
      <c r="C5474" t="s">
        <v>81</v>
      </c>
      <c r="D5474" t="s">
        <v>1629</v>
      </c>
      <c r="E5474">
        <v>553.48</v>
      </c>
      <c r="F5474" t="s">
        <v>1578</v>
      </c>
      <c r="G5474" t="s">
        <v>1509</v>
      </c>
    </row>
    <row r="5475" spans="1:7">
      <c r="A5475" t="s">
        <v>7078</v>
      </c>
      <c r="B5475" s="2">
        <v>45983</v>
      </c>
      <c r="C5475" t="s">
        <v>97</v>
      </c>
      <c r="D5475" t="s">
        <v>1629</v>
      </c>
      <c r="E5475">
        <v>279.48</v>
      </c>
      <c r="F5475" t="s">
        <v>1578</v>
      </c>
      <c r="G5475" t="s">
        <v>1509</v>
      </c>
    </row>
    <row r="5476" spans="1:7">
      <c r="A5476" t="s">
        <v>7079</v>
      </c>
      <c r="B5476" s="2">
        <v>45983</v>
      </c>
      <c r="C5476" t="s">
        <v>110</v>
      </c>
      <c r="D5476" t="s">
        <v>1629</v>
      </c>
      <c r="E5476">
        <v>279.48</v>
      </c>
      <c r="F5476" t="s">
        <v>1578</v>
      </c>
      <c r="G5476" t="s">
        <v>1509</v>
      </c>
    </row>
    <row r="5477" spans="1:7">
      <c r="A5477" t="s">
        <v>7080</v>
      </c>
      <c r="B5477" s="2">
        <v>45983</v>
      </c>
      <c r="C5477" t="s">
        <v>114</v>
      </c>
      <c r="D5477" t="s">
        <v>1629</v>
      </c>
      <c r="E5477">
        <v>276.74</v>
      </c>
      <c r="F5477" t="s">
        <v>1578</v>
      </c>
      <c r="G5477" t="s">
        <v>1509</v>
      </c>
    </row>
    <row r="5478" spans="1:7">
      <c r="A5478" t="s">
        <v>7081</v>
      </c>
      <c r="B5478" s="2">
        <v>45983</v>
      </c>
      <c r="C5478" t="s">
        <v>117</v>
      </c>
      <c r="D5478" t="s">
        <v>1629</v>
      </c>
      <c r="E5478">
        <v>275.37</v>
      </c>
      <c r="F5478" t="s">
        <v>1578</v>
      </c>
      <c r="G5478" t="s">
        <v>1509</v>
      </c>
    </row>
    <row r="5479" spans="1:7">
      <c r="A5479" t="s">
        <v>7082</v>
      </c>
      <c r="B5479" s="2">
        <v>45983</v>
      </c>
      <c r="C5479" t="s">
        <v>119</v>
      </c>
      <c r="D5479" t="s">
        <v>1629</v>
      </c>
      <c r="E5479">
        <v>276.74</v>
      </c>
      <c r="F5479" t="s">
        <v>1578</v>
      </c>
      <c r="G5479" t="s">
        <v>1509</v>
      </c>
    </row>
    <row r="5480" spans="1:7">
      <c r="A5480" t="s">
        <v>7083</v>
      </c>
      <c r="B5480" s="2">
        <v>45983</v>
      </c>
      <c r="C5480" t="s">
        <v>61</v>
      </c>
      <c r="D5480" t="s">
        <v>1629</v>
      </c>
      <c r="E5480">
        <v>183.6</v>
      </c>
      <c r="F5480" t="s">
        <v>1578</v>
      </c>
      <c r="G5480" t="s">
        <v>1510</v>
      </c>
    </row>
    <row r="5481" spans="1:7">
      <c r="A5481" t="s">
        <v>7084</v>
      </c>
      <c r="B5481" s="2">
        <v>45983</v>
      </c>
      <c r="C5481" t="s">
        <v>65</v>
      </c>
      <c r="D5481" t="s">
        <v>1629</v>
      </c>
      <c r="E5481">
        <v>182.7</v>
      </c>
      <c r="F5481" t="s">
        <v>1578</v>
      </c>
      <c r="G5481" t="s">
        <v>1510</v>
      </c>
    </row>
    <row r="5482" spans="1:7">
      <c r="A5482" t="s">
        <v>7085</v>
      </c>
      <c r="B5482" s="2">
        <v>45983</v>
      </c>
      <c r="C5482" t="s">
        <v>68</v>
      </c>
      <c r="D5482" t="s">
        <v>1629</v>
      </c>
      <c r="E5482">
        <v>183.6</v>
      </c>
      <c r="F5482" t="s">
        <v>1578</v>
      </c>
      <c r="G5482" t="s">
        <v>1510</v>
      </c>
    </row>
    <row r="5483" spans="1:7">
      <c r="A5483" t="s">
        <v>7086</v>
      </c>
      <c r="B5483" s="2">
        <v>45983</v>
      </c>
      <c r="C5483" t="s">
        <v>70</v>
      </c>
      <c r="D5483" t="s">
        <v>1629</v>
      </c>
      <c r="E5483">
        <v>181.8</v>
      </c>
      <c r="F5483" t="s">
        <v>1578</v>
      </c>
      <c r="G5483" t="s">
        <v>1510</v>
      </c>
    </row>
    <row r="5484" spans="1:7">
      <c r="A5484" t="s">
        <v>7087</v>
      </c>
      <c r="B5484" s="2">
        <v>45983</v>
      </c>
      <c r="C5484" t="s">
        <v>75</v>
      </c>
      <c r="D5484" t="s">
        <v>1629</v>
      </c>
      <c r="E5484">
        <v>181.8</v>
      </c>
      <c r="F5484" t="s">
        <v>1578</v>
      </c>
      <c r="G5484" t="s">
        <v>1510</v>
      </c>
    </row>
    <row r="5485" spans="1:7">
      <c r="A5485" t="s">
        <v>7088</v>
      </c>
      <c r="B5485" s="2">
        <v>45983</v>
      </c>
      <c r="C5485" t="s">
        <v>77</v>
      </c>
      <c r="D5485" t="s">
        <v>1629</v>
      </c>
      <c r="E5485">
        <v>181.8</v>
      </c>
      <c r="F5485" t="s">
        <v>1578</v>
      </c>
      <c r="G5485" t="s">
        <v>1510</v>
      </c>
    </row>
    <row r="5486" spans="1:7">
      <c r="A5486" t="s">
        <v>7089</v>
      </c>
      <c r="B5486" s="2">
        <v>45983</v>
      </c>
      <c r="C5486" t="s">
        <v>79</v>
      </c>
      <c r="D5486" t="s">
        <v>1629</v>
      </c>
      <c r="E5486">
        <v>183.6</v>
      </c>
      <c r="F5486" t="s">
        <v>1578</v>
      </c>
      <c r="G5486" t="s">
        <v>1510</v>
      </c>
    </row>
    <row r="5487" spans="1:7">
      <c r="A5487" t="s">
        <v>7090</v>
      </c>
      <c r="B5487" s="2">
        <v>45983</v>
      </c>
      <c r="C5487" t="s">
        <v>81</v>
      </c>
      <c r="D5487" t="s">
        <v>1629</v>
      </c>
      <c r="E5487">
        <v>363.6</v>
      </c>
      <c r="F5487" t="s">
        <v>1578</v>
      </c>
      <c r="G5487" t="s">
        <v>1510</v>
      </c>
    </row>
    <row r="5488" spans="1:7">
      <c r="A5488" t="s">
        <v>7091</v>
      </c>
      <c r="B5488" s="2">
        <v>45983</v>
      </c>
      <c r="C5488" t="s">
        <v>110</v>
      </c>
      <c r="D5488" t="s">
        <v>1629</v>
      </c>
      <c r="E5488">
        <v>183.6</v>
      </c>
      <c r="F5488" t="s">
        <v>1578</v>
      </c>
      <c r="G5488" t="s">
        <v>1510</v>
      </c>
    </row>
    <row r="5489" spans="1:7">
      <c r="A5489" t="s">
        <v>7092</v>
      </c>
      <c r="B5489" s="2">
        <v>45983</v>
      </c>
      <c r="C5489" t="s">
        <v>114</v>
      </c>
      <c r="D5489" t="s">
        <v>1629</v>
      </c>
      <c r="E5489">
        <v>181.8</v>
      </c>
      <c r="F5489" t="s">
        <v>1578</v>
      </c>
      <c r="G5489" t="s">
        <v>1510</v>
      </c>
    </row>
    <row r="5490" spans="1:7">
      <c r="A5490" t="s">
        <v>7093</v>
      </c>
      <c r="B5490" s="2">
        <v>45983</v>
      </c>
      <c r="C5490" t="s">
        <v>117</v>
      </c>
      <c r="D5490" t="s">
        <v>1629</v>
      </c>
      <c r="E5490">
        <v>180.9</v>
      </c>
      <c r="F5490" t="s">
        <v>1578</v>
      </c>
      <c r="G5490" t="s">
        <v>1510</v>
      </c>
    </row>
    <row r="5491" spans="1:7">
      <c r="A5491" t="s">
        <v>7094</v>
      </c>
      <c r="B5491" s="2">
        <v>45983</v>
      </c>
      <c r="C5491" t="s">
        <v>119</v>
      </c>
      <c r="D5491" t="s">
        <v>1629</v>
      </c>
      <c r="E5491">
        <v>181.8</v>
      </c>
      <c r="F5491" t="s">
        <v>1578</v>
      </c>
      <c r="G5491" t="s">
        <v>1510</v>
      </c>
    </row>
    <row r="5492" spans="1:7">
      <c r="A5492" t="s">
        <v>7095</v>
      </c>
      <c r="B5492" s="2">
        <v>45983</v>
      </c>
      <c r="C5492" t="s">
        <v>104</v>
      </c>
      <c r="D5492" t="s">
        <v>1683</v>
      </c>
      <c r="E5492">
        <v>218</v>
      </c>
      <c r="F5492" t="s">
        <v>1578</v>
      </c>
      <c r="G5492" t="s">
        <v>974</v>
      </c>
    </row>
    <row r="5493" spans="1:7">
      <c r="A5493" t="s">
        <v>7096</v>
      </c>
      <c r="B5493" s="2">
        <v>45983</v>
      </c>
      <c r="C5493" t="s">
        <v>87</v>
      </c>
      <c r="D5493" t="s">
        <v>1683</v>
      </c>
      <c r="E5493">
        <v>234</v>
      </c>
      <c r="F5493" t="s">
        <v>1578</v>
      </c>
      <c r="G5493" t="s">
        <v>975</v>
      </c>
    </row>
    <row r="5494" spans="1:7">
      <c r="A5494" t="s">
        <v>7097</v>
      </c>
      <c r="B5494" s="2">
        <v>45983</v>
      </c>
      <c r="C5494" t="s">
        <v>95</v>
      </c>
      <c r="D5494" t="s">
        <v>1683</v>
      </c>
      <c r="E5494">
        <v>352</v>
      </c>
      <c r="F5494" t="s">
        <v>1578</v>
      </c>
      <c r="G5494" t="s">
        <v>976</v>
      </c>
    </row>
    <row r="5495" spans="1:7">
      <c r="A5495" t="s">
        <v>7098</v>
      </c>
      <c r="B5495" s="2">
        <v>45984</v>
      </c>
      <c r="C5495" t="s">
        <v>114</v>
      </c>
      <c r="D5495" t="s">
        <v>1683</v>
      </c>
      <c r="E5495">
        <v>294</v>
      </c>
      <c r="F5495" t="s">
        <v>1578</v>
      </c>
      <c r="G5495" t="s">
        <v>977</v>
      </c>
    </row>
    <row r="5496" spans="1:7">
      <c r="A5496" t="s">
        <v>7099</v>
      </c>
      <c r="B5496" s="2">
        <v>45985</v>
      </c>
      <c r="C5496" t="s">
        <v>61</v>
      </c>
      <c r="D5496" t="s">
        <v>1629</v>
      </c>
      <c r="E5496">
        <v>408</v>
      </c>
      <c r="F5496" t="s">
        <v>1578</v>
      </c>
      <c r="G5496" t="s">
        <v>1511</v>
      </c>
    </row>
    <row r="5497" spans="1:7">
      <c r="A5497" t="s">
        <v>7100</v>
      </c>
      <c r="B5497" s="2">
        <v>45985</v>
      </c>
      <c r="C5497" t="s">
        <v>65</v>
      </c>
      <c r="D5497" t="s">
        <v>1629</v>
      </c>
      <c r="E5497">
        <v>406</v>
      </c>
      <c r="F5497" t="s">
        <v>1578</v>
      </c>
      <c r="G5497" t="s">
        <v>1511</v>
      </c>
    </row>
    <row r="5498" spans="1:7">
      <c r="A5498" t="s">
        <v>7101</v>
      </c>
      <c r="B5498" s="2">
        <v>45985</v>
      </c>
      <c r="C5498" t="s">
        <v>68</v>
      </c>
      <c r="D5498" t="s">
        <v>1629</v>
      </c>
      <c r="E5498">
        <v>408</v>
      </c>
      <c r="F5498" t="s">
        <v>1578</v>
      </c>
      <c r="G5498" t="s">
        <v>1511</v>
      </c>
    </row>
    <row r="5499" spans="1:7">
      <c r="A5499" t="s">
        <v>7102</v>
      </c>
      <c r="B5499" s="2">
        <v>45985</v>
      </c>
      <c r="C5499" t="s">
        <v>70</v>
      </c>
      <c r="D5499" t="s">
        <v>1629</v>
      </c>
      <c r="E5499">
        <v>404</v>
      </c>
      <c r="F5499" t="s">
        <v>1578</v>
      </c>
      <c r="G5499" t="s">
        <v>1511</v>
      </c>
    </row>
    <row r="5500" spans="1:7">
      <c r="A5500" t="s">
        <v>7103</v>
      </c>
      <c r="B5500" s="2">
        <v>45985</v>
      </c>
      <c r="C5500" t="s">
        <v>75</v>
      </c>
      <c r="D5500" t="s">
        <v>1629</v>
      </c>
      <c r="E5500">
        <v>404</v>
      </c>
      <c r="F5500" t="s">
        <v>1578</v>
      </c>
      <c r="G5500" t="s">
        <v>1511</v>
      </c>
    </row>
    <row r="5501" spans="1:7">
      <c r="A5501" t="s">
        <v>7104</v>
      </c>
      <c r="B5501" s="2">
        <v>45985</v>
      </c>
      <c r="C5501" t="s">
        <v>77</v>
      </c>
      <c r="D5501" t="s">
        <v>1629</v>
      </c>
      <c r="E5501">
        <v>404</v>
      </c>
      <c r="F5501" t="s">
        <v>1578</v>
      </c>
      <c r="G5501" t="s">
        <v>1511</v>
      </c>
    </row>
    <row r="5502" spans="1:7">
      <c r="A5502" t="s">
        <v>7105</v>
      </c>
      <c r="B5502" s="2">
        <v>45985</v>
      </c>
      <c r="C5502" t="s">
        <v>79</v>
      </c>
      <c r="D5502" t="s">
        <v>1629</v>
      </c>
      <c r="E5502">
        <v>408</v>
      </c>
      <c r="F5502" t="s">
        <v>1578</v>
      </c>
      <c r="G5502" t="s">
        <v>1511</v>
      </c>
    </row>
    <row r="5503" spans="1:7">
      <c r="A5503" t="s">
        <v>7106</v>
      </c>
      <c r="B5503" s="2">
        <v>45985</v>
      </c>
      <c r="C5503" t="s">
        <v>81</v>
      </c>
      <c r="D5503" t="s">
        <v>1629</v>
      </c>
      <c r="E5503">
        <v>808</v>
      </c>
      <c r="F5503" t="s">
        <v>1578</v>
      </c>
      <c r="G5503" t="s">
        <v>1511</v>
      </c>
    </row>
    <row r="5504" spans="1:7">
      <c r="A5504" t="s">
        <v>7107</v>
      </c>
      <c r="B5504" s="2">
        <v>45985</v>
      </c>
      <c r="C5504" t="s">
        <v>110</v>
      </c>
      <c r="D5504" t="s">
        <v>1629</v>
      </c>
      <c r="E5504">
        <v>408</v>
      </c>
      <c r="F5504" t="s">
        <v>1578</v>
      </c>
      <c r="G5504" t="s">
        <v>1511</v>
      </c>
    </row>
    <row r="5505" spans="1:7">
      <c r="A5505" t="s">
        <v>7108</v>
      </c>
      <c r="B5505" s="2">
        <v>45985</v>
      </c>
      <c r="C5505" t="s">
        <v>114</v>
      </c>
      <c r="D5505" t="s">
        <v>1629</v>
      </c>
      <c r="E5505">
        <v>404</v>
      </c>
      <c r="F5505" t="s">
        <v>1578</v>
      </c>
      <c r="G5505" t="s">
        <v>1511</v>
      </c>
    </row>
    <row r="5506" spans="1:7">
      <c r="A5506" t="s">
        <v>7109</v>
      </c>
      <c r="B5506" s="2">
        <v>45985</v>
      </c>
      <c r="C5506" t="s">
        <v>117</v>
      </c>
      <c r="D5506" t="s">
        <v>1629</v>
      </c>
      <c r="E5506">
        <v>402</v>
      </c>
      <c r="F5506" t="s">
        <v>1578</v>
      </c>
      <c r="G5506" t="s">
        <v>1511</v>
      </c>
    </row>
    <row r="5507" spans="1:7">
      <c r="A5507" t="s">
        <v>7110</v>
      </c>
      <c r="B5507" s="2">
        <v>45985</v>
      </c>
      <c r="C5507" t="s">
        <v>119</v>
      </c>
      <c r="D5507" t="s">
        <v>1629</v>
      </c>
      <c r="E5507">
        <v>404</v>
      </c>
      <c r="F5507" t="s">
        <v>1578</v>
      </c>
      <c r="G5507" t="s">
        <v>1511</v>
      </c>
    </row>
    <row r="5508" spans="1:7">
      <c r="A5508" t="s">
        <v>7111</v>
      </c>
      <c r="B5508" s="2">
        <v>45985</v>
      </c>
      <c r="C5508" t="s">
        <v>61</v>
      </c>
      <c r="D5508" t="s">
        <v>1629</v>
      </c>
      <c r="E5508">
        <v>294.77999999999997</v>
      </c>
      <c r="F5508" t="s">
        <v>1578</v>
      </c>
      <c r="G5508" t="s">
        <v>1512</v>
      </c>
    </row>
    <row r="5509" spans="1:7">
      <c r="A5509" t="s">
        <v>7112</v>
      </c>
      <c r="B5509" s="2">
        <v>45985</v>
      </c>
      <c r="C5509" t="s">
        <v>65</v>
      </c>
      <c r="D5509" t="s">
        <v>1629</v>
      </c>
      <c r="E5509">
        <v>293.33</v>
      </c>
      <c r="F5509" t="s">
        <v>1578</v>
      </c>
      <c r="G5509" t="s">
        <v>1512</v>
      </c>
    </row>
    <row r="5510" spans="1:7">
      <c r="A5510" t="s">
        <v>7113</v>
      </c>
      <c r="B5510" s="2">
        <v>45985</v>
      </c>
      <c r="C5510" t="s">
        <v>68</v>
      </c>
      <c r="D5510" t="s">
        <v>1629</v>
      </c>
      <c r="E5510">
        <v>294.77999999999997</v>
      </c>
      <c r="F5510" t="s">
        <v>1578</v>
      </c>
      <c r="G5510" t="s">
        <v>1512</v>
      </c>
    </row>
    <row r="5511" spans="1:7">
      <c r="A5511" t="s">
        <v>7114</v>
      </c>
      <c r="B5511" s="2">
        <v>45985</v>
      </c>
      <c r="C5511" t="s">
        <v>70</v>
      </c>
      <c r="D5511" t="s">
        <v>1629</v>
      </c>
      <c r="E5511">
        <v>291.89</v>
      </c>
      <c r="F5511" t="s">
        <v>1578</v>
      </c>
      <c r="G5511" t="s">
        <v>1512</v>
      </c>
    </row>
    <row r="5512" spans="1:7">
      <c r="A5512" t="s">
        <v>7115</v>
      </c>
      <c r="B5512" s="2">
        <v>45985</v>
      </c>
      <c r="C5512" t="s">
        <v>73</v>
      </c>
      <c r="D5512" t="s">
        <v>1629</v>
      </c>
      <c r="E5512">
        <v>294.77999999999997</v>
      </c>
      <c r="F5512" t="s">
        <v>1578</v>
      </c>
      <c r="G5512" t="s">
        <v>1512</v>
      </c>
    </row>
    <row r="5513" spans="1:7">
      <c r="A5513" t="s">
        <v>7116</v>
      </c>
      <c r="B5513" s="2">
        <v>45985</v>
      </c>
      <c r="C5513" t="s">
        <v>75</v>
      </c>
      <c r="D5513" t="s">
        <v>1629</v>
      </c>
      <c r="E5513">
        <v>291.89</v>
      </c>
      <c r="F5513" t="s">
        <v>1578</v>
      </c>
      <c r="G5513" t="s">
        <v>1512</v>
      </c>
    </row>
    <row r="5514" spans="1:7">
      <c r="A5514" t="s">
        <v>7117</v>
      </c>
      <c r="B5514" s="2">
        <v>45985</v>
      </c>
      <c r="C5514" t="s">
        <v>77</v>
      </c>
      <c r="D5514" t="s">
        <v>1629</v>
      </c>
      <c r="E5514">
        <v>291.89</v>
      </c>
      <c r="F5514" t="s">
        <v>1578</v>
      </c>
      <c r="G5514" t="s">
        <v>1512</v>
      </c>
    </row>
    <row r="5515" spans="1:7">
      <c r="A5515" t="s">
        <v>7118</v>
      </c>
      <c r="B5515" s="2">
        <v>45985</v>
      </c>
      <c r="C5515" t="s">
        <v>79</v>
      </c>
      <c r="D5515" t="s">
        <v>1629</v>
      </c>
      <c r="E5515">
        <v>294.77999999999997</v>
      </c>
      <c r="F5515" t="s">
        <v>1578</v>
      </c>
      <c r="G5515" t="s">
        <v>1512</v>
      </c>
    </row>
    <row r="5516" spans="1:7">
      <c r="A5516" t="s">
        <v>7119</v>
      </c>
      <c r="B5516" s="2">
        <v>45985</v>
      </c>
      <c r="C5516" t="s">
        <v>81</v>
      </c>
      <c r="D5516" t="s">
        <v>1629</v>
      </c>
      <c r="E5516">
        <v>583.78</v>
      </c>
      <c r="F5516" t="s">
        <v>1578</v>
      </c>
      <c r="G5516" t="s">
        <v>1512</v>
      </c>
    </row>
    <row r="5517" spans="1:7">
      <c r="A5517" t="s">
        <v>7120</v>
      </c>
      <c r="B5517" s="2">
        <v>45985</v>
      </c>
      <c r="C5517" t="s">
        <v>108</v>
      </c>
      <c r="D5517" t="s">
        <v>1629</v>
      </c>
      <c r="E5517">
        <v>586.66999999999996</v>
      </c>
      <c r="F5517" t="s">
        <v>1578</v>
      </c>
      <c r="G5517" t="s">
        <v>1512</v>
      </c>
    </row>
    <row r="5518" spans="1:7">
      <c r="A5518" t="s">
        <v>7121</v>
      </c>
      <c r="B5518" s="2">
        <v>45985</v>
      </c>
      <c r="C5518" t="s">
        <v>110</v>
      </c>
      <c r="D5518" t="s">
        <v>1629</v>
      </c>
      <c r="E5518">
        <v>294.77999999999997</v>
      </c>
      <c r="F5518" t="s">
        <v>1578</v>
      </c>
      <c r="G5518" t="s">
        <v>1512</v>
      </c>
    </row>
    <row r="5519" spans="1:7">
      <c r="A5519" t="s">
        <v>7122</v>
      </c>
      <c r="B5519" s="2">
        <v>45985</v>
      </c>
      <c r="C5519" t="s">
        <v>114</v>
      </c>
      <c r="D5519" t="s">
        <v>1629</v>
      </c>
      <c r="E5519">
        <v>291.89</v>
      </c>
      <c r="F5519" t="s">
        <v>1578</v>
      </c>
      <c r="G5519" t="s">
        <v>1512</v>
      </c>
    </row>
    <row r="5520" spans="1:7">
      <c r="A5520" t="s">
        <v>7123</v>
      </c>
      <c r="B5520" s="2">
        <v>45985</v>
      </c>
      <c r="C5520" t="s">
        <v>117</v>
      </c>
      <c r="D5520" t="s">
        <v>1629</v>
      </c>
      <c r="E5520">
        <v>290.44</v>
      </c>
      <c r="F5520" t="s">
        <v>1578</v>
      </c>
      <c r="G5520" t="s">
        <v>1512</v>
      </c>
    </row>
    <row r="5521" spans="1:7">
      <c r="A5521" t="s">
        <v>7124</v>
      </c>
      <c r="B5521" s="2">
        <v>45985</v>
      </c>
      <c r="C5521" t="s">
        <v>119</v>
      </c>
      <c r="D5521" t="s">
        <v>1629</v>
      </c>
      <c r="E5521">
        <v>291.89</v>
      </c>
      <c r="F5521" t="s">
        <v>1578</v>
      </c>
      <c r="G5521" t="s">
        <v>1512</v>
      </c>
    </row>
    <row r="5522" spans="1:7">
      <c r="A5522" t="s">
        <v>7125</v>
      </c>
      <c r="B5522" s="2">
        <v>45985</v>
      </c>
      <c r="C5522" t="s">
        <v>89</v>
      </c>
      <c r="D5522" t="s">
        <v>1683</v>
      </c>
      <c r="E5522">
        <v>319</v>
      </c>
      <c r="F5522" t="s">
        <v>1578</v>
      </c>
      <c r="G5522" t="s">
        <v>978</v>
      </c>
    </row>
    <row r="5523" spans="1:7">
      <c r="A5523" t="s">
        <v>7126</v>
      </c>
      <c r="B5523" s="2">
        <v>45985</v>
      </c>
      <c r="C5523" t="s">
        <v>87</v>
      </c>
      <c r="D5523" t="s">
        <v>1683</v>
      </c>
      <c r="E5523">
        <v>219</v>
      </c>
      <c r="F5523" t="s">
        <v>1578</v>
      </c>
      <c r="G5523" t="s">
        <v>979</v>
      </c>
    </row>
    <row r="5524" spans="1:7">
      <c r="A5524" t="s">
        <v>7127</v>
      </c>
      <c r="B5524" s="2">
        <v>45986</v>
      </c>
      <c r="C5524" t="s">
        <v>75</v>
      </c>
      <c r="D5524" t="s">
        <v>1629</v>
      </c>
      <c r="E5524">
        <v>472.68</v>
      </c>
      <c r="F5524" t="s">
        <v>1578</v>
      </c>
      <c r="G5524" t="s">
        <v>1513</v>
      </c>
    </row>
    <row r="5525" spans="1:7">
      <c r="A5525" t="s">
        <v>7128</v>
      </c>
      <c r="B5525" s="2">
        <v>45986</v>
      </c>
      <c r="C5525" t="s">
        <v>91</v>
      </c>
      <c r="D5525" t="s">
        <v>1629</v>
      </c>
      <c r="E5525">
        <v>479.7</v>
      </c>
      <c r="F5525" t="s">
        <v>1578</v>
      </c>
      <c r="G5525" t="s">
        <v>1513</v>
      </c>
    </row>
    <row r="5526" spans="1:7">
      <c r="A5526" t="s">
        <v>7129</v>
      </c>
      <c r="B5526" s="2">
        <v>45986</v>
      </c>
      <c r="C5526" t="s">
        <v>93</v>
      </c>
      <c r="D5526" t="s">
        <v>1629</v>
      </c>
      <c r="E5526">
        <v>477.36</v>
      </c>
      <c r="F5526" t="s">
        <v>1578</v>
      </c>
      <c r="G5526" t="s">
        <v>1513</v>
      </c>
    </row>
    <row r="5527" spans="1:7">
      <c r="A5527" t="s">
        <v>7130</v>
      </c>
      <c r="B5527" s="2">
        <v>45986</v>
      </c>
      <c r="C5527" t="s">
        <v>95</v>
      </c>
      <c r="D5527" t="s">
        <v>1629</v>
      </c>
      <c r="E5527">
        <v>475.02</v>
      </c>
      <c r="F5527" t="s">
        <v>1578</v>
      </c>
      <c r="G5527" t="s">
        <v>1513</v>
      </c>
    </row>
    <row r="5528" spans="1:7">
      <c r="A5528" t="s">
        <v>7131</v>
      </c>
      <c r="B5528" s="2">
        <v>45986</v>
      </c>
      <c r="C5528" t="s">
        <v>97</v>
      </c>
      <c r="D5528" t="s">
        <v>1629</v>
      </c>
      <c r="E5528">
        <v>472.68</v>
      </c>
      <c r="F5528" t="s">
        <v>1578</v>
      </c>
      <c r="G5528" t="s">
        <v>1513</v>
      </c>
    </row>
    <row r="5529" spans="1:7">
      <c r="A5529" t="s">
        <v>7132</v>
      </c>
      <c r="B5529" s="2">
        <v>45986</v>
      </c>
      <c r="C5529" t="s">
        <v>99</v>
      </c>
      <c r="D5529" t="s">
        <v>1629</v>
      </c>
      <c r="E5529">
        <v>578.45000000000005</v>
      </c>
      <c r="F5529" t="s">
        <v>1578</v>
      </c>
      <c r="G5529" t="s">
        <v>1513</v>
      </c>
    </row>
    <row r="5530" spans="1:7">
      <c r="A5530" t="s">
        <v>7133</v>
      </c>
      <c r="B5530" s="2">
        <v>45986</v>
      </c>
      <c r="C5530" t="s">
        <v>102</v>
      </c>
      <c r="D5530" t="s">
        <v>1629</v>
      </c>
      <c r="E5530">
        <v>477.36</v>
      </c>
      <c r="F5530" t="s">
        <v>1578</v>
      </c>
      <c r="G5530" t="s">
        <v>1513</v>
      </c>
    </row>
    <row r="5531" spans="1:7">
      <c r="A5531" t="s">
        <v>7134</v>
      </c>
      <c r="B5531" s="2">
        <v>45986</v>
      </c>
      <c r="C5531" t="s">
        <v>108</v>
      </c>
      <c r="D5531" t="s">
        <v>1629</v>
      </c>
      <c r="E5531">
        <v>950.04</v>
      </c>
      <c r="F5531" t="s">
        <v>1578</v>
      </c>
      <c r="G5531" t="s">
        <v>1513</v>
      </c>
    </row>
    <row r="5532" spans="1:7">
      <c r="A5532" t="s">
        <v>7135</v>
      </c>
      <c r="B5532" s="2">
        <v>45986</v>
      </c>
      <c r="C5532" t="s">
        <v>110</v>
      </c>
      <c r="D5532" t="s">
        <v>1629</v>
      </c>
      <c r="E5532">
        <v>477.36</v>
      </c>
      <c r="F5532" t="s">
        <v>1578</v>
      </c>
      <c r="G5532" t="s">
        <v>1513</v>
      </c>
    </row>
    <row r="5533" spans="1:7">
      <c r="A5533" t="s">
        <v>7136</v>
      </c>
      <c r="B5533" s="2">
        <v>45986</v>
      </c>
      <c r="C5533" t="s">
        <v>114</v>
      </c>
      <c r="D5533" t="s">
        <v>1629</v>
      </c>
      <c r="E5533">
        <v>472.68</v>
      </c>
      <c r="F5533" t="s">
        <v>1578</v>
      </c>
      <c r="G5533" t="s">
        <v>1513</v>
      </c>
    </row>
    <row r="5534" spans="1:7">
      <c r="A5534" t="s">
        <v>7137</v>
      </c>
      <c r="B5534" s="2">
        <v>45986</v>
      </c>
      <c r="C5534" t="s">
        <v>117</v>
      </c>
      <c r="D5534" t="s">
        <v>1629</v>
      </c>
      <c r="E5534">
        <v>470.34</v>
      </c>
      <c r="F5534" t="s">
        <v>1578</v>
      </c>
      <c r="G5534" t="s">
        <v>1513</v>
      </c>
    </row>
    <row r="5535" spans="1:7">
      <c r="A5535" t="s">
        <v>7138</v>
      </c>
      <c r="B5535" s="2">
        <v>45986</v>
      </c>
      <c r="C5535" t="s">
        <v>119</v>
      </c>
      <c r="D5535" t="s">
        <v>1629</v>
      </c>
      <c r="E5535">
        <v>472.68</v>
      </c>
      <c r="F5535" t="s">
        <v>1578</v>
      </c>
      <c r="G5535" t="s">
        <v>1513</v>
      </c>
    </row>
    <row r="5536" spans="1:7">
      <c r="A5536" t="s">
        <v>7139</v>
      </c>
      <c r="B5536" s="2">
        <v>45987</v>
      </c>
      <c r="C5536" t="s">
        <v>61</v>
      </c>
      <c r="D5536" t="s">
        <v>1629</v>
      </c>
      <c r="E5536">
        <v>417.18</v>
      </c>
      <c r="F5536" t="s">
        <v>1578</v>
      </c>
      <c r="G5536" t="s">
        <v>1514</v>
      </c>
    </row>
    <row r="5537" spans="1:7">
      <c r="A5537" t="s">
        <v>7140</v>
      </c>
      <c r="B5537" s="2">
        <v>45987</v>
      </c>
      <c r="C5537" t="s">
        <v>65</v>
      </c>
      <c r="D5537" t="s">
        <v>1629</v>
      </c>
      <c r="E5537">
        <v>415.13</v>
      </c>
      <c r="F5537" t="s">
        <v>1578</v>
      </c>
      <c r="G5537" t="s">
        <v>1514</v>
      </c>
    </row>
    <row r="5538" spans="1:7">
      <c r="A5538" t="s">
        <v>7141</v>
      </c>
      <c r="B5538" s="2">
        <v>45987</v>
      </c>
      <c r="C5538" t="s">
        <v>68</v>
      </c>
      <c r="D5538" t="s">
        <v>1629</v>
      </c>
      <c r="E5538">
        <v>417.18</v>
      </c>
      <c r="F5538" t="s">
        <v>1578</v>
      </c>
      <c r="G5538" t="s">
        <v>1514</v>
      </c>
    </row>
    <row r="5539" spans="1:7">
      <c r="A5539" t="s">
        <v>7142</v>
      </c>
      <c r="B5539" s="2">
        <v>45987</v>
      </c>
      <c r="C5539" t="s">
        <v>75</v>
      </c>
      <c r="D5539" t="s">
        <v>1629</v>
      </c>
      <c r="E5539">
        <v>413.09</v>
      </c>
      <c r="F5539" t="s">
        <v>1578</v>
      </c>
      <c r="G5539" t="s">
        <v>1514</v>
      </c>
    </row>
    <row r="5540" spans="1:7">
      <c r="A5540" t="s">
        <v>7143</v>
      </c>
      <c r="B5540" s="2">
        <v>45987</v>
      </c>
      <c r="C5540" t="s">
        <v>79</v>
      </c>
      <c r="D5540" t="s">
        <v>1629</v>
      </c>
      <c r="E5540">
        <v>417.18</v>
      </c>
      <c r="F5540" t="s">
        <v>1578</v>
      </c>
      <c r="G5540" t="s">
        <v>1514</v>
      </c>
    </row>
    <row r="5541" spans="1:7">
      <c r="A5541" t="s">
        <v>7144</v>
      </c>
      <c r="B5541" s="2">
        <v>45987</v>
      </c>
      <c r="C5541" t="s">
        <v>81</v>
      </c>
      <c r="D5541" t="s">
        <v>1629</v>
      </c>
      <c r="E5541">
        <v>826.18</v>
      </c>
      <c r="F5541" t="s">
        <v>1578</v>
      </c>
      <c r="G5541" t="s">
        <v>1514</v>
      </c>
    </row>
    <row r="5542" spans="1:7">
      <c r="A5542" t="s">
        <v>7145</v>
      </c>
      <c r="B5542" s="2">
        <v>45987</v>
      </c>
      <c r="C5542" t="s">
        <v>110</v>
      </c>
      <c r="D5542" t="s">
        <v>1629</v>
      </c>
      <c r="E5542">
        <v>417.18</v>
      </c>
      <c r="F5542" t="s">
        <v>1578</v>
      </c>
      <c r="G5542" t="s">
        <v>1514</v>
      </c>
    </row>
    <row r="5543" spans="1:7">
      <c r="A5543" t="s">
        <v>7146</v>
      </c>
      <c r="B5543" s="2">
        <v>45987</v>
      </c>
      <c r="C5543" t="s">
        <v>114</v>
      </c>
      <c r="D5543" t="s">
        <v>1629</v>
      </c>
      <c r="E5543">
        <v>413.09</v>
      </c>
      <c r="F5543" t="s">
        <v>1578</v>
      </c>
      <c r="G5543" t="s">
        <v>1514</v>
      </c>
    </row>
    <row r="5544" spans="1:7">
      <c r="A5544" t="s">
        <v>7147</v>
      </c>
      <c r="B5544" s="2">
        <v>45987</v>
      </c>
      <c r="C5544" t="s">
        <v>117</v>
      </c>
      <c r="D5544" t="s">
        <v>1629</v>
      </c>
      <c r="E5544">
        <v>411.04</v>
      </c>
      <c r="F5544" t="s">
        <v>1578</v>
      </c>
      <c r="G5544" t="s">
        <v>1514</v>
      </c>
    </row>
    <row r="5545" spans="1:7">
      <c r="A5545" t="s">
        <v>7148</v>
      </c>
      <c r="B5545" s="2">
        <v>45987</v>
      </c>
      <c r="C5545" t="s">
        <v>119</v>
      </c>
      <c r="D5545" t="s">
        <v>1629</v>
      </c>
      <c r="E5545">
        <v>413.09</v>
      </c>
      <c r="F5545" t="s">
        <v>1578</v>
      </c>
      <c r="G5545" t="s">
        <v>1514</v>
      </c>
    </row>
    <row r="5546" spans="1:7">
      <c r="A5546" t="s">
        <v>7149</v>
      </c>
      <c r="B5546" s="2">
        <v>45988</v>
      </c>
      <c r="C5546" t="s">
        <v>61</v>
      </c>
      <c r="D5546" t="s">
        <v>1629</v>
      </c>
      <c r="E5546">
        <v>237.66</v>
      </c>
      <c r="F5546" t="s">
        <v>1578</v>
      </c>
      <c r="G5546" t="s">
        <v>1515</v>
      </c>
    </row>
    <row r="5547" spans="1:7">
      <c r="A5547" t="s">
        <v>7150</v>
      </c>
      <c r="B5547" s="2">
        <v>45988</v>
      </c>
      <c r="C5547" t="s">
        <v>65</v>
      </c>
      <c r="D5547" t="s">
        <v>1629</v>
      </c>
      <c r="E5547">
        <v>236.49</v>
      </c>
      <c r="F5547" t="s">
        <v>1578</v>
      </c>
      <c r="G5547" t="s">
        <v>1515</v>
      </c>
    </row>
    <row r="5548" spans="1:7">
      <c r="A5548" t="s">
        <v>7151</v>
      </c>
      <c r="B5548" s="2">
        <v>45988</v>
      </c>
      <c r="C5548" t="s">
        <v>68</v>
      </c>
      <c r="D5548" t="s">
        <v>1629</v>
      </c>
      <c r="E5548">
        <v>237.66</v>
      </c>
      <c r="F5548" t="s">
        <v>1578</v>
      </c>
      <c r="G5548" t="s">
        <v>1515</v>
      </c>
    </row>
    <row r="5549" spans="1:7">
      <c r="A5549" t="s">
        <v>7152</v>
      </c>
      <c r="B5549" s="2">
        <v>45988</v>
      </c>
      <c r="C5549" t="s">
        <v>70</v>
      </c>
      <c r="D5549" t="s">
        <v>1629</v>
      </c>
      <c r="E5549">
        <v>235.33</v>
      </c>
      <c r="F5549" t="s">
        <v>1578</v>
      </c>
      <c r="G5549" t="s">
        <v>1515</v>
      </c>
    </row>
    <row r="5550" spans="1:7">
      <c r="A5550" t="s">
        <v>7153</v>
      </c>
      <c r="B5550" s="2">
        <v>45988</v>
      </c>
      <c r="C5550" t="s">
        <v>75</v>
      </c>
      <c r="D5550" t="s">
        <v>1629</v>
      </c>
      <c r="E5550">
        <v>235.33</v>
      </c>
      <c r="F5550" t="s">
        <v>1578</v>
      </c>
      <c r="G5550" t="s">
        <v>1515</v>
      </c>
    </row>
    <row r="5551" spans="1:7">
      <c r="A5551" t="s">
        <v>7154</v>
      </c>
      <c r="B5551" s="2">
        <v>45988</v>
      </c>
      <c r="C5551" t="s">
        <v>77</v>
      </c>
      <c r="D5551" t="s">
        <v>1629</v>
      </c>
      <c r="E5551">
        <v>235.33</v>
      </c>
      <c r="F5551" t="s">
        <v>1578</v>
      </c>
      <c r="G5551" t="s">
        <v>1515</v>
      </c>
    </row>
    <row r="5552" spans="1:7">
      <c r="A5552" t="s">
        <v>7155</v>
      </c>
      <c r="B5552" s="2">
        <v>45988</v>
      </c>
      <c r="C5552" t="s">
        <v>79</v>
      </c>
      <c r="D5552" t="s">
        <v>1629</v>
      </c>
      <c r="E5552">
        <v>237.66</v>
      </c>
      <c r="F5552" t="s">
        <v>1578</v>
      </c>
      <c r="G5552" t="s">
        <v>1515</v>
      </c>
    </row>
    <row r="5553" spans="1:7">
      <c r="A5553" t="s">
        <v>7156</v>
      </c>
      <c r="B5553" s="2">
        <v>45988</v>
      </c>
      <c r="C5553" t="s">
        <v>81</v>
      </c>
      <c r="D5553" t="s">
        <v>1629</v>
      </c>
      <c r="E5553">
        <v>470.66</v>
      </c>
      <c r="F5553" t="s">
        <v>1578</v>
      </c>
      <c r="G5553" t="s">
        <v>1515</v>
      </c>
    </row>
    <row r="5554" spans="1:7">
      <c r="A5554" t="s">
        <v>7157</v>
      </c>
      <c r="B5554" s="2">
        <v>45988</v>
      </c>
      <c r="C5554" t="s">
        <v>110</v>
      </c>
      <c r="D5554" t="s">
        <v>1629</v>
      </c>
      <c r="E5554">
        <v>237.66</v>
      </c>
      <c r="F5554" t="s">
        <v>1578</v>
      </c>
      <c r="G5554" t="s">
        <v>1515</v>
      </c>
    </row>
    <row r="5555" spans="1:7">
      <c r="A5555" t="s">
        <v>7158</v>
      </c>
      <c r="B5555" s="2">
        <v>45988</v>
      </c>
      <c r="C5555" t="s">
        <v>114</v>
      </c>
      <c r="D5555" t="s">
        <v>1629</v>
      </c>
      <c r="E5555">
        <v>235.33</v>
      </c>
      <c r="F5555" t="s">
        <v>1578</v>
      </c>
      <c r="G5555" t="s">
        <v>1515</v>
      </c>
    </row>
    <row r="5556" spans="1:7">
      <c r="A5556" t="s">
        <v>7159</v>
      </c>
      <c r="B5556" s="2">
        <v>45988</v>
      </c>
      <c r="C5556" t="s">
        <v>117</v>
      </c>
      <c r="D5556" t="s">
        <v>1629</v>
      </c>
      <c r="E5556">
        <v>234.16</v>
      </c>
      <c r="F5556" t="s">
        <v>1578</v>
      </c>
      <c r="G5556" t="s">
        <v>1515</v>
      </c>
    </row>
    <row r="5557" spans="1:7">
      <c r="A5557" t="s">
        <v>7160</v>
      </c>
      <c r="B5557" s="2">
        <v>45988</v>
      </c>
      <c r="C5557" t="s">
        <v>119</v>
      </c>
      <c r="D5557" t="s">
        <v>1629</v>
      </c>
      <c r="E5557">
        <v>235.33</v>
      </c>
      <c r="F5557" t="s">
        <v>1578</v>
      </c>
      <c r="G5557" t="s">
        <v>1515</v>
      </c>
    </row>
    <row r="5558" spans="1:7">
      <c r="A5558" t="s">
        <v>7161</v>
      </c>
      <c r="B5558" s="2">
        <v>45988</v>
      </c>
      <c r="C5558" t="s">
        <v>95</v>
      </c>
      <c r="D5558" t="s">
        <v>1683</v>
      </c>
      <c r="E5558">
        <v>139</v>
      </c>
      <c r="F5558" t="s">
        <v>1578</v>
      </c>
      <c r="G5558" t="s">
        <v>980</v>
      </c>
    </row>
    <row r="5559" spans="1:7">
      <c r="A5559" t="s">
        <v>7162</v>
      </c>
      <c r="B5559" s="2">
        <v>45989</v>
      </c>
      <c r="C5559" t="s">
        <v>61</v>
      </c>
      <c r="D5559" t="s">
        <v>1629</v>
      </c>
      <c r="E5559">
        <v>408</v>
      </c>
      <c r="F5559" t="s">
        <v>1578</v>
      </c>
      <c r="G5559" t="s">
        <v>1516</v>
      </c>
    </row>
    <row r="5560" spans="1:7">
      <c r="A5560" t="s">
        <v>7163</v>
      </c>
      <c r="B5560" s="2">
        <v>45989</v>
      </c>
      <c r="C5560" t="s">
        <v>65</v>
      </c>
      <c r="D5560" t="s">
        <v>1629</v>
      </c>
      <c r="E5560">
        <v>406</v>
      </c>
      <c r="F5560" t="s">
        <v>1578</v>
      </c>
      <c r="G5560" t="s">
        <v>1516</v>
      </c>
    </row>
    <row r="5561" spans="1:7">
      <c r="A5561" t="s">
        <v>7164</v>
      </c>
      <c r="B5561" s="2">
        <v>45989</v>
      </c>
      <c r="C5561" t="s">
        <v>68</v>
      </c>
      <c r="D5561" t="s">
        <v>1629</v>
      </c>
      <c r="E5561">
        <v>408</v>
      </c>
      <c r="F5561" t="s">
        <v>1578</v>
      </c>
      <c r="G5561" t="s">
        <v>1516</v>
      </c>
    </row>
    <row r="5562" spans="1:7">
      <c r="A5562" t="s">
        <v>7165</v>
      </c>
      <c r="B5562" s="2">
        <v>45989</v>
      </c>
      <c r="C5562" t="s">
        <v>70</v>
      </c>
      <c r="D5562" t="s">
        <v>1629</v>
      </c>
      <c r="E5562">
        <v>404</v>
      </c>
      <c r="F5562" t="s">
        <v>1578</v>
      </c>
      <c r="G5562" t="s">
        <v>1516</v>
      </c>
    </row>
    <row r="5563" spans="1:7">
      <c r="A5563" t="s">
        <v>7166</v>
      </c>
      <c r="B5563" s="2">
        <v>45989</v>
      </c>
      <c r="C5563" t="s">
        <v>75</v>
      </c>
      <c r="D5563" t="s">
        <v>1629</v>
      </c>
      <c r="E5563">
        <v>404</v>
      </c>
      <c r="F5563" t="s">
        <v>1578</v>
      </c>
      <c r="G5563" t="s">
        <v>1516</v>
      </c>
    </row>
    <row r="5564" spans="1:7">
      <c r="A5564" t="s">
        <v>7167</v>
      </c>
      <c r="B5564" s="2">
        <v>45989</v>
      </c>
      <c r="C5564" t="s">
        <v>77</v>
      </c>
      <c r="D5564" t="s">
        <v>1629</v>
      </c>
      <c r="E5564">
        <v>404</v>
      </c>
      <c r="F5564" t="s">
        <v>1578</v>
      </c>
      <c r="G5564" t="s">
        <v>1516</v>
      </c>
    </row>
    <row r="5565" spans="1:7">
      <c r="A5565" t="s">
        <v>7168</v>
      </c>
      <c r="B5565" s="2">
        <v>45989</v>
      </c>
      <c r="C5565" t="s">
        <v>79</v>
      </c>
      <c r="D5565" t="s">
        <v>1629</v>
      </c>
      <c r="E5565">
        <v>408</v>
      </c>
      <c r="F5565" t="s">
        <v>1578</v>
      </c>
      <c r="G5565" t="s">
        <v>1516</v>
      </c>
    </row>
    <row r="5566" spans="1:7">
      <c r="A5566" t="s">
        <v>7169</v>
      </c>
      <c r="B5566" s="2">
        <v>45989</v>
      </c>
      <c r="C5566" t="s">
        <v>81</v>
      </c>
      <c r="D5566" t="s">
        <v>1629</v>
      </c>
      <c r="E5566">
        <v>808</v>
      </c>
      <c r="F5566" t="s">
        <v>1578</v>
      </c>
      <c r="G5566" t="s">
        <v>1516</v>
      </c>
    </row>
    <row r="5567" spans="1:7">
      <c r="A5567" t="s">
        <v>7170</v>
      </c>
      <c r="B5567" s="2">
        <v>45989</v>
      </c>
      <c r="C5567" t="s">
        <v>110</v>
      </c>
      <c r="D5567" t="s">
        <v>1629</v>
      </c>
      <c r="E5567">
        <v>408</v>
      </c>
      <c r="F5567" t="s">
        <v>1578</v>
      </c>
      <c r="G5567" t="s">
        <v>1516</v>
      </c>
    </row>
    <row r="5568" spans="1:7">
      <c r="A5568" t="s">
        <v>7171</v>
      </c>
      <c r="B5568" s="2">
        <v>45989</v>
      </c>
      <c r="C5568" t="s">
        <v>114</v>
      </c>
      <c r="D5568" t="s">
        <v>1629</v>
      </c>
      <c r="E5568">
        <v>404</v>
      </c>
      <c r="F5568" t="s">
        <v>1578</v>
      </c>
      <c r="G5568" t="s">
        <v>1516</v>
      </c>
    </row>
    <row r="5569" spans="1:7">
      <c r="A5569" t="s">
        <v>7172</v>
      </c>
      <c r="B5569" s="2">
        <v>45989</v>
      </c>
      <c r="C5569" t="s">
        <v>117</v>
      </c>
      <c r="D5569" t="s">
        <v>1629</v>
      </c>
      <c r="E5569">
        <v>402</v>
      </c>
      <c r="F5569" t="s">
        <v>1578</v>
      </c>
      <c r="G5569" t="s">
        <v>1516</v>
      </c>
    </row>
    <row r="5570" spans="1:7">
      <c r="A5570" t="s">
        <v>7173</v>
      </c>
      <c r="B5570" s="2">
        <v>45989</v>
      </c>
      <c r="C5570" t="s">
        <v>119</v>
      </c>
      <c r="D5570" t="s">
        <v>1629</v>
      </c>
      <c r="E5570">
        <v>404</v>
      </c>
      <c r="F5570" t="s">
        <v>1578</v>
      </c>
      <c r="G5570" t="s">
        <v>1516</v>
      </c>
    </row>
    <row r="5571" spans="1:7">
      <c r="A5571" t="s">
        <v>7174</v>
      </c>
      <c r="B5571" s="2">
        <v>45989</v>
      </c>
      <c r="C5571" t="s">
        <v>117</v>
      </c>
      <c r="D5571" t="s">
        <v>1683</v>
      </c>
      <c r="E5571">
        <v>199</v>
      </c>
      <c r="F5571" t="s">
        <v>1578</v>
      </c>
      <c r="G5571" t="s">
        <v>981</v>
      </c>
    </row>
    <row r="5572" spans="1:7">
      <c r="A5572" t="s">
        <v>7175</v>
      </c>
      <c r="B5572" s="2">
        <v>45989</v>
      </c>
      <c r="C5572" t="s">
        <v>99</v>
      </c>
      <c r="D5572" t="s">
        <v>1683</v>
      </c>
      <c r="E5572">
        <v>237</v>
      </c>
      <c r="F5572" t="s">
        <v>1578</v>
      </c>
      <c r="G5572" t="s">
        <v>982</v>
      </c>
    </row>
    <row r="5573" spans="1:7">
      <c r="A5573" t="s">
        <v>7176</v>
      </c>
      <c r="B5573" s="2">
        <v>45990</v>
      </c>
      <c r="C5573" t="s">
        <v>75</v>
      </c>
      <c r="D5573" t="s">
        <v>1629</v>
      </c>
      <c r="E5573">
        <v>385.82</v>
      </c>
      <c r="F5573" t="s">
        <v>1578</v>
      </c>
      <c r="G5573" t="s">
        <v>1517</v>
      </c>
    </row>
    <row r="5574" spans="1:7">
      <c r="A5574" t="s">
        <v>7177</v>
      </c>
      <c r="B5574" s="2">
        <v>45990</v>
      </c>
      <c r="C5574" t="s">
        <v>91</v>
      </c>
      <c r="D5574" t="s">
        <v>1629</v>
      </c>
      <c r="E5574">
        <v>391.55</v>
      </c>
      <c r="F5574" t="s">
        <v>1578</v>
      </c>
      <c r="G5574" t="s">
        <v>1517</v>
      </c>
    </row>
    <row r="5575" spans="1:7">
      <c r="A5575" t="s">
        <v>7178</v>
      </c>
      <c r="B5575" s="2">
        <v>45990</v>
      </c>
      <c r="C5575" t="s">
        <v>93</v>
      </c>
      <c r="D5575" t="s">
        <v>1629</v>
      </c>
      <c r="E5575">
        <v>389.64</v>
      </c>
      <c r="F5575" t="s">
        <v>1578</v>
      </c>
      <c r="G5575" t="s">
        <v>1517</v>
      </c>
    </row>
    <row r="5576" spans="1:7">
      <c r="A5576" t="s">
        <v>7179</v>
      </c>
      <c r="B5576" s="2">
        <v>45990</v>
      </c>
      <c r="C5576" t="s">
        <v>95</v>
      </c>
      <c r="D5576" t="s">
        <v>1629</v>
      </c>
      <c r="E5576">
        <v>387.73</v>
      </c>
      <c r="F5576" t="s">
        <v>1578</v>
      </c>
      <c r="G5576" t="s">
        <v>1517</v>
      </c>
    </row>
    <row r="5577" spans="1:7">
      <c r="A5577" t="s">
        <v>7180</v>
      </c>
      <c r="B5577" s="2">
        <v>45990</v>
      </c>
      <c r="C5577" t="s">
        <v>97</v>
      </c>
      <c r="D5577" t="s">
        <v>1629</v>
      </c>
      <c r="E5577">
        <v>385.82</v>
      </c>
      <c r="F5577" t="s">
        <v>1578</v>
      </c>
      <c r="G5577" t="s">
        <v>1517</v>
      </c>
    </row>
    <row r="5578" spans="1:7">
      <c r="A5578" t="s">
        <v>7181</v>
      </c>
      <c r="B5578" s="2">
        <v>45990</v>
      </c>
      <c r="C5578" t="s">
        <v>99</v>
      </c>
      <c r="D5578" t="s">
        <v>1629</v>
      </c>
      <c r="E5578">
        <v>196.73</v>
      </c>
      <c r="F5578" t="s">
        <v>1578</v>
      </c>
      <c r="G5578" t="s">
        <v>1517</v>
      </c>
    </row>
    <row r="5579" spans="1:7">
      <c r="A5579" t="s">
        <v>7182</v>
      </c>
      <c r="B5579" s="2">
        <v>45990</v>
      </c>
      <c r="C5579" t="s">
        <v>102</v>
      </c>
      <c r="D5579" t="s">
        <v>1629</v>
      </c>
      <c r="E5579">
        <v>389.64</v>
      </c>
      <c r="F5579" t="s">
        <v>1578</v>
      </c>
      <c r="G5579" t="s">
        <v>1517</v>
      </c>
    </row>
    <row r="5580" spans="1:7">
      <c r="A5580" t="s">
        <v>7183</v>
      </c>
      <c r="B5580" s="2">
        <v>45990</v>
      </c>
      <c r="C5580" t="s">
        <v>108</v>
      </c>
      <c r="D5580" t="s">
        <v>1629</v>
      </c>
      <c r="E5580">
        <v>775.46</v>
      </c>
      <c r="F5580" t="s">
        <v>1578</v>
      </c>
      <c r="G5580" t="s">
        <v>1517</v>
      </c>
    </row>
    <row r="5581" spans="1:7">
      <c r="A5581" t="s">
        <v>7184</v>
      </c>
      <c r="B5581" s="2">
        <v>45990</v>
      </c>
      <c r="C5581" t="s">
        <v>110</v>
      </c>
      <c r="D5581" t="s">
        <v>1629</v>
      </c>
      <c r="E5581">
        <v>389.64</v>
      </c>
      <c r="F5581" t="s">
        <v>1578</v>
      </c>
      <c r="G5581" t="s">
        <v>1517</v>
      </c>
    </row>
    <row r="5582" spans="1:7">
      <c r="A5582" t="s">
        <v>7185</v>
      </c>
      <c r="B5582" s="2">
        <v>45990</v>
      </c>
      <c r="C5582" t="s">
        <v>114</v>
      </c>
      <c r="D5582" t="s">
        <v>1629</v>
      </c>
      <c r="E5582">
        <v>385.82</v>
      </c>
      <c r="F5582" t="s">
        <v>1578</v>
      </c>
      <c r="G5582" t="s">
        <v>1517</v>
      </c>
    </row>
    <row r="5583" spans="1:7">
      <c r="A5583" t="s">
        <v>7186</v>
      </c>
      <c r="B5583" s="2">
        <v>45990</v>
      </c>
      <c r="C5583" t="s">
        <v>117</v>
      </c>
      <c r="D5583" t="s">
        <v>1629</v>
      </c>
      <c r="E5583">
        <v>383.91</v>
      </c>
      <c r="F5583" t="s">
        <v>1578</v>
      </c>
      <c r="G5583" t="s">
        <v>1517</v>
      </c>
    </row>
    <row r="5584" spans="1:7">
      <c r="A5584" t="s">
        <v>7187</v>
      </c>
      <c r="B5584" s="2">
        <v>45990</v>
      </c>
      <c r="C5584" t="s">
        <v>119</v>
      </c>
      <c r="D5584" t="s">
        <v>1629</v>
      </c>
      <c r="E5584">
        <v>385.82</v>
      </c>
      <c r="F5584" t="s">
        <v>1578</v>
      </c>
      <c r="G5584" t="s">
        <v>1517</v>
      </c>
    </row>
    <row r="5585" spans="1:7">
      <c r="A5585" t="s">
        <v>7188</v>
      </c>
      <c r="B5585" s="2">
        <v>45990</v>
      </c>
      <c r="C5585" t="s">
        <v>79</v>
      </c>
      <c r="D5585" t="s">
        <v>1683</v>
      </c>
      <c r="E5585">
        <v>218</v>
      </c>
      <c r="F5585" t="s">
        <v>1578</v>
      </c>
      <c r="G5585" t="s">
        <v>983</v>
      </c>
    </row>
    <row r="5586" spans="1:7">
      <c r="A5586" t="s">
        <v>7189</v>
      </c>
      <c r="B5586" s="2">
        <v>45990</v>
      </c>
      <c r="C5586" t="s">
        <v>104</v>
      </c>
      <c r="D5586" t="s">
        <v>1683</v>
      </c>
      <c r="E5586">
        <v>179</v>
      </c>
      <c r="F5586" t="s">
        <v>1578</v>
      </c>
      <c r="G5586" t="s">
        <v>984</v>
      </c>
    </row>
    <row r="5587" spans="1:7">
      <c r="A5587" t="s">
        <v>7190</v>
      </c>
      <c r="B5587" s="2">
        <v>45991</v>
      </c>
      <c r="C5587" t="s">
        <v>75</v>
      </c>
      <c r="D5587" t="s">
        <v>1629</v>
      </c>
      <c r="E5587">
        <v>275.73</v>
      </c>
      <c r="F5587" t="s">
        <v>1578</v>
      </c>
      <c r="G5587" t="s">
        <v>1518</v>
      </c>
    </row>
    <row r="5588" spans="1:7">
      <c r="A5588" t="s">
        <v>7191</v>
      </c>
      <c r="B5588" s="2">
        <v>45991</v>
      </c>
      <c r="C5588" t="s">
        <v>91</v>
      </c>
      <c r="D5588" t="s">
        <v>1629</v>
      </c>
      <c r="E5588">
        <v>279.82</v>
      </c>
      <c r="F5588" t="s">
        <v>1578</v>
      </c>
      <c r="G5588" t="s">
        <v>1518</v>
      </c>
    </row>
    <row r="5589" spans="1:7">
      <c r="A5589" t="s">
        <v>7192</v>
      </c>
      <c r="B5589" s="2">
        <v>45991</v>
      </c>
      <c r="C5589" t="s">
        <v>93</v>
      </c>
      <c r="D5589" t="s">
        <v>1629</v>
      </c>
      <c r="E5589">
        <v>278.45999999999998</v>
      </c>
      <c r="F5589" t="s">
        <v>1578</v>
      </c>
      <c r="G5589" t="s">
        <v>1518</v>
      </c>
    </row>
    <row r="5590" spans="1:7">
      <c r="A5590" t="s">
        <v>7193</v>
      </c>
      <c r="B5590" s="2">
        <v>45991</v>
      </c>
      <c r="C5590" t="s">
        <v>95</v>
      </c>
      <c r="D5590" t="s">
        <v>1629</v>
      </c>
      <c r="E5590">
        <v>277.08999999999997</v>
      </c>
      <c r="F5590" t="s">
        <v>1578</v>
      </c>
      <c r="G5590" t="s">
        <v>1518</v>
      </c>
    </row>
    <row r="5591" spans="1:7">
      <c r="A5591" t="s">
        <v>7194</v>
      </c>
      <c r="B5591" s="2">
        <v>45991</v>
      </c>
      <c r="C5591" t="s">
        <v>97</v>
      </c>
      <c r="D5591" t="s">
        <v>1629</v>
      </c>
      <c r="E5591">
        <v>275.73</v>
      </c>
      <c r="F5591" t="s">
        <v>1578</v>
      </c>
      <c r="G5591" t="s">
        <v>1518</v>
      </c>
    </row>
    <row r="5592" spans="1:7">
      <c r="A5592" t="s">
        <v>7195</v>
      </c>
      <c r="B5592" s="2">
        <v>45991</v>
      </c>
      <c r="C5592" t="s">
        <v>99</v>
      </c>
      <c r="D5592" t="s">
        <v>1629</v>
      </c>
      <c r="E5592">
        <v>140.6</v>
      </c>
      <c r="F5592" t="s">
        <v>1578</v>
      </c>
      <c r="G5592" t="s">
        <v>1518</v>
      </c>
    </row>
    <row r="5593" spans="1:7">
      <c r="A5593" t="s">
        <v>7196</v>
      </c>
      <c r="B5593" s="2">
        <v>45991</v>
      </c>
      <c r="C5593" t="s">
        <v>102</v>
      </c>
      <c r="D5593" t="s">
        <v>1629</v>
      </c>
      <c r="E5593">
        <v>278.45999999999998</v>
      </c>
      <c r="F5593" t="s">
        <v>1578</v>
      </c>
      <c r="G5593" t="s">
        <v>1518</v>
      </c>
    </row>
    <row r="5594" spans="1:7">
      <c r="A5594" t="s">
        <v>7197</v>
      </c>
      <c r="B5594" s="2">
        <v>45991</v>
      </c>
      <c r="C5594" t="s">
        <v>108</v>
      </c>
      <c r="D5594" t="s">
        <v>1629</v>
      </c>
      <c r="E5594">
        <v>554.19000000000005</v>
      </c>
      <c r="F5594" t="s">
        <v>1578</v>
      </c>
      <c r="G5594" t="s">
        <v>1518</v>
      </c>
    </row>
    <row r="5595" spans="1:7">
      <c r="A5595" t="s">
        <v>7198</v>
      </c>
      <c r="B5595" s="2">
        <v>45991</v>
      </c>
      <c r="C5595" t="s">
        <v>110</v>
      </c>
      <c r="D5595" t="s">
        <v>1629</v>
      </c>
      <c r="E5595">
        <v>278.45999999999998</v>
      </c>
      <c r="F5595" t="s">
        <v>1578</v>
      </c>
      <c r="G5595" t="s">
        <v>1518</v>
      </c>
    </row>
    <row r="5596" spans="1:7">
      <c r="A5596" t="s">
        <v>7199</v>
      </c>
      <c r="B5596" s="2">
        <v>45991</v>
      </c>
      <c r="C5596" t="s">
        <v>114</v>
      </c>
      <c r="D5596" t="s">
        <v>1629</v>
      </c>
      <c r="E5596">
        <v>275.73</v>
      </c>
      <c r="F5596" t="s">
        <v>1578</v>
      </c>
      <c r="G5596" t="s">
        <v>1518</v>
      </c>
    </row>
    <row r="5597" spans="1:7">
      <c r="A5597" t="s">
        <v>7200</v>
      </c>
      <c r="B5597" s="2">
        <v>45991</v>
      </c>
      <c r="C5597" t="s">
        <v>117</v>
      </c>
      <c r="D5597" t="s">
        <v>1629</v>
      </c>
      <c r="E5597">
        <v>274.36</v>
      </c>
      <c r="F5597" t="s">
        <v>1578</v>
      </c>
      <c r="G5597" t="s">
        <v>1518</v>
      </c>
    </row>
    <row r="5598" spans="1:7">
      <c r="A5598" t="s">
        <v>7201</v>
      </c>
      <c r="B5598" s="2">
        <v>45991</v>
      </c>
      <c r="C5598" t="s">
        <v>119</v>
      </c>
      <c r="D5598" t="s">
        <v>1629</v>
      </c>
      <c r="E5598">
        <v>275.73</v>
      </c>
      <c r="F5598" t="s">
        <v>1578</v>
      </c>
      <c r="G5598" t="s">
        <v>1518</v>
      </c>
    </row>
    <row r="5599" spans="1:7">
      <c r="A5599" t="s">
        <v>7202</v>
      </c>
      <c r="B5599" s="2">
        <v>45991</v>
      </c>
      <c r="C5599" t="s">
        <v>61</v>
      </c>
      <c r="D5599" t="s">
        <v>1629</v>
      </c>
      <c r="E5599">
        <v>355.98</v>
      </c>
      <c r="F5599" t="s">
        <v>1578</v>
      </c>
      <c r="G5599" t="s">
        <v>1519</v>
      </c>
    </row>
    <row r="5600" spans="1:7">
      <c r="A5600" t="s">
        <v>7203</v>
      </c>
      <c r="B5600" s="2">
        <v>45991</v>
      </c>
      <c r="C5600" t="s">
        <v>65</v>
      </c>
      <c r="D5600" t="s">
        <v>1629</v>
      </c>
      <c r="E5600">
        <v>354.23</v>
      </c>
      <c r="F5600" t="s">
        <v>1578</v>
      </c>
      <c r="G5600" t="s">
        <v>1519</v>
      </c>
    </row>
    <row r="5601" spans="1:7">
      <c r="A5601" t="s">
        <v>7204</v>
      </c>
      <c r="B5601" s="2">
        <v>45991</v>
      </c>
      <c r="C5601" t="s">
        <v>68</v>
      </c>
      <c r="D5601" t="s">
        <v>1629</v>
      </c>
      <c r="E5601">
        <v>355.98</v>
      </c>
      <c r="F5601" t="s">
        <v>1578</v>
      </c>
      <c r="G5601" t="s">
        <v>1519</v>
      </c>
    </row>
    <row r="5602" spans="1:7">
      <c r="A5602" t="s">
        <v>7205</v>
      </c>
      <c r="B5602" s="2">
        <v>45991</v>
      </c>
      <c r="C5602" t="s">
        <v>75</v>
      </c>
      <c r="D5602" t="s">
        <v>1629</v>
      </c>
      <c r="E5602">
        <v>352.49</v>
      </c>
      <c r="F5602" t="s">
        <v>1578</v>
      </c>
      <c r="G5602" t="s">
        <v>1519</v>
      </c>
    </row>
    <row r="5603" spans="1:7">
      <c r="A5603" t="s">
        <v>7206</v>
      </c>
      <c r="B5603" s="2">
        <v>45991</v>
      </c>
      <c r="C5603" t="s">
        <v>79</v>
      </c>
      <c r="D5603" t="s">
        <v>1629</v>
      </c>
      <c r="E5603">
        <v>355.98</v>
      </c>
      <c r="F5603" t="s">
        <v>1578</v>
      </c>
      <c r="G5603" t="s">
        <v>1519</v>
      </c>
    </row>
    <row r="5604" spans="1:7">
      <c r="A5604" t="s">
        <v>7207</v>
      </c>
      <c r="B5604" s="2">
        <v>45991</v>
      </c>
      <c r="C5604" t="s">
        <v>81</v>
      </c>
      <c r="D5604" t="s">
        <v>1629</v>
      </c>
      <c r="E5604">
        <v>704.98</v>
      </c>
      <c r="F5604" t="s">
        <v>1578</v>
      </c>
      <c r="G5604" t="s">
        <v>1519</v>
      </c>
    </row>
    <row r="5605" spans="1:7">
      <c r="A5605" t="s">
        <v>7208</v>
      </c>
      <c r="B5605" s="2">
        <v>45991</v>
      </c>
      <c r="C5605" t="s">
        <v>97</v>
      </c>
      <c r="D5605" t="s">
        <v>1629</v>
      </c>
      <c r="E5605">
        <v>355.98</v>
      </c>
      <c r="F5605" t="s">
        <v>1578</v>
      </c>
      <c r="G5605" t="s">
        <v>1519</v>
      </c>
    </row>
    <row r="5606" spans="1:7">
      <c r="A5606" t="s">
        <v>7209</v>
      </c>
      <c r="B5606" s="2">
        <v>45991</v>
      </c>
      <c r="C5606" t="s">
        <v>110</v>
      </c>
      <c r="D5606" t="s">
        <v>1629</v>
      </c>
      <c r="E5606">
        <v>355.98</v>
      </c>
      <c r="F5606" t="s">
        <v>1578</v>
      </c>
      <c r="G5606" t="s">
        <v>1519</v>
      </c>
    </row>
    <row r="5607" spans="1:7">
      <c r="A5607" t="s">
        <v>7210</v>
      </c>
      <c r="B5607" s="2">
        <v>45991</v>
      </c>
      <c r="C5607" t="s">
        <v>114</v>
      </c>
      <c r="D5607" t="s">
        <v>1629</v>
      </c>
      <c r="E5607">
        <v>352.49</v>
      </c>
      <c r="F5607" t="s">
        <v>1578</v>
      </c>
      <c r="G5607" t="s">
        <v>1519</v>
      </c>
    </row>
    <row r="5608" spans="1:7">
      <c r="A5608" t="s">
        <v>7211</v>
      </c>
      <c r="B5608" s="2">
        <v>45991</v>
      </c>
      <c r="C5608" t="s">
        <v>117</v>
      </c>
      <c r="D5608" t="s">
        <v>1629</v>
      </c>
      <c r="E5608">
        <v>350.74</v>
      </c>
      <c r="F5608" t="s">
        <v>1578</v>
      </c>
      <c r="G5608" t="s">
        <v>1519</v>
      </c>
    </row>
    <row r="5609" spans="1:7">
      <c r="A5609" t="s">
        <v>7212</v>
      </c>
      <c r="B5609" s="2">
        <v>45991</v>
      </c>
      <c r="C5609" t="s">
        <v>119</v>
      </c>
      <c r="D5609" t="s">
        <v>1629</v>
      </c>
      <c r="E5609">
        <v>352.49</v>
      </c>
      <c r="F5609" t="s">
        <v>1578</v>
      </c>
      <c r="G5609" t="s">
        <v>1519</v>
      </c>
    </row>
    <row r="5610" spans="1:7">
      <c r="A5610" t="s">
        <v>7213</v>
      </c>
      <c r="B5610" s="2">
        <v>45991</v>
      </c>
      <c r="C5610" t="s">
        <v>75</v>
      </c>
      <c r="D5610" t="s">
        <v>1629</v>
      </c>
      <c r="E5610">
        <v>154.53</v>
      </c>
      <c r="F5610" t="s">
        <v>1578</v>
      </c>
      <c r="G5610" t="s">
        <v>1520</v>
      </c>
    </row>
    <row r="5611" spans="1:7">
      <c r="A5611" t="s">
        <v>7214</v>
      </c>
      <c r="B5611" s="2">
        <v>45991</v>
      </c>
      <c r="C5611" t="s">
        <v>106</v>
      </c>
      <c r="D5611" t="s">
        <v>1629</v>
      </c>
      <c r="E5611">
        <v>157.59</v>
      </c>
      <c r="F5611" t="s">
        <v>1578</v>
      </c>
      <c r="G5611" t="s">
        <v>1520</v>
      </c>
    </row>
    <row r="5612" spans="1:7">
      <c r="A5612" t="s">
        <v>7215</v>
      </c>
      <c r="B5612" s="2">
        <v>45991</v>
      </c>
      <c r="C5612" t="s">
        <v>108</v>
      </c>
      <c r="D5612" t="s">
        <v>1629</v>
      </c>
      <c r="E5612">
        <v>310.58999999999997</v>
      </c>
      <c r="F5612" t="s">
        <v>1578</v>
      </c>
      <c r="G5612" t="s">
        <v>1520</v>
      </c>
    </row>
    <row r="5613" spans="1:7">
      <c r="A5613" t="s">
        <v>7216</v>
      </c>
      <c r="B5613" s="2">
        <v>45991</v>
      </c>
      <c r="C5613" t="s">
        <v>110</v>
      </c>
      <c r="D5613" t="s">
        <v>1629</v>
      </c>
      <c r="E5613">
        <v>156.06</v>
      </c>
      <c r="F5613" t="s">
        <v>1578</v>
      </c>
      <c r="G5613" t="s">
        <v>1520</v>
      </c>
    </row>
    <row r="5614" spans="1:7">
      <c r="A5614" t="s">
        <v>7217</v>
      </c>
      <c r="B5614" s="2">
        <v>45991</v>
      </c>
      <c r="C5614" t="s">
        <v>114</v>
      </c>
      <c r="D5614" t="s">
        <v>1629</v>
      </c>
      <c r="E5614">
        <v>154.53</v>
      </c>
      <c r="F5614" t="s">
        <v>1578</v>
      </c>
      <c r="G5614" t="s">
        <v>1520</v>
      </c>
    </row>
    <row r="5615" spans="1:7">
      <c r="A5615" t="s">
        <v>7218</v>
      </c>
      <c r="B5615" s="2">
        <v>45991</v>
      </c>
      <c r="C5615" t="s">
        <v>117</v>
      </c>
      <c r="D5615" t="s">
        <v>1629</v>
      </c>
      <c r="E5615">
        <v>153.76</v>
      </c>
      <c r="F5615" t="s">
        <v>1578</v>
      </c>
      <c r="G5615" t="s">
        <v>1520</v>
      </c>
    </row>
    <row r="5616" spans="1:7">
      <c r="A5616" t="s">
        <v>7219</v>
      </c>
      <c r="B5616" s="2">
        <v>45991</v>
      </c>
      <c r="C5616" t="s">
        <v>119</v>
      </c>
      <c r="D5616" t="s">
        <v>1629</v>
      </c>
      <c r="E5616">
        <v>154.53</v>
      </c>
      <c r="F5616" t="s">
        <v>1578</v>
      </c>
      <c r="G5616" t="s">
        <v>1520</v>
      </c>
    </row>
    <row r="5617" spans="1:7">
      <c r="A5617" t="s">
        <v>7220</v>
      </c>
      <c r="B5617" s="2">
        <v>45991</v>
      </c>
      <c r="C5617" t="s">
        <v>61</v>
      </c>
      <c r="D5617" t="s">
        <v>1629</v>
      </c>
      <c r="E5617">
        <v>459</v>
      </c>
      <c r="F5617" t="s">
        <v>1578</v>
      </c>
      <c r="G5617" t="s">
        <v>1521</v>
      </c>
    </row>
    <row r="5618" spans="1:7">
      <c r="A5618" t="s">
        <v>7221</v>
      </c>
      <c r="B5618" s="2">
        <v>45991</v>
      </c>
      <c r="C5618" t="s">
        <v>65</v>
      </c>
      <c r="D5618" t="s">
        <v>1629</v>
      </c>
      <c r="E5618">
        <v>456.75</v>
      </c>
      <c r="F5618" t="s">
        <v>1578</v>
      </c>
      <c r="G5618" t="s">
        <v>1521</v>
      </c>
    </row>
    <row r="5619" spans="1:7">
      <c r="A5619" t="s">
        <v>7222</v>
      </c>
      <c r="B5619" s="2">
        <v>45991</v>
      </c>
      <c r="C5619" t="s">
        <v>68</v>
      </c>
      <c r="D5619" t="s">
        <v>1629</v>
      </c>
      <c r="E5619">
        <v>459</v>
      </c>
      <c r="F5619" t="s">
        <v>1578</v>
      </c>
      <c r="G5619" t="s">
        <v>1521</v>
      </c>
    </row>
    <row r="5620" spans="1:7">
      <c r="A5620" t="s">
        <v>7223</v>
      </c>
      <c r="B5620" s="2">
        <v>45991</v>
      </c>
      <c r="C5620" t="s">
        <v>70</v>
      </c>
      <c r="D5620" t="s">
        <v>1629</v>
      </c>
      <c r="E5620">
        <v>454.5</v>
      </c>
      <c r="F5620" t="s">
        <v>1578</v>
      </c>
      <c r="G5620" t="s">
        <v>1521</v>
      </c>
    </row>
    <row r="5621" spans="1:7">
      <c r="A5621" t="s">
        <v>7224</v>
      </c>
      <c r="B5621" s="2">
        <v>45991</v>
      </c>
      <c r="C5621" t="s">
        <v>75</v>
      </c>
      <c r="D5621" t="s">
        <v>1629</v>
      </c>
      <c r="E5621">
        <v>454.5</v>
      </c>
      <c r="F5621" t="s">
        <v>1578</v>
      </c>
      <c r="G5621" t="s">
        <v>1521</v>
      </c>
    </row>
    <row r="5622" spans="1:7">
      <c r="A5622" t="s">
        <v>7225</v>
      </c>
      <c r="B5622" s="2">
        <v>45991</v>
      </c>
      <c r="C5622" t="s">
        <v>77</v>
      </c>
      <c r="D5622" t="s">
        <v>1629</v>
      </c>
      <c r="E5622">
        <v>454.5</v>
      </c>
      <c r="F5622" t="s">
        <v>1578</v>
      </c>
      <c r="G5622" t="s">
        <v>1521</v>
      </c>
    </row>
    <row r="5623" spans="1:7">
      <c r="A5623" t="s">
        <v>7226</v>
      </c>
      <c r="B5623" s="2">
        <v>45991</v>
      </c>
      <c r="C5623" t="s">
        <v>79</v>
      </c>
      <c r="D5623" t="s">
        <v>1629</v>
      </c>
      <c r="E5623">
        <v>459</v>
      </c>
      <c r="F5623" t="s">
        <v>1578</v>
      </c>
      <c r="G5623" t="s">
        <v>1521</v>
      </c>
    </row>
    <row r="5624" spans="1:7">
      <c r="A5624" t="s">
        <v>7227</v>
      </c>
      <c r="B5624" s="2">
        <v>45991</v>
      </c>
      <c r="C5624" t="s">
        <v>81</v>
      </c>
      <c r="D5624" t="s">
        <v>1629</v>
      </c>
      <c r="E5624">
        <v>909</v>
      </c>
      <c r="F5624" t="s">
        <v>1578</v>
      </c>
      <c r="G5624" t="s">
        <v>1521</v>
      </c>
    </row>
    <row r="5625" spans="1:7">
      <c r="A5625" t="s">
        <v>7228</v>
      </c>
      <c r="B5625" s="2">
        <v>45991</v>
      </c>
      <c r="C5625" t="s">
        <v>108</v>
      </c>
      <c r="D5625" t="s">
        <v>1629</v>
      </c>
      <c r="E5625">
        <v>913.5</v>
      </c>
      <c r="F5625" t="s">
        <v>1578</v>
      </c>
      <c r="G5625" t="s">
        <v>1521</v>
      </c>
    </row>
    <row r="5626" spans="1:7">
      <c r="A5626" t="s">
        <v>7229</v>
      </c>
      <c r="B5626" s="2">
        <v>45991</v>
      </c>
      <c r="C5626" t="s">
        <v>110</v>
      </c>
      <c r="D5626" t="s">
        <v>1629</v>
      </c>
      <c r="E5626">
        <v>459</v>
      </c>
      <c r="F5626" t="s">
        <v>1578</v>
      </c>
      <c r="G5626" t="s">
        <v>1521</v>
      </c>
    </row>
    <row r="5627" spans="1:7">
      <c r="A5627" t="s">
        <v>7230</v>
      </c>
      <c r="B5627" s="2">
        <v>45991</v>
      </c>
      <c r="C5627" t="s">
        <v>114</v>
      </c>
      <c r="D5627" t="s">
        <v>1629</v>
      </c>
      <c r="E5627">
        <v>454.5</v>
      </c>
      <c r="F5627" t="s">
        <v>1578</v>
      </c>
      <c r="G5627" t="s">
        <v>1521</v>
      </c>
    </row>
    <row r="5628" spans="1:7">
      <c r="A5628" t="s">
        <v>7231</v>
      </c>
      <c r="B5628" s="2">
        <v>45991</v>
      </c>
      <c r="C5628" t="s">
        <v>117</v>
      </c>
      <c r="D5628" t="s">
        <v>1629</v>
      </c>
      <c r="E5628">
        <v>452.25</v>
      </c>
      <c r="F5628" t="s">
        <v>1578</v>
      </c>
      <c r="G5628" t="s">
        <v>1521</v>
      </c>
    </row>
    <row r="5629" spans="1:7">
      <c r="A5629" t="s">
        <v>7232</v>
      </c>
      <c r="B5629" s="2">
        <v>45991</v>
      </c>
      <c r="C5629" t="s">
        <v>119</v>
      </c>
      <c r="D5629" t="s">
        <v>1629</v>
      </c>
      <c r="E5629">
        <v>454.5</v>
      </c>
      <c r="F5629" t="s">
        <v>1578</v>
      </c>
      <c r="G5629" t="s">
        <v>1521</v>
      </c>
    </row>
    <row r="5630" spans="1:7">
      <c r="A5630" t="s">
        <v>7233</v>
      </c>
      <c r="B5630" s="2">
        <v>45991</v>
      </c>
      <c r="C5630" t="s">
        <v>68</v>
      </c>
      <c r="D5630" t="s">
        <v>1683</v>
      </c>
      <c r="E5630">
        <v>388</v>
      </c>
      <c r="F5630" t="s">
        <v>1578</v>
      </c>
      <c r="G5630" t="s">
        <v>985</v>
      </c>
    </row>
    <row r="5631" spans="1:7">
      <c r="A5631" t="s">
        <v>7234</v>
      </c>
      <c r="B5631" s="2">
        <v>45991</v>
      </c>
      <c r="C5631" t="s">
        <v>65</v>
      </c>
      <c r="D5631" t="s">
        <v>1683</v>
      </c>
      <c r="E5631">
        <v>239</v>
      </c>
      <c r="F5631" t="s">
        <v>1578</v>
      </c>
      <c r="G5631" t="s">
        <v>986</v>
      </c>
    </row>
    <row r="5632" spans="1:7">
      <c r="A5632" t="s">
        <v>7235</v>
      </c>
      <c r="B5632" s="2">
        <v>45991</v>
      </c>
      <c r="C5632" t="s">
        <v>102</v>
      </c>
      <c r="D5632" t="s">
        <v>1683</v>
      </c>
      <c r="E5632">
        <v>297</v>
      </c>
      <c r="F5632" t="s">
        <v>1578</v>
      </c>
      <c r="G5632" t="s">
        <v>987</v>
      </c>
    </row>
    <row r="5633" spans="1:7">
      <c r="A5633" t="s">
        <v>7236</v>
      </c>
      <c r="B5633" s="2">
        <v>45992</v>
      </c>
      <c r="C5633" t="s">
        <v>61</v>
      </c>
      <c r="D5633" t="s">
        <v>1629</v>
      </c>
      <c r="E5633">
        <v>199.92</v>
      </c>
      <c r="F5633" t="s">
        <v>1578</v>
      </c>
      <c r="G5633" t="s">
        <v>1522</v>
      </c>
    </row>
    <row r="5634" spans="1:7">
      <c r="A5634" t="s">
        <v>7237</v>
      </c>
      <c r="B5634" s="2">
        <v>45992</v>
      </c>
      <c r="C5634" t="s">
        <v>65</v>
      </c>
      <c r="D5634" t="s">
        <v>1629</v>
      </c>
      <c r="E5634">
        <v>198.94</v>
      </c>
      <c r="F5634" t="s">
        <v>1578</v>
      </c>
      <c r="G5634" t="s">
        <v>1522</v>
      </c>
    </row>
    <row r="5635" spans="1:7">
      <c r="A5635" t="s">
        <v>7238</v>
      </c>
      <c r="B5635" s="2">
        <v>45992</v>
      </c>
      <c r="C5635" t="s">
        <v>68</v>
      </c>
      <c r="D5635" t="s">
        <v>1629</v>
      </c>
      <c r="E5635">
        <v>199.92</v>
      </c>
      <c r="F5635" t="s">
        <v>1578</v>
      </c>
      <c r="G5635" t="s">
        <v>1522</v>
      </c>
    </row>
    <row r="5636" spans="1:7">
      <c r="A5636" t="s">
        <v>7239</v>
      </c>
      <c r="B5636" s="2">
        <v>45992</v>
      </c>
      <c r="C5636" t="s">
        <v>70</v>
      </c>
      <c r="D5636" t="s">
        <v>1629</v>
      </c>
      <c r="E5636">
        <v>197.96</v>
      </c>
      <c r="F5636" t="s">
        <v>1578</v>
      </c>
      <c r="G5636" t="s">
        <v>1522</v>
      </c>
    </row>
    <row r="5637" spans="1:7">
      <c r="A5637" t="s">
        <v>7240</v>
      </c>
      <c r="B5637" s="2">
        <v>45992</v>
      </c>
      <c r="C5637" t="s">
        <v>73</v>
      </c>
      <c r="D5637" t="s">
        <v>1629</v>
      </c>
      <c r="E5637">
        <v>199.92</v>
      </c>
      <c r="F5637" t="s">
        <v>1578</v>
      </c>
      <c r="G5637" t="s">
        <v>1522</v>
      </c>
    </row>
    <row r="5638" spans="1:7">
      <c r="A5638" t="s">
        <v>7241</v>
      </c>
      <c r="B5638" s="2">
        <v>45992</v>
      </c>
      <c r="C5638" t="s">
        <v>75</v>
      </c>
      <c r="D5638" t="s">
        <v>1629</v>
      </c>
      <c r="E5638">
        <v>197.96</v>
      </c>
      <c r="F5638" t="s">
        <v>1578</v>
      </c>
      <c r="G5638" t="s">
        <v>1522</v>
      </c>
    </row>
    <row r="5639" spans="1:7">
      <c r="A5639" t="s">
        <v>7242</v>
      </c>
      <c r="B5639" s="2">
        <v>45992</v>
      </c>
      <c r="C5639" t="s">
        <v>77</v>
      </c>
      <c r="D5639" t="s">
        <v>1629</v>
      </c>
      <c r="E5639">
        <v>197.96</v>
      </c>
      <c r="F5639" t="s">
        <v>1578</v>
      </c>
      <c r="G5639" t="s">
        <v>1522</v>
      </c>
    </row>
    <row r="5640" spans="1:7">
      <c r="A5640" t="s">
        <v>7243</v>
      </c>
      <c r="B5640" s="2">
        <v>45992</v>
      </c>
      <c r="C5640" t="s">
        <v>79</v>
      </c>
      <c r="D5640" t="s">
        <v>1629</v>
      </c>
      <c r="E5640">
        <v>199.92</v>
      </c>
      <c r="F5640" t="s">
        <v>1578</v>
      </c>
      <c r="G5640" t="s">
        <v>1522</v>
      </c>
    </row>
    <row r="5641" spans="1:7">
      <c r="A5641" t="s">
        <v>7244</v>
      </c>
      <c r="B5641" s="2">
        <v>45992</v>
      </c>
      <c r="C5641" t="s">
        <v>81</v>
      </c>
      <c r="D5641" t="s">
        <v>1629</v>
      </c>
      <c r="E5641">
        <v>395.92</v>
      </c>
      <c r="F5641" t="s">
        <v>1578</v>
      </c>
      <c r="G5641" t="s">
        <v>1522</v>
      </c>
    </row>
    <row r="5642" spans="1:7">
      <c r="A5642" t="s">
        <v>7245</v>
      </c>
      <c r="B5642" s="2">
        <v>45992</v>
      </c>
      <c r="C5642" t="s">
        <v>108</v>
      </c>
      <c r="D5642" t="s">
        <v>1629</v>
      </c>
      <c r="E5642">
        <v>397.88</v>
      </c>
      <c r="F5642" t="s">
        <v>1578</v>
      </c>
      <c r="G5642" t="s">
        <v>1522</v>
      </c>
    </row>
    <row r="5643" spans="1:7">
      <c r="A5643" t="s">
        <v>7246</v>
      </c>
      <c r="B5643" s="2">
        <v>45992</v>
      </c>
      <c r="C5643" t="s">
        <v>110</v>
      </c>
      <c r="D5643" t="s">
        <v>1629</v>
      </c>
      <c r="E5643">
        <v>199.92</v>
      </c>
      <c r="F5643" t="s">
        <v>1578</v>
      </c>
      <c r="G5643" t="s">
        <v>1522</v>
      </c>
    </row>
    <row r="5644" spans="1:7">
      <c r="A5644" t="s">
        <v>7247</v>
      </c>
      <c r="B5644" s="2">
        <v>45992</v>
      </c>
      <c r="C5644" t="s">
        <v>114</v>
      </c>
      <c r="D5644" t="s">
        <v>1629</v>
      </c>
      <c r="E5644">
        <v>197.96</v>
      </c>
      <c r="F5644" t="s">
        <v>1578</v>
      </c>
      <c r="G5644" t="s">
        <v>1522</v>
      </c>
    </row>
    <row r="5645" spans="1:7">
      <c r="A5645" t="s">
        <v>7248</v>
      </c>
      <c r="B5645" s="2">
        <v>45992</v>
      </c>
      <c r="C5645" t="s">
        <v>117</v>
      </c>
      <c r="D5645" t="s">
        <v>1629</v>
      </c>
      <c r="E5645">
        <v>196.98</v>
      </c>
      <c r="F5645" t="s">
        <v>1578</v>
      </c>
      <c r="G5645" t="s">
        <v>1522</v>
      </c>
    </row>
    <row r="5646" spans="1:7">
      <c r="A5646" t="s">
        <v>7249</v>
      </c>
      <c r="B5646" s="2">
        <v>45992</v>
      </c>
      <c r="C5646" t="s">
        <v>119</v>
      </c>
      <c r="D5646" t="s">
        <v>1629</v>
      </c>
      <c r="E5646">
        <v>197.96</v>
      </c>
      <c r="F5646" t="s">
        <v>1578</v>
      </c>
      <c r="G5646" t="s">
        <v>1522</v>
      </c>
    </row>
    <row r="5647" spans="1:7">
      <c r="A5647" t="s">
        <v>7250</v>
      </c>
      <c r="B5647" s="2">
        <v>45993</v>
      </c>
      <c r="C5647" t="s">
        <v>75</v>
      </c>
      <c r="D5647" t="s">
        <v>1629</v>
      </c>
      <c r="E5647">
        <v>477.73</v>
      </c>
      <c r="F5647" t="s">
        <v>1578</v>
      </c>
      <c r="G5647" t="s">
        <v>1523</v>
      </c>
    </row>
    <row r="5648" spans="1:7">
      <c r="A5648" t="s">
        <v>7251</v>
      </c>
      <c r="B5648" s="2">
        <v>45993</v>
      </c>
      <c r="C5648" t="s">
        <v>91</v>
      </c>
      <c r="D5648" t="s">
        <v>1629</v>
      </c>
      <c r="E5648">
        <v>484.82</v>
      </c>
      <c r="F5648" t="s">
        <v>1578</v>
      </c>
      <c r="G5648" t="s">
        <v>1523</v>
      </c>
    </row>
    <row r="5649" spans="1:7">
      <c r="A5649" t="s">
        <v>7252</v>
      </c>
      <c r="B5649" s="2">
        <v>45993</v>
      </c>
      <c r="C5649" t="s">
        <v>93</v>
      </c>
      <c r="D5649" t="s">
        <v>1629</v>
      </c>
      <c r="E5649">
        <v>482.46</v>
      </c>
      <c r="F5649" t="s">
        <v>1578</v>
      </c>
      <c r="G5649" t="s">
        <v>1523</v>
      </c>
    </row>
    <row r="5650" spans="1:7">
      <c r="A5650" t="s">
        <v>7253</v>
      </c>
      <c r="B5650" s="2">
        <v>45993</v>
      </c>
      <c r="C5650" t="s">
        <v>95</v>
      </c>
      <c r="D5650" t="s">
        <v>1629</v>
      </c>
      <c r="E5650">
        <v>480.1</v>
      </c>
      <c r="F5650" t="s">
        <v>1578</v>
      </c>
      <c r="G5650" t="s">
        <v>1523</v>
      </c>
    </row>
    <row r="5651" spans="1:7">
      <c r="A5651" t="s">
        <v>7254</v>
      </c>
      <c r="B5651" s="2">
        <v>45993</v>
      </c>
      <c r="C5651" t="s">
        <v>97</v>
      </c>
      <c r="D5651" t="s">
        <v>1629</v>
      </c>
      <c r="E5651">
        <v>477.73</v>
      </c>
      <c r="F5651" t="s">
        <v>1578</v>
      </c>
      <c r="G5651" t="s">
        <v>1523</v>
      </c>
    </row>
    <row r="5652" spans="1:7">
      <c r="A5652" t="s">
        <v>7255</v>
      </c>
      <c r="B5652" s="2">
        <v>45993</v>
      </c>
      <c r="C5652" t="s">
        <v>99</v>
      </c>
      <c r="D5652" t="s">
        <v>1629</v>
      </c>
      <c r="E5652">
        <v>243.6</v>
      </c>
      <c r="F5652" t="s">
        <v>1578</v>
      </c>
      <c r="G5652" t="s">
        <v>1523</v>
      </c>
    </row>
    <row r="5653" spans="1:7">
      <c r="A5653" t="s">
        <v>7256</v>
      </c>
      <c r="B5653" s="2">
        <v>45993</v>
      </c>
      <c r="C5653" t="s">
        <v>102</v>
      </c>
      <c r="D5653" t="s">
        <v>1629</v>
      </c>
      <c r="E5653">
        <v>482.46</v>
      </c>
      <c r="F5653" t="s">
        <v>1578</v>
      </c>
      <c r="G5653" t="s">
        <v>1523</v>
      </c>
    </row>
    <row r="5654" spans="1:7">
      <c r="A5654" t="s">
        <v>7257</v>
      </c>
      <c r="B5654" s="2">
        <v>45993</v>
      </c>
      <c r="C5654" t="s">
        <v>108</v>
      </c>
      <c r="D5654" t="s">
        <v>1629</v>
      </c>
      <c r="E5654">
        <v>960.19</v>
      </c>
      <c r="F5654" t="s">
        <v>1578</v>
      </c>
      <c r="G5654" t="s">
        <v>1523</v>
      </c>
    </row>
    <row r="5655" spans="1:7">
      <c r="A5655" t="s">
        <v>7258</v>
      </c>
      <c r="B5655" s="2">
        <v>45993</v>
      </c>
      <c r="C5655" t="s">
        <v>110</v>
      </c>
      <c r="D5655" t="s">
        <v>1629</v>
      </c>
      <c r="E5655">
        <v>482.46</v>
      </c>
      <c r="F5655" t="s">
        <v>1578</v>
      </c>
      <c r="G5655" t="s">
        <v>1523</v>
      </c>
    </row>
    <row r="5656" spans="1:7">
      <c r="A5656" t="s">
        <v>7259</v>
      </c>
      <c r="B5656" s="2">
        <v>45993</v>
      </c>
      <c r="C5656" t="s">
        <v>114</v>
      </c>
      <c r="D5656" t="s">
        <v>1629</v>
      </c>
      <c r="E5656">
        <v>477.73</v>
      </c>
      <c r="F5656" t="s">
        <v>1578</v>
      </c>
      <c r="G5656" t="s">
        <v>1523</v>
      </c>
    </row>
    <row r="5657" spans="1:7">
      <c r="A5657" t="s">
        <v>7260</v>
      </c>
      <c r="B5657" s="2">
        <v>45993</v>
      </c>
      <c r="C5657" t="s">
        <v>117</v>
      </c>
      <c r="D5657" t="s">
        <v>1629</v>
      </c>
      <c r="E5657">
        <v>475.36</v>
      </c>
      <c r="F5657" t="s">
        <v>1578</v>
      </c>
      <c r="G5657" t="s">
        <v>1523</v>
      </c>
    </row>
    <row r="5658" spans="1:7">
      <c r="A5658" t="s">
        <v>7261</v>
      </c>
      <c r="B5658" s="2">
        <v>45993</v>
      </c>
      <c r="C5658" t="s">
        <v>119</v>
      </c>
      <c r="D5658" t="s">
        <v>1629</v>
      </c>
      <c r="E5658">
        <v>477.73</v>
      </c>
      <c r="F5658" t="s">
        <v>1578</v>
      </c>
      <c r="G5658" t="s">
        <v>1523</v>
      </c>
    </row>
    <row r="5659" spans="1:7">
      <c r="A5659" t="s">
        <v>7262</v>
      </c>
      <c r="B5659" s="2">
        <v>45993</v>
      </c>
      <c r="C5659" t="s">
        <v>68</v>
      </c>
      <c r="D5659" t="s">
        <v>1683</v>
      </c>
      <c r="E5659">
        <v>284</v>
      </c>
      <c r="F5659" t="s">
        <v>1578</v>
      </c>
      <c r="G5659" t="s">
        <v>989</v>
      </c>
    </row>
    <row r="5660" spans="1:7">
      <c r="A5660" t="s">
        <v>7263</v>
      </c>
      <c r="B5660" s="2">
        <v>45993</v>
      </c>
      <c r="C5660" t="s">
        <v>93</v>
      </c>
      <c r="D5660" t="s">
        <v>1683</v>
      </c>
      <c r="E5660">
        <v>127</v>
      </c>
      <c r="F5660" t="s">
        <v>1578</v>
      </c>
      <c r="G5660" t="s">
        <v>990</v>
      </c>
    </row>
    <row r="5661" spans="1:7">
      <c r="A5661" t="s">
        <v>7264</v>
      </c>
      <c r="B5661" s="2">
        <v>45993</v>
      </c>
      <c r="C5661" t="s">
        <v>93</v>
      </c>
      <c r="D5661" t="s">
        <v>1683</v>
      </c>
      <c r="E5661">
        <v>131</v>
      </c>
      <c r="F5661" t="s">
        <v>1578</v>
      </c>
      <c r="G5661" t="s">
        <v>991</v>
      </c>
    </row>
    <row r="5662" spans="1:7">
      <c r="A5662" t="s">
        <v>7265</v>
      </c>
      <c r="B5662" s="2">
        <v>45993</v>
      </c>
      <c r="C5662" t="s">
        <v>108</v>
      </c>
      <c r="D5662" t="s">
        <v>1683</v>
      </c>
      <c r="E5662">
        <v>141</v>
      </c>
      <c r="F5662" t="s">
        <v>1578</v>
      </c>
      <c r="G5662" t="s">
        <v>992</v>
      </c>
    </row>
    <row r="5663" spans="1:7">
      <c r="A5663" t="s">
        <v>7266</v>
      </c>
      <c r="B5663" s="2">
        <v>45993</v>
      </c>
      <c r="C5663" t="s">
        <v>93</v>
      </c>
      <c r="D5663" t="s">
        <v>1683</v>
      </c>
      <c r="E5663">
        <v>164</v>
      </c>
      <c r="F5663" t="s">
        <v>1578</v>
      </c>
      <c r="G5663" t="s">
        <v>993</v>
      </c>
    </row>
    <row r="5664" spans="1:7">
      <c r="A5664" t="s">
        <v>7267</v>
      </c>
      <c r="B5664" s="2">
        <v>45994</v>
      </c>
      <c r="C5664" t="s">
        <v>110</v>
      </c>
      <c r="D5664" t="s">
        <v>1683</v>
      </c>
      <c r="E5664">
        <v>306</v>
      </c>
      <c r="F5664" t="s">
        <v>1578</v>
      </c>
      <c r="G5664" t="s">
        <v>994</v>
      </c>
    </row>
    <row r="5665" spans="1:7">
      <c r="A5665" t="s">
        <v>7268</v>
      </c>
      <c r="B5665" s="2">
        <v>45994</v>
      </c>
      <c r="C5665" t="s">
        <v>114</v>
      </c>
      <c r="D5665" t="s">
        <v>1683</v>
      </c>
      <c r="E5665">
        <v>223</v>
      </c>
      <c r="F5665" t="s">
        <v>1578</v>
      </c>
      <c r="G5665" t="s">
        <v>995</v>
      </c>
    </row>
    <row r="5666" spans="1:7">
      <c r="A5666" t="s">
        <v>7269</v>
      </c>
      <c r="B5666" s="2">
        <v>45994</v>
      </c>
      <c r="C5666" t="s">
        <v>110</v>
      </c>
      <c r="D5666" t="s">
        <v>1683</v>
      </c>
      <c r="E5666">
        <v>165</v>
      </c>
      <c r="F5666" t="s">
        <v>1578</v>
      </c>
      <c r="G5666" t="s">
        <v>996</v>
      </c>
    </row>
    <row r="5667" spans="1:7">
      <c r="A5667" t="s">
        <v>7270</v>
      </c>
      <c r="B5667" s="2">
        <v>45995</v>
      </c>
      <c r="C5667" t="s">
        <v>61</v>
      </c>
      <c r="D5667" t="s">
        <v>1629</v>
      </c>
      <c r="E5667">
        <v>199.92</v>
      </c>
      <c r="F5667" t="s">
        <v>1578</v>
      </c>
      <c r="G5667" t="s">
        <v>1524</v>
      </c>
    </row>
    <row r="5668" spans="1:7">
      <c r="A5668" t="s">
        <v>7271</v>
      </c>
      <c r="B5668" s="2">
        <v>45995</v>
      </c>
      <c r="C5668" t="s">
        <v>65</v>
      </c>
      <c r="D5668" t="s">
        <v>1629</v>
      </c>
      <c r="E5668">
        <v>198.94</v>
      </c>
      <c r="F5668" t="s">
        <v>1578</v>
      </c>
      <c r="G5668" t="s">
        <v>1524</v>
      </c>
    </row>
    <row r="5669" spans="1:7">
      <c r="A5669" t="s">
        <v>7272</v>
      </c>
      <c r="B5669" s="2">
        <v>45995</v>
      </c>
      <c r="C5669" t="s">
        <v>75</v>
      </c>
      <c r="D5669" t="s">
        <v>1629</v>
      </c>
      <c r="E5669">
        <v>197.96</v>
      </c>
      <c r="F5669" t="s">
        <v>1578</v>
      </c>
      <c r="G5669" t="s">
        <v>1524</v>
      </c>
    </row>
    <row r="5670" spans="1:7">
      <c r="A5670" t="s">
        <v>7273</v>
      </c>
      <c r="B5670" s="2">
        <v>45995</v>
      </c>
      <c r="C5670" t="s">
        <v>79</v>
      </c>
      <c r="D5670" t="s">
        <v>1629</v>
      </c>
      <c r="E5670">
        <v>199.92</v>
      </c>
      <c r="F5670" t="s">
        <v>1578</v>
      </c>
      <c r="G5670" t="s">
        <v>1524</v>
      </c>
    </row>
    <row r="5671" spans="1:7">
      <c r="A5671" t="s">
        <v>7274</v>
      </c>
      <c r="B5671" s="2">
        <v>45995</v>
      </c>
      <c r="C5671" t="s">
        <v>81</v>
      </c>
      <c r="D5671" t="s">
        <v>1629</v>
      </c>
      <c r="E5671">
        <v>395.92</v>
      </c>
      <c r="F5671" t="s">
        <v>1578</v>
      </c>
      <c r="G5671" t="s">
        <v>1524</v>
      </c>
    </row>
    <row r="5672" spans="1:7">
      <c r="A5672" t="s">
        <v>7275</v>
      </c>
      <c r="B5672" s="2">
        <v>45995</v>
      </c>
      <c r="C5672" t="s">
        <v>84</v>
      </c>
      <c r="D5672" t="s">
        <v>1629</v>
      </c>
      <c r="E5672">
        <v>70.66</v>
      </c>
      <c r="F5672" t="s">
        <v>1578</v>
      </c>
      <c r="G5672" t="s">
        <v>1524</v>
      </c>
    </row>
    <row r="5673" spans="1:7">
      <c r="A5673" t="s">
        <v>7276</v>
      </c>
      <c r="B5673" s="2">
        <v>45995</v>
      </c>
      <c r="C5673" t="s">
        <v>89</v>
      </c>
      <c r="D5673" t="s">
        <v>1629</v>
      </c>
      <c r="E5673">
        <v>301.35000000000002</v>
      </c>
      <c r="F5673" t="s">
        <v>1578</v>
      </c>
      <c r="G5673" t="s">
        <v>1524</v>
      </c>
    </row>
    <row r="5674" spans="1:7">
      <c r="A5674" t="s">
        <v>7277</v>
      </c>
      <c r="B5674" s="2">
        <v>45995</v>
      </c>
      <c r="C5674" t="s">
        <v>110</v>
      </c>
      <c r="D5674" t="s">
        <v>1629</v>
      </c>
      <c r="E5674">
        <v>199.92</v>
      </c>
      <c r="F5674" t="s">
        <v>1578</v>
      </c>
      <c r="G5674" t="s">
        <v>1524</v>
      </c>
    </row>
    <row r="5675" spans="1:7">
      <c r="A5675" t="s">
        <v>7278</v>
      </c>
      <c r="B5675" s="2">
        <v>45995</v>
      </c>
      <c r="C5675" t="s">
        <v>114</v>
      </c>
      <c r="D5675" t="s">
        <v>1629</v>
      </c>
      <c r="E5675">
        <v>197.96</v>
      </c>
      <c r="F5675" t="s">
        <v>1578</v>
      </c>
      <c r="G5675" t="s">
        <v>1524</v>
      </c>
    </row>
    <row r="5676" spans="1:7">
      <c r="A5676" t="s">
        <v>7279</v>
      </c>
      <c r="B5676" s="2">
        <v>45995</v>
      </c>
      <c r="C5676" t="s">
        <v>117</v>
      </c>
      <c r="D5676" t="s">
        <v>1629</v>
      </c>
      <c r="E5676">
        <v>196.98</v>
      </c>
      <c r="F5676" t="s">
        <v>1578</v>
      </c>
      <c r="G5676" t="s">
        <v>1524</v>
      </c>
    </row>
    <row r="5677" spans="1:7">
      <c r="A5677" t="s">
        <v>7280</v>
      </c>
      <c r="B5677" s="2">
        <v>45995</v>
      </c>
      <c r="C5677" t="s">
        <v>119</v>
      </c>
      <c r="D5677" t="s">
        <v>1629</v>
      </c>
      <c r="E5677">
        <v>197.96</v>
      </c>
      <c r="F5677" t="s">
        <v>1578</v>
      </c>
      <c r="G5677" t="s">
        <v>1524</v>
      </c>
    </row>
    <row r="5678" spans="1:7">
      <c r="A5678" t="s">
        <v>7281</v>
      </c>
      <c r="B5678" s="2">
        <v>45995</v>
      </c>
      <c r="C5678" t="s">
        <v>84</v>
      </c>
      <c r="D5678" t="s">
        <v>1683</v>
      </c>
      <c r="E5678">
        <v>216</v>
      </c>
      <c r="F5678" t="s">
        <v>1578</v>
      </c>
      <c r="G5678" t="s">
        <v>997</v>
      </c>
    </row>
    <row r="5679" spans="1:7">
      <c r="A5679" t="s">
        <v>7282</v>
      </c>
      <c r="B5679" s="2">
        <v>45995</v>
      </c>
      <c r="C5679" t="s">
        <v>108</v>
      </c>
      <c r="D5679" t="s">
        <v>1683</v>
      </c>
      <c r="E5679">
        <v>335</v>
      </c>
      <c r="F5679" t="s">
        <v>1578</v>
      </c>
      <c r="G5679" t="s">
        <v>998</v>
      </c>
    </row>
    <row r="5680" spans="1:7">
      <c r="A5680" t="s">
        <v>7283</v>
      </c>
      <c r="B5680" s="2">
        <v>45995</v>
      </c>
      <c r="C5680" t="s">
        <v>91</v>
      </c>
      <c r="D5680" t="s">
        <v>1683</v>
      </c>
      <c r="E5680">
        <v>313</v>
      </c>
      <c r="F5680" t="s">
        <v>1578</v>
      </c>
      <c r="G5680" t="s">
        <v>999</v>
      </c>
    </row>
    <row r="5681" spans="1:7">
      <c r="A5681" t="s">
        <v>7284</v>
      </c>
      <c r="B5681" s="2">
        <v>45996</v>
      </c>
      <c r="C5681" t="s">
        <v>61</v>
      </c>
      <c r="D5681" t="s">
        <v>1629</v>
      </c>
      <c r="E5681">
        <v>396.78</v>
      </c>
      <c r="F5681" t="s">
        <v>1578</v>
      </c>
      <c r="G5681" t="s">
        <v>1525</v>
      </c>
    </row>
    <row r="5682" spans="1:7">
      <c r="A5682" t="s">
        <v>7285</v>
      </c>
      <c r="B5682" s="2">
        <v>45996</v>
      </c>
      <c r="C5682" t="s">
        <v>65</v>
      </c>
      <c r="D5682" t="s">
        <v>1629</v>
      </c>
      <c r="E5682">
        <v>394.84</v>
      </c>
      <c r="F5682" t="s">
        <v>1578</v>
      </c>
      <c r="G5682" t="s">
        <v>1525</v>
      </c>
    </row>
    <row r="5683" spans="1:7">
      <c r="A5683" t="s">
        <v>7286</v>
      </c>
      <c r="B5683" s="2">
        <v>45996</v>
      </c>
      <c r="C5683" t="s">
        <v>68</v>
      </c>
      <c r="D5683" t="s">
        <v>1629</v>
      </c>
      <c r="E5683">
        <v>396.78</v>
      </c>
      <c r="F5683" t="s">
        <v>1578</v>
      </c>
      <c r="G5683" t="s">
        <v>1525</v>
      </c>
    </row>
    <row r="5684" spans="1:7">
      <c r="A5684" t="s">
        <v>7287</v>
      </c>
      <c r="B5684" s="2">
        <v>45996</v>
      </c>
      <c r="C5684" t="s">
        <v>70</v>
      </c>
      <c r="D5684" t="s">
        <v>1629</v>
      </c>
      <c r="E5684">
        <v>392.89</v>
      </c>
      <c r="F5684" t="s">
        <v>1578</v>
      </c>
      <c r="G5684" t="s">
        <v>1525</v>
      </c>
    </row>
    <row r="5685" spans="1:7">
      <c r="A5685" t="s">
        <v>7288</v>
      </c>
      <c r="B5685" s="2">
        <v>45996</v>
      </c>
      <c r="C5685" t="s">
        <v>73</v>
      </c>
      <c r="D5685" t="s">
        <v>1629</v>
      </c>
      <c r="E5685">
        <v>396.78</v>
      </c>
      <c r="F5685" t="s">
        <v>1578</v>
      </c>
      <c r="G5685" t="s">
        <v>1525</v>
      </c>
    </row>
    <row r="5686" spans="1:7">
      <c r="A5686" t="s">
        <v>7289</v>
      </c>
      <c r="B5686" s="2">
        <v>45996</v>
      </c>
      <c r="C5686" t="s">
        <v>75</v>
      </c>
      <c r="D5686" t="s">
        <v>1629</v>
      </c>
      <c r="E5686">
        <v>392.89</v>
      </c>
      <c r="F5686" t="s">
        <v>1578</v>
      </c>
      <c r="G5686" t="s">
        <v>1525</v>
      </c>
    </row>
    <row r="5687" spans="1:7">
      <c r="A5687" t="s">
        <v>7290</v>
      </c>
      <c r="B5687" s="2">
        <v>45996</v>
      </c>
      <c r="C5687" t="s">
        <v>77</v>
      </c>
      <c r="D5687" t="s">
        <v>1629</v>
      </c>
      <c r="E5687">
        <v>392.89</v>
      </c>
      <c r="F5687" t="s">
        <v>1578</v>
      </c>
      <c r="G5687" t="s">
        <v>1525</v>
      </c>
    </row>
    <row r="5688" spans="1:7">
      <c r="A5688" t="s">
        <v>7291</v>
      </c>
      <c r="B5688" s="2">
        <v>45996</v>
      </c>
      <c r="C5688" t="s">
        <v>79</v>
      </c>
      <c r="D5688" t="s">
        <v>1629</v>
      </c>
      <c r="E5688">
        <v>396.78</v>
      </c>
      <c r="F5688" t="s">
        <v>1578</v>
      </c>
      <c r="G5688" t="s">
        <v>1525</v>
      </c>
    </row>
    <row r="5689" spans="1:7">
      <c r="A5689" t="s">
        <v>7292</v>
      </c>
      <c r="B5689" s="2">
        <v>45996</v>
      </c>
      <c r="C5689" t="s">
        <v>81</v>
      </c>
      <c r="D5689" t="s">
        <v>1629</v>
      </c>
      <c r="E5689">
        <v>785.78</v>
      </c>
      <c r="F5689" t="s">
        <v>1578</v>
      </c>
      <c r="G5689" t="s">
        <v>1525</v>
      </c>
    </row>
    <row r="5690" spans="1:7">
      <c r="A5690" t="s">
        <v>7293</v>
      </c>
      <c r="B5690" s="2">
        <v>45996</v>
      </c>
      <c r="C5690" t="s">
        <v>108</v>
      </c>
      <c r="D5690" t="s">
        <v>1629</v>
      </c>
      <c r="E5690">
        <v>789.67</v>
      </c>
      <c r="F5690" t="s">
        <v>1578</v>
      </c>
      <c r="G5690" t="s">
        <v>1525</v>
      </c>
    </row>
    <row r="5691" spans="1:7">
      <c r="A5691" t="s">
        <v>7294</v>
      </c>
      <c r="B5691" s="2">
        <v>45996</v>
      </c>
      <c r="C5691" t="s">
        <v>110</v>
      </c>
      <c r="D5691" t="s">
        <v>1629</v>
      </c>
      <c r="E5691">
        <v>396.78</v>
      </c>
      <c r="F5691" t="s">
        <v>1578</v>
      </c>
      <c r="G5691" t="s">
        <v>1525</v>
      </c>
    </row>
    <row r="5692" spans="1:7">
      <c r="A5692" t="s">
        <v>7295</v>
      </c>
      <c r="B5692" s="2">
        <v>45996</v>
      </c>
      <c r="C5692" t="s">
        <v>114</v>
      </c>
      <c r="D5692" t="s">
        <v>1629</v>
      </c>
      <c r="E5692">
        <v>392.89</v>
      </c>
      <c r="F5692" t="s">
        <v>1578</v>
      </c>
      <c r="G5692" t="s">
        <v>1525</v>
      </c>
    </row>
    <row r="5693" spans="1:7">
      <c r="A5693" t="s">
        <v>7296</v>
      </c>
      <c r="B5693" s="2">
        <v>45996</v>
      </c>
      <c r="C5693" t="s">
        <v>117</v>
      </c>
      <c r="D5693" t="s">
        <v>1629</v>
      </c>
      <c r="E5693">
        <v>390.94</v>
      </c>
      <c r="F5693" t="s">
        <v>1578</v>
      </c>
      <c r="G5693" t="s">
        <v>1525</v>
      </c>
    </row>
    <row r="5694" spans="1:7">
      <c r="A5694" t="s">
        <v>7297</v>
      </c>
      <c r="B5694" s="2">
        <v>45996</v>
      </c>
      <c r="C5694" t="s">
        <v>119</v>
      </c>
      <c r="D5694" t="s">
        <v>1629</v>
      </c>
      <c r="E5694">
        <v>392.89</v>
      </c>
      <c r="F5694" t="s">
        <v>1578</v>
      </c>
      <c r="G5694" t="s">
        <v>1525</v>
      </c>
    </row>
    <row r="5695" spans="1:7">
      <c r="A5695" t="s">
        <v>7298</v>
      </c>
      <c r="B5695" s="2">
        <v>45996</v>
      </c>
      <c r="C5695" t="s">
        <v>61</v>
      </c>
      <c r="D5695" t="s">
        <v>1629</v>
      </c>
      <c r="E5695">
        <v>372.3</v>
      </c>
      <c r="F5695" t="s">
        <v>1578</v>
      </c>
      <c r="G5695" t="s">
        <v>1526</v>
      </c>
    </row>
    <row r="5696" spans="1:7">
      <c r="A5696" t="s">
        <v>7299</v>
      </c>
      <c r="B5696" s="2">
        <v>45996</v>
      </c>
      <c r="C5696" t="s">
        <v>65</v>
      </c>
      <c r="D5696" t="s">
        <v>1629</v>
      </c>
      <c r="E5696">
        <v>370.48</v>
      </c>
      <c r="F5696" t="s">
        <v>1578</v>
      </c>
      <c r="G5696" t="s">
        <v>1526</v>
      </c>
    </row>
    <row r="5697" spans="1:7">
      <c r="A5697" t="s">
        <v>7300</v>
      </c>
      <c r="B5697" s="2">
        <v>45996</v>
      </c>
      <c r="C5697" t="s">
        <v>68</v>
      </c>
      <c r="D5697" t="s">
        <v>1629</v>
      </c>
      <c r="E5697">
        <v>372.3</v>
      </c>
      <c r="F5697" t="s">
        <v>1578</v>
      </c>
      <c r="G5697" t="s">
        <v>1526</v>
      </c>
    </row>
    <row r="5698" spans="1:7">
      <c r="A5698" t="s">
        <v>7301</v>
      </c>
      <c r="B5698" s="2">
        <v>45996</v>
      </c>
      <c r="C5698" t="s">
        <v>70</v>
      </c>
      <c r="D5698" t="s">
        <v>1629</v>
      </c>
      <c r="E5698">
        <v>368.65</v>
      </c>
      <c r="F5698" t="s">
        <v>1578</v>
      </c>
      <c r="G5698" t="s">
        <v>1526</v>
      </c>
    </row>
    <row r="5699" spans="1:7">
      <c r="A5699" t="s">
        <v>7302</v>
      </c>
      <c r="B5699" s="2">
        <v>45996</v>
      </c>
      <c r="C5699" t="s">
        <v>75</v>
      </c>
      <c r="D5699" t="s">
        <v>1629</v>
      </c>
      <c r="E5699">
        <v>368.65</v>
      </c>
      <c r="F5699" t="s">
        <v>1578</v>
      </c>
      <c r="G5699" t="s">
        <v>1526</v>
      </c>
    </row>
    <row r="5700" spans="1:7">
      <c r="A5700" t="s">
        <v>7303</v>
      </c>
      <c r="B5700" s="2">
        <v>45996</v>
      </c>
      <c r="C5700" t="s">
        <v>77</v>
      </c>
      <c r="D5700" t="s">
        <v>1629</v>
      </c>
      <c r="E5700">
        <v>368.65</v>
      </c>
      <c r="F5700" t="s">
        <v>1578</v>
      </c>
      <c r="G5700" t="s">
        <v>1526</v>
      </c>
    </row>
    <row r="5701" spans="1:7">
      <c r="A5701" t="s">
        <v>7304</v>
      </c>
      <c r="B5701" s="2">
        <v>45996</v>
      </c>
      <c r="C5701" t="s">
        <v>79</v>
      </c>
      <c r="D5701" t="s">
        <v>1629</v>
      </c>
      <c r="E5701">
        <v>372.3</v>
      </c>
      <c r="F5701" t="s">
        <v>1578</v>
      </c>
      <c r="G5701" t="s">
        <v>1526</v>
      </c>
    </row>
    <row r="5702" spans="1:7">
      <c r="A5702" t="s">
        <v>7305</v>
      </c>
      <c r="B5702" s="2">
        <v>45996</v>
      </c>
      <c r="C5702" t="s">
        <v>81</v>
      </c>
      <c r="D5702" t="s">
        <v>1629</v>
      </c>
      <c r="E5702">
        <v>737.3</v>
      </c>
      <c r="F5702" t="s">
        <v>1578</v>
      </c>
      <c r="G5702" t="s">
        <v>1526</v>
      </c>
    </row>
    <row r="5703" spans="1:7">
      <c r="A5703" t="s">
        <v>7306</v>
      </c>
      <c r="B5703" s="2">
        <v>45996</v>
      </c>
      <c r="C5703" t="s">
        <v>108</v>
      </c>
      <c r="D5703" t="s">
        <v>1629</v>
      </c>
      <c r="E5703">
        <v>740.95</v>
      </c>
      <c r="F5703" t="s">
        <v>1578</v>
      </c>
      <c r="G5703" t="s">
        <v>1526</v>
      </c>
    </row>
    <row r="5704" spans="1:7">
      <c r="A5704" t="s">
        <v>7307</v>
      </c>
      <c r="B5704" s="2">
        <v>45996</v>
      </c>
      <c r="C5704" t="s">
        <v>110</v>
      </c>
      <c r="D5704" t="s">
        <v>1629</v>
      </c>
      <c r="E5704">
        <v>372.3</v>
      </c>
      <c r="F5704" t="s">
        <v>1578</v>
      </c>
      <c r="G5704" t="s">
        <v>1526</v>
      </c>
    </row>
    <row r="5705" spans="1:7">
      <c r="A5705" t="s">
        <v>7308</v>
      </c>
      <c r="B5705" s="2">
        <v>45996</v>
      </c>
      <c r="C5705" t="s">
        <v>114</v>
      </c>
      <c r="D5705" t="s">
        <v>1629</v>
      </c>
      <c r="E5705">
        <v>368.65</v>
      </c>
      <c r="F5705" t="s">
        <v>1578</v>
      </c>
      <c r="G5705" t="s">
        <v>1526</v>
      </c>
    </row>
    <row r="5706" spans="1:7">
      <c r="A5706" t="s">
        <v>7309</v>
      </c>
      <c r="B5706" s="2">
        <v>45996</v>
      </c>
      <c r="C5706" t="s">
        <v>117</v>
      </c>
      <c r="D5706" t="s">
        <v>1629</v>
      </c>
      <c r="E5706">
        <v>366.82</v>
      </c>
      <c r="F5706" t="s">
        <v>1578</v>
      </c>
      <c r="G5706" t="s">
        <v>1526</v>
      </c>
    </row>
    <row r="5707" spans="1:7">
      <c r="A5707" t="s">
        <v>7310</v>
      </c>
      <c r="B5707" s="2">
        <v>45996</v>
      </c>
      <c r="C5707" t="s">
        <v>119</v>
      </c>
      <c r="D5707" t="s">
        <v>1629</v>
      </c>
      <c r="E5707">
        <v>368.65</v>
      </c>
      <c r="F5707" t="s">
        <v>1578</v>
      </c>
      <c r="G5707" t="s">
        <v>1526</v>
      </c>
    </row>
    <row r="5708" spans="1:7">
      <c r="A5708" t="s">
        <v>7311</v>
      </c>
      <c r="B5708" s="2">
        <v>45996</v>
      </c>
      <c r="C5708" t="s">
        <v>61</v>
      </c>
      <c r="D5708" t="s">
        <v>1629</v>
      </c>
      <c r="E5708">
        <v>303.95999999999998</v>
      </c>
      <c r="F5708" t="s">
        <v>1578</v>
      </c>
      <c r="G5708" t="s">
        <v>1527</v>
      </c>
    </row>
    <row r="5709" spans="1:7">
      <c r="A5709" t="s">
        <v>7312</v>
      </c>
      <c r="B5709" s="2">
        <v>45996</v>
      </c>
      <c r="C5709" t="s">
        <v>65</v>
      </c>
      <c r="D5709" t="s">
        <v>1629</v>
      </c>
      <c r="E5709">
        <v>302.47000000000003</v>
      </c>
      <c r="F5709" t="s">
        <v>1578</v>
      </c>
      <c r="G5709" t="s">
        <v>1527</v>
      </c>
    </row>
    <row r="5710" spans="1:7">
      <c r="A5710" t="s">
        <v>7313</v>
      </c>
      <c r="B5710" s="2">
        <v>45996</v>
      </c>
      <c r="C5710" t="s">
        <v>68</v>
      </c>
      <c r="D5710" t="s">
        <v>1629</v>
      </c>
      <c r="E5710">
        <v>303.95999999999998</v>
      </c>
      <c r="F5710" t="s">
        <v>1578</v>
      </c>
      <c r="G5710" t="s">
        <v>1527</v>
      </c>
    </row>
    <row r="5711" spans="1:7">
      <c r="A5711" t="s">
        <v>7314</v>
      </c>
      <c r="B5711" s="2">
        <v>45996</v>
      </c>
      <c r="C5711" t="s">
        <v>70</v>
      </c>
      <c r="D5711" t="s">
        <v>1629</v>
      </c>
      <c r="E5711">
        <v>300.98</v>
      </c>
      <c r="F5711" t="s">
        <v>1578</v>
      </c>
      <c r="G5711" t="s">
        <v>1527</v>
      </c>
    </row>
    <row r="5712" spans="1:7">
      <c r="A5712" t="s">
        <v>7315</v>
      </c>
      <c r="B5712" s="2">
        <v>45996</v>
      </c>
      <c r="C5712" t="s">
        <v>75</v>
      </c>
      <c r="D5712" t="s">
        <v>1629</v>
      </c>
      <c r="E5712">
        <v>300.98</v>
      </c>
      <c r="F5712" t="s">
        <v>1578</v>
      </c>
      <c r="G5712" t="s">
        <v>1527</v>
      </c>
    </row>
    <row r="5713" spans="1:7">
      <c r="A5713" t="s">
        <v>7316</v>
      </c>
      <c r="B5713" s="2">
        <v>45996</v>
      </c>
      <c r="C5713" t="s">
        <v>77</v>
      </c>
      <c r="D5713" t="s">
        <v>1629</v>
      </c>
      <c r="E5713">
        <v>300.98</v>
      </c>
      <c r="F5713" t="s">
        <v>1578</v>
      </c>
      <c r="G5713" t="s">
        <v>1527</v>
      </c>
    </row>
    <row r="5714" spans="1:7">
      <c r="A5714" t="s">
        <v>7317</v>
      </c>
      <c r="B5714" s="2">
        <v>45996</v>
      </c>
      <c r="C5714" t="s">
        <v>79</v>
      </c>
      <c r="D5714" t="s">
        <v>1629</v>
      </c>
      <c r="E5714">
        <v>303.95999999999998</v>
      </c>
      <c r="F5714" t="s">
        <v>1578</v>
      </c>
      <c r="G5714" t="s">
        <v>1527</v>
      </c>
    </row>
    <row r="5715" spans="1:7">
      <c r="A5715" t="s">
        <v>7318</v>
      </c>
      <c r="B5715" s="2">
        <v>45996</v>
      </c>
      <c r="C5715" t="s">
        <v>81</v>
      </c>
      <c r="D5715" t="s">
        <v>1629</v>
      </c>
      <c r="E5715">
        <v>601.96</v>
      </c>
      <c r="F5715" t="s">
        <v>1578</v>
      </c>
      <c r="G5715" t="s">
        <v>1527</v>
      </c>
    </row>
    <row r="5716" spans="1:7">
      <c r="A5716" t="s">
        <v>7319</v>
      </c>
      <c r="B5716" s="2">
        <v>45996</v>
      </c>
      <c r="C5716" t="s">
        <v>110</v>
      </c>
      <c r="D5716" t="s">
        <v>1629</v>
      </c>
      <c r="E5716">
        <v>303.95999999999998</v>
      </c>
      <c r="F5716" t="s">
        <v>1578</v>
      </c>
      <c r="G5716" t="s">
        <v>1527</v>
      </c>
    </row>
    <row r="5717" spans="1:7">
      <c r="A5717" t="s">
        <v>7320</v>
      </c>
      <c r="B5717" s="2">
        <v>45996</v>
      </c>
      <c r="C5717" t="s">
        <v>114</v>
      </c>
      <c r="D5717" t="s">
        <v>1629</v>
      </c>
      <c r="E5717">
        <v>300.98</v>
      </c>
      <c r="F5717" t="s">
        <v>1578</v>
      </c>
      <c r="G5717" t="s">
        <v>1527</v>
      </c>
    </row>
    <row r="5718" spans="1:7">
      <c r="A5718" t="s">
        <v>7321</v>
      </c>
      <c r="B5718" s="2">
        <v>45996</v>
      </c>
      <c r="C5718" t="s">
        <v>117</v>
      </c>
      <c r="D5718" t="s">
        <v>1629</v>
      </c>
      <c r="E5718">
        <v>299.49</v>
      </c>
      <c r="F5718" t="s">
        <v>1578</v>
      </c>
      <c r="G5718" t="s">
        <v>1527</v>
      </c>
    </row>
    <row r="5719" spans="1:7">
      <c r="A5719" t="s">
        <v>7322</v>
      </c>
      <c r="B5719" s="2">
        <v>45996</v>
      </c>
      <c r="C5719" t="s">
        <v>119</v>
      </c>
      <c r="D5719" t="s">
        <v>1629</v>
      </c>
      <c r="E5719">
        <v>300.98</v>
      </c>
      <c r="F5719" t="s">
        <v>1578</v>
      </c>
      <c r="G5719" t="s">
        <v>1527</v>
      </c>
    </row>
    <row r="5720" spans="1:7">
      <c r="A5720" t="s">
        <v>7323</v>
      </c>
      <c r="B5720" s="2">
        <v>45996</v>
      </c>
      <c r="C5720" t="s">
        <v>61</v>
      </c>
      <c r="D5720" t="s">
        <v>1629</v>
      </c>
      <c r="E5720">
        <v>411.06</v>
      </c>
      <c r="F5720" t="s">
        <v>1578</v>
      </c>
      <c r="G5720" t="s">
        <v>1528</v>
      </c>
    </row>
    <row r="5721" spans="1:7">
      <c r="A5721" t="s">
        <v>7324</v>
      </c>
      <c r="B5721" s="2">
        <v>45996</v>
      </c>
      <c r="C5721" t="s">
        <v>65</v>
      </c>
      <c r="D5721" t="s">
        <v>1629</v>
      </c>
      <c r="E5721">
        <v>409.04</v>
      </c>
      <c r="F5721" t="s">
        <v>1578</v>
      </c>
      <c r="G5721" t="s">
        <v>1528</v>
      </c>
    </row>
    <row r="5722" spans="1:7">
      <c r="A5722" t="s">
        <v>7325</v>
      </c>
      <c r="B5722" s="2">
        <v>45996</v>
      </c>
      <c r="C5722" t="s">
        <v>68</v>
      </c>
      <c r="D5722" t="s">
        <v>1629</v>
      </c>
      <c r="E5722">
        <v>411.06</v>
      </c>
      <c r="F5722" t="s">
        <v>1578</v>
      </c>
      <c r="G5722" t="s">
        <v>1528</v>
      </c>
    </row>
    <row r="5723" spans="1:7">
      <c r="A5723" t="s">
        <v>7326</v>
      </c>
      <c r="B5723" s="2">
        <v>45996</v>
      </c>
      <c r="C5723" t="s">
        <v>70</v>
      </c>
      <c r="D5723" t="s">
        <v>1629</v>
      </c>
      <c r="E5723">
        <v>407.03</v>
      </c>
      <c r="F5723" t="s">
        <v>1578</v>
      </c>
      <c r="G5723" t="s">
        <v>1528</v>
      </c>
    </row>
    <row r="5724" spans="1:7">
      <c r="A5724" t="s">
        <v>7327</v>
      </c>
      <c r="B5724" s="2">
        <v>45996</v>
      </c>
      <c r="C5724" t="s">
        <v>75</v>
      </c>
      <c r="D5724" t="s">
        <v>1629</v>
      </c>
      <c r="E5724">
        <v>407.03</v>
      </c>
      <c r="F5724" t="s">
        <v>1578</v>
      </c>
      <c r="G5724" t="s">
        <v>1528</v>
      </c>
    </row>
    <row r="5725" spans="1:7">
      <c r="A5725" t="s">
        <v>7328</v>
      </c>
      <c r="B5725" s="2">
        <v>45996</v>
      </c>
      <c r="C5725" t="s">
        <v>77</v>
      </c>
      <c r="D5725" t="s">
        <v>1629</v>
      </c>
      <c r="E5725">
        <v>407.03</v>
      </c>
      <c r="F5725" t="s">
        <v>1578</v>
      </c>
      <c r="G5725" t="s">
        <v>1528</v>
      </c>
    </row>
    <row r="5726" spans="1:7">
      <c r="A5726" t="s">
        <v>7329</v>
      </c>
      <c r="B5726" s="2">
        <v>45996</v>
      </c>
      <c r="C5726" t="s">
        <v>79</v>
      </c>
      <c r="D5726" t="s">
        <v>1629</v>
      </c>
      <c r="E5726">
        <v>411.06</v>
      </c>
      <c r="F5726" t="s">
        <v>1578</v>
      </c>
      <c r="G5726" t="s">
        <v>1528</v>
      </c>
    </row>
    <row r="5727" spans="1:7">
      <c r="A5727" t="s">
        <v>7330</v>
      </c>
      <c r="B5727" s="2">
        <v>45996</v>
      </c>
      <c r="C5727" t="s">
        <v>81</v>
      </c>
      <c r="D5727" t="s">
        <v>1629</v>
      </c>
      <c r="E5727">
        <v>814.06</v>
      </c>
      <c r="F5727" t="s">
        <v>1578</v>
      </c>
      <c r="G5727" t="s">
        <v>1528</v>
      </c>
    </row>
    <row r="5728" spans="1:7">
      <c r="A5728" t="s">
        <v>7331</v>
      </c>
      <c r="B5728" s="2">
        <v>45996</v>
      </c>
      <c r="C5728" t="s">
        <v>110</v>
      </c>
      <c r="D5728" t="s">
        <v>1629</v>
      </c>
      <c r="E5728">
        <v>411.06</v>
      </c>
      <c r="F5728" t="s">
        <v>1578</v>
      </c>
      <c r="G5728" t="s">
        <v>1528</v>
      </c>
    </row>
    <row r="5729" spans="1:7">
      <c r="A5729" t="s">
        <v>7332</v>
      </c>
      <c r="B5729" s="2">
        <v>45996</v>
      </c>
      <c r="C5729" t="s">
        <v>114</v>
      </c>
      <c r="D5729" t="s">
        <v>1629</v>
      </c>
      <c r="E5729">
        <v>407.03</v>
      </c>
      <c r="F5729" t="s">
        <v>1578</v>
      </c>
      <c r="G5729" t="s">
        <v>1528</v>
      </c>
    </row>
    <row r="5730" spans="1:7">
      <c r="A5730" t="s">
        <v>7333</v>
      </c>
      <c r="B5730" s="2">
        <v>45996</v>
      </c>
      <c r="C5730" t="s">
        <v>117</v>
      </c>
      <c r="D5730" t="s">
        <v>1629</v>
      </c>
      <c r="E5730">
        <v>405.01</v>
      </c>
      <c r="F5730" t="s">
        <v>1578</v>
      </c>
      <c r="G5730" t="s">
        <v>1528</v>
      </c>
    </row>
    <row r="5731" spans="1:7">
      <c r="A5731" t="s">
        <v>7334</v>
      </c>
      <c r="B5731" s="2">
        <v>45996</v>
      </c>
      <c r="C5731" t="s">
        <v>119</v>
      </c>
      <c r="D5731" t="s">
        <v>1629</v>
      </c>
      <c r="E5731">
        <v>407.03</v>
      </c>
      <c r="F5731" t="s">
        <v>1578</v>
      </c>
      <c r="G5731" t="s">
        <v>1528</v>
      </c>
    </row>
    <row r="5732" spans="1:7">
      <c r="A5732" t="s">
        <v>7335</v>
      </c>
      <c r="B5732" s="2">
        <v>45997</v>
      </c>
      <c r="C5732" t="s">
        <v>75</v>
      </c>
      <c r="D5732" t="s">
        <v>1629</v>
      </c>
      <c r="E5732">
        <v>381.78</v>
      </c>
      <c r="F5732" t="s">
        <v>1578</v>
      </c>
      <c r="G5732" t="s">
        <v>1529</v>
      </c>
    </row>
    <row r="5733" spans="1:7">
      <c r="A5733" t="s">
        <v>7336</v>
      </c>
      <c r="B5733" s="2">
        <v>45997</v>
      </c>
      <c r="C5733" t="s">
        <v>106</v>
      </c>
      <c r="D5733" t="s">
        <v>1629</v>
      </c>
      <c r="E5733">
        <v>389.34</v>
      </c>
      <c r="F5733" t="s">
        <v>1578</v>
      </c>
      <c r="G5733" t="s">
        <v>1529</v>
      </c>
    </row>
    <row r="5734" spans="1:7">
      <c r="A5734" t="s">
        <v>7337</v>
      </c>
      <c r="B5734" s="2">
        <v>45997</v>
      </c>
      <c r="C5734" t="s">
        <v>108</v>
      </c>
      <c r="D5734" t="s">
        <v>1629</v>
      </c>
      <c r="E5734">
        <v>767.34</v>
      </c>
      <c r="F5734" t="s">
        <v>1578</v>
      </c>
      <c r="G5734" t="s">
        <v>1529</v>
      </c>
    </row>
    <row r="5735" spans="1:7">
      <c r="A5735" t="s">
        <v>7338</v>
      </c>
      <c r="B5735" s="2">
        <v>45997</v>
      </c>
      <c r="C5735" t="s">
        <v>110</v>
      </c>
      <c r="D5735" t="s">
        <v>1629</v>
      </c>
      <c r="E5735">
        <v>385.56</v>
      </c>
      <c r="F5735" t="s">
        <v>1578</v>
      </c>
      <c r="G5735" t="s">
        <v>1529</v>
      </c>
    </row>
    <row r="5736" spans="1:7">
      <c r="A5736" t="s">
        <v>7339</v>
      </c>
      <c r="B5736" s="2">
        <v>45997</v>
      </c>
      <c r="C5736" t="s">
        <v>114</v>
      </c>
      <c r="D5736" t="s">
        <v>1629</v>
      </c>
      <c r="E5736">
        <v>381.78</v>
      </c>
      <c r="F5736" t="s">
        <v>1578</v>
      </c>
      <c r="G5736" t="s">
        <v>1529</v>
      </c>
    </row>
    <row r="5737" spans="1:7">
      <c r="A5737" t="s">
        <v>7340</v>
      </c>
      <c r="B5737" s="2">
        <v>45997</v>
      </c>
      <c r="C5737" t="s">
        <v>117</v>
      </c>
      <c r="D5737" t="s">
        <v>1629</v>
      </c>
      <c r="E5737">
        <v>379.89</v>
      </c>
      <c r="F5737" t="s">
        <v>1578</v>
      </c>
      <c r="G5737" t="s">
        <v>1529</v>
      </c>
    </row>
    <row r="5738" spans="1:7">
      <c r="A5738" t="s">
        <v>7341</v>
      </c>
      <c r="B5738" s="2">
        <v>45997</v>
      </c>
      <c r="C5738" t="s">
        <v>119</v>
      </c>
      <c r="D5738" t="s">
        <v>1629</v>
      </c>
      <c r="E5738">
        <v>381.78</v>
      </c>
      <c r="F5738" t="s">
        <v>1578</v>
      </c>
      <c r="G5738" t="s">
        <v>1529</v>
      </c>
    </row>
    <row r="5739" spans="1:7">
      <c r="A5739" t="s">
        <v>7342</v>
      </c>
      <c r="B5739" s="2">
        <v>45997</v>
      </c>
      <c r="C5739" t="s">
        <v>75</v>
      </c>
      <c r="D5739" t="s">
        <v>1629</v>
      </c>
      <c r="E5739">
        <v>234.32</v>
      </c>
      <c r="F5739" t="s">
        <v>1578</v>
      </c>
      <c r="G5739" t="s">
        <v>1530</v>
      </c>
    </row>
    <row r="5740" spans="1:7">
      <c r="A5740" t="s">
        <v>7343</v>
      </c>
      <c r="B5740" s="2">
        <v>45997</v>
      </c>
      <c r="C5740" t="s">
        <v>106</v>
      </c>
      <c r="D5740" t="s">
        <v>1629</v>
      </c>
      <c r="E5740">
        <v>238.96</v>
      </c>
      <c r="F5740" t="s">
        <v>1578</v>
      </c>
      <c r="G5740" t="s">
        <v>1530</v>
      </c>
    </row>
    <row r="5741" spans="1:7">
      <c r="A5741" t="s">
        <v>7344</v>
      </c>
      <c r="B5741" s="2">
        <v>45997</v>
      </c>
      <c r="C5741" t="s">
        <v>108</v>
      </c>
      <c r="D5741" t="s">
        <v>1629</v>
      </c>
      <c r="E5741">
        <v>470.96</v>
      </c>
      <c r="F5741" t="s">
        <v>1578</v>
      </c>
      <c r="G5741" t="s">
        <v>1530</v>
      </c>
    </row>
    <row r="5742" spans="1:7">
      <c r="A5742" t="s">
        <v>7345</v>
      </c>
      <c r="B5742" s="2">
        <v>45997</v>
      </c>
      <c r="C5742" t="s">
        <v>110</v>
      </c>
      <c r="D5742" t="s">
        <v>1629</v>
      </c>
      <c r="E5742">
        <v>236.64</v>
      </c>
      <c r="F5742" t="s">
        <v>1578</v>
      </c>
      <c r="G5742" t="s">
        <v>1530</v>
      </c>
    </row>
    <row r="5743" spans="1:7">
      <c r="A5743" t="s">
        <v>7346</v>
      </c>
      <c r="B5743" s="2">
        <v>45997</v>
      </c>
      <c r="C5743" t="s">
        <v>114</v>
      </c>
      <c r="D5743" t="s">
        <v>1629</v>
      </c>
      <c r="E5743">
        <v>234.32</v>
      </c>
      <c r="F5743" t="s">
        <v>1578</v>
      </c>
      <c r="G5743" t="s">
        <v>1530</v>
      </c>
    </row>
    <row r="5744" spans="1:7">
      <c r="A5744" t="s">
        <v>7347</v>
      </c>
      <c r="B5744" s="2">
        <v>45997</v>
      </c>
      <c r="C5744" t="s">
        <v>117</v>
      </c>
      <c r="D5744" t="s">
        <v>1629</v>
      </c>
      <c r="E5744">
        <v>233.16</v>
      </c>
      <c r="F5744" t="s">
        <v>1578</v>
      </c>
      <c r="G5744" t="s">
        <v>1530</v>
      </c>
    </row>
    <row r="5745" spans="1:7">
      <c r="A5745" t="s">
        <v>7348</v>
      </c>
      <c r="B5745" s="2">
        <v>45997</v>
      </c>
      <c r="C5745" t="s">
        <v>119</v>
      </c>
      <c r="D5745" t="s">
        <v>1629</v>
      </c>
      <c r="E5745">
        <v>234.32</v>
      </c>
      <c r="F5745" t="s">
        <v>1578</v>
      </c>
      <c r="G5745" t="s">
        <v>1530</v>
      </c>
    </row>
    <row r="5746" spans="1:7">
      <c r="A5746" t="s">
        <v>7349</v>
      </c>
      <c r="B5746" s="2">
        <v>45997</v>
      </c>
      <c r="C5746" t="s">
        <v>68</v>
      </c>
      <c r="D5746" t="s">
        <v>1683</v>
      </c>
      <c r="E5746">
        <v>278</v>
      </c>
      <c r="F5746" t="s">
        <v>1578</v>
      </c>
      <c r="G5746" t="s">
        <v>1001</v>
      </c>
    </row>
    <row r="5747" spans="1:7">
      <c r="A5747" t="s">
        <v>7350</v>
      </c>
      <c r="B5747" s="2">
        <v>45997</v>
      </c>
      <c r="C5747" t="s">
        <v>93</v>
      </c>
      <c r="D5747" t="s">
        <v>1683</v>
      </c>
      <c r="E5747">
        <v>344</v>
      </c>
      <c r="F5747" t="s">
        <v>1578</v>
      </c>
      <c r="G5747" t="s">
        <v>1002</v>
      </c>
    </row>
    <row r="5748" spans="1:7">
      <c r="A5748" t="s">
        <v>7351</v>
      </c>
      <c r="B5748" s="2">
        <v>45997</v>
      </c>
      <c r="C5748" t="s">
        <v>84</v>
      </c>
      <c r="D5748" t="s">
        <v>1683</v>
      </c>
      <c r="E5748">
        <v>103</v>
      </c>
      <c r="F5748" t="s">
        <v>1578</v>
      </c>
      <c r="G5748" t="s">
        <v>1003</v>
      </c>
    </row>
    <row r="5749" spans="1:7">
      <c r="A5749" t="s">
        <v>7352</v>
      </c>
      <c r="B5749" s="2">
        <v>45998</v>
      </c>
      <c r="C5749" t="s">
        <v>75</v>
      </c>
      <c r="D5749" t="s">
        <v>1629</v>
      </c>
      <c r="E5749">
        <v>218.16</v>
      </c>
      <c r="F5749" t="s">
        <v>1578</v>
      </c>
      <c r="G5749" t="s">
        <v>1531</v>
      </c>
    </row>
    <row r="5750" spans="1:7">
      <c r="A5750" t="s">
        <v>7353</v>
      </c>
      <c r="B5750" s="2">
        <v>45998</v>
      </c>
      <c r="C5750" t="s">
        <v>106</v>
      </c>
      <c r="D5750" t="s">
        <v>1629</v>
      </c>
      <c r="E5750">
        <v>222.48</v>
      </c>
      <c r="F5750" t="s">
        <v>1578</v>
      </c>
      <c r="G5750" t="s">
        <v>1531</v>
      </c>
    </row>
    <row r="5751" spans="1:7">
      <c r="A5751" t="s">
        <v>7354</v>
      </c>
      <c r="B5751" s="2">
        <v>45998</v>
      </c>
      <c r="C5751" t="s">
        <v>108</v>
      </c>
      <c r="D5751" t="s">
        <v>1629</v>
      </c>
      <c r="E5751">
        <v>438.48</v>
      </c>
      <c r="F5751" t="s">
        <v>1578</v>
      </c>
      <c r="G5751" t="s">
        <v>1531</v>
      </c>
    </row>
    <row r="5752" spans="1:7">
      <c r="A5752" t="s">
        <v>7355</v>
      </c>
      <c r="B5752" s="2">
        <v>45998</v>
      </c>
      <c r="C5752" t="s">
        <v>110</v>
      </c>
      <c r="D5752" t="s">
        <v>1629</v>
      </c>
      <c r="E5752">
        <v>220.32</v>
      </c>
      <c r="F5752" t="s">
        <v>1578</v>
      </c>
      <c r="G5752" t="s">
        <v>1531</v>
      </c>
    </row>
    <row r="5753" spans="1:7">
      <c r="A5753" t="s">
        <v>7356</v>
      </c>
      <c r="B5753" s="2">
        <v>45998</v>
      </c>
      <c r="C5753" t="s">
        <v>114</v>
      </c>
      <c r="D5753" t="s">
        <v>1629</v>
      </c>
      <c r="E5753">
        <v>218.16</v>
      </c>
      <c r="F5753" t="s">
        <v>1578</v>
      </c>
      <c r="G5753" t="s">
        <v>1531</v>
      </c>
    </row>
    <row r="5754" spans="1:7">
      <c r="A5754" t="s">
        <v>7357</v>
      </c>
      <c r="B5754" s="2">
        <v>45998</v>
      </c>
      <c r="C5754" t="s">
        <v>117</v>
      </c>
      <c r="D5754" t="s">
        <v>1629</v>
      </c>
      <c r="E5754">
        <v>217.08</v>
      </c>
      <c r="F5754" t="s">
        <v>1578</v>
      </c>
      <c r="G5754" t="s">
        <v>1531</v>
      </c>
    </row>
    <row r="5755" spans="1:7">
      <c r="A5755" t="s">
        <v>7358</v>
      </c>
      <c r="B5755" s="2">
        <v>45998</v>
      </c>
      <c r="C5755" t="s">
        <v>119</v>
      </c>
      <c r="D5755" t="s">
        <v>1629</v>
      </c>
      <c r="E5755">
        <v>218.16</v>
      </c>
      <c r="F5755" t="s">
        <v>1578</v>
      </c>
      <c r="G5755" t="s">
        <v>1531</v>
      </c>
    </row>
    <row r="5756" spans="1:7">
      <c r="A5756" t="s">
        <v>7359</v>
      </c>
      <c r="B5756" s="2">
        <v>45998</v>
      </c>
      <c r="C5756" t="s">
        <v>89</v>
      </c>
      <c r="D5756" t="s">
        <v>1683</v>
      </c>
      <c r="E5756">
        <v>307</v>
      </c>
      <c r="F5756" t="s">
        <v>1578</v>
      </c>
      <c r="G5756" t="s">
        <v>1004</v>
      </c>
    </row>
    <row r="5757" spans="1:7">
      <c r="A5757" t="s">
        <v>7360</v>
      </c>
      <c r="B5757" s="2">
        <v>45998</v>
      </c>
      <c r="C5757" t="s">
        <v>114</v>
      </c>
      <c r="D5757" t="s">
        <v>1683</v>
      </c>
      <c r="E5757">
        <v>165</v>
      </c>
      <c r="F5757" t="s">
        <v>1578</v>
      </c>
      <c r="G5757" t="s">
        <v>1005</v>
      </c>
    </row>
    <row r="5758" spans="1:7">
      <c r="A5758" t="s">
        <v>7361</v>
      </c>
      <c r="B5758" s="2">
        <v>45998</v>
      </c>
      <c r="C5758" t="s">
        <v>119</v>
      </c>
      <c r="D5758" t="s">
        <v>1683</v>
      </c>
      <c r="E5758">
        <v>104</v>
      </c>
      <c r="F5758" t="s">
        <v>1578</v>
      </c>
      <c r="G5758" t="s">
        <v>1006</v>
      </c>
    </row>
    <row r="5759" spans="1:7">
      <c r="A5759" t="s">
        <v>7362</v>
      </c>
      <c r="B5759" s="2">
        <v>45998</v>
      </c>
      <c r="C5759" t="s">
        <v>84</v>
      </c>
      <c r="D5759" t="s">
        <v>1683</v>
      </c>
      <c r="E5759">
        <v>109</v>
      </c>
      <c r="F5759" t="s">
        <v>1578</v>
      </c>
      <c r="G5759" t="s">
        <v>1007</v>
      </c>
    </row>
    <row r="5760" spans="1:7">
      <c r="A5760" t="s">
        <v>7363</v>
      </c>
      <c r="B5760" s="2">
        <v>45999</v>
      </c>
      <c r="C5760" t="s">
        <v>61</v>
      </c>
      <c r="D5760" t="s">
        <v>1629</v>
      </c>
      <c r="E5760">
        <v>141.78</v>
      </c>
      <c r="F5760" t="s">
        <v>1578</v>
      </c>
      <c r="G5760" t="s">
        <v>1532</v>
      </c>
    </row>
    <row r="5761" spans="1:7">
      <c r="A5761" t="s">
        <v>7364</v>
      </c>
      <c r="B5761" s="2">
        <v>45999</v>
      </c>
      <c r="C5761" t="s">
        <v>65</v>
      </c>
      <c r="D5761" t="s">
        <v>1629</v>
      </c>
      <c r="E5761">
        <v>141.08000000000001</v>
      </c>
      <c r="F5761" t="s">
        <v>1578</v>
      </c>
      <c r="G5761" t="s">
        <v>1532</v>
      </c>
    </row>
    <row r="5762" spans="1:7">
      <c r="A5762" t="s">
        <v>7365</v>
      </c>
      <c r="B5762" s="2">
        <v>45999</v>
      </c>
      <c r="C5762" t="s">
        <v>68</v>
      </c>
      <c r="D5762" t="s">
        <v>1629</v>
      </c>
      <c r="E5762">
        <v>141.78</v>
      </c>
      <c r="F5762" t="s">
        <v>1578</v>
      </c>
      <c r="G5762" t="s">
        <v>1532</v>
      </c>
    </row>
    <row r="5763" spans="1:7">
      <c r="A5763" t="s">
        <v>7366</v>
      </c>
      <c r="B5763" s="2">
        <v>45999</v>
      </c>
      <c r="C5763" t="s">
        <v>75</v>
      </c>
      <c r="D5763" t="s">
        <v>1629</v>
      </c>
      <c r="E5763">
        <v>140.38999999999999</v>
      </c>
      <c r="F5763" t="s">
        <v>1578</v>
      </c>
      <c r="G5763" t="s">
        <v>1532</v>
      </c>
    </row>
    <row r="5764" spans="1:7">
      <c r="A5764" t="s">
        <v>7367</v>
      </c>
      <c r="B5764" s="2">
        <v>45999</v>
      </c>
      <c r="C5764" t="s">
        <v>79</v>
      </c>
      <c r="D5764" t="s">
        <v>1629</v>
      </c>
      <c r="E5764">
        <v>141.78</v>
      </c>
      <c r="F5764" t="s">
        <v>1578</v>
      </c>
      <c r="G5764" t="s">
        <v>1532</v>
      </c>
    </row>
    <row r="5765" spans="1:7">
      <c r="A5765" t="s">
        <v>7368</v>
      </c>
      <c r="B5765" s="2">
        <v>45999</v>
      </c>
      <c r="C5765" t="s">
        <v>81</v>
      </c>
      <c r="D5765" t="s">
        <v>1629</v>
      </c>
      <c r="E5765">
        <v>280.77999999999997</v>
      </c>
      <c r="F5765" t="s">
        <v>1578</v>
      </c>
      <c r="G5765" t="s">
        <v>1532</v>
      </c>
    </row>
    <row r="5766" spans="1:7">
      <c r="A5766" t="s">
        <v>7369</v>
      </c>
      <c r="B5766" s="2">
        <v>45999</v>
      </c>
      <c r="C5766" t="s">
        <v>110</v>
      </c>
      <c r="D5766" t="s">
        <v>1629</v>
      </c>
      <c r="E5766">
        <v>141.78</v>
      </c>
      <c r="F5766" t="s">
        <v>1578</v>
      </c>
      <c r="G5766" t="s">
        <v>1532</v>
      </c>
    </row>
    <row r="5767" spans="1:7">
      <c r="A5767" t="s">
        <v>7370</v>
      </c>
      <c r="B5767" s="2">
        <v>45999</v>
      </c>
      <c r="C5767" t="s">
        <v>114</v>
      </c>
      <c r="D5767" t="s">
        <v>1629</v>
      </c>
      <c r="E5767">
        <v>140.38999999999999</v>
      </c>
      <c r="F5767" t="s">
        <v>1578</v>
      </c>
      <c r="G5767" t="s">
        <v>1532</v>
      </c>
    </row>
    <row r="5768" spans="1:7">
      <c r="A5768" t="s">
        <v>7371</v>
      </c>
      <c r="B5768" s="2">
        <v>45999</v>
      </c>
      <c r="C5768" t="s">
        <v>117</v>
      </c>
      <c r="D5768" t="s">
        <v>1629</v>
      </c>
      <c r="E5768">
        <v>139.69999999999999</v>
      </c>
      <c r="F5768" t="s">
        <v>1578</v>
      </c>
      <c r="G5768" t="s">
        <v>1532</v>
      </c>
    </row>
    <row r="5769" spans="1:7">
      <c r="A5769" t="s">
        <v>7372</v>
      </c>
      <c r="B5769" s="2">
        <v>45999</v>
      </c>
      <c r="C5769" t="s">
        <v>119</v>
      </c>
      <c r="D5769" t="s">
        <v>1629</v>
      </c>
      <c r="E5769">
        <v>140.38999999999999</v>
      </c>
      <c r="F5769" t="s">
        <v>1578</v>
      </c>
      <c r="G5769" t="s">
        <v>1532</v>
      </c>
    </row>
    <row r="5770" spans="1:7">
      <c r="A5770" t="s">
        <v>7373</v>
      </c>
      <c r="B5770" s="2">
        <v>45999</v>
      </c>
      <c r="C5770" t="s">
        <v>61</v>
      </c>
      <c r="D5770" t="s">
        <v>1629</v>
      </c>
      <c r="E5770">
        <v>263.16000000000003</v>
      </c>
      <c r="F5770" t="s">
        <v>1578</v>
      </c>
      <c r="G5770" t="s">
        <v>1533</v>
      </c>
    </row>
    <row r="5771" spans="1:7">
      <c r="A5771" t="s">
        <v>7374</v>
      </c>
      <c r="B5771" s="2">
        <v>45999</v>
      </c>
      <c r="C5771" t="s">
        <v>65</v>
      </c>
      <c r="D5771" t="s">
        <v>1629</v>
      </c>
      <c r="E5771">
        <v>261.87</v>
      </c>
      <c r="F5771" t="s">
        <v>1578</v>
      </c>
      <c r="G5771" t="s">
        <v>1533</v>
      </c>
    </row>
    <row r="5772" spans="1:7">
      <c r="A5772" t="s">
        <v>7375</v>
      </c>
      <c r="B5772" s="2">
        <v>45999</v>
      </c>
      <c r="C5772" t="s">
        <v>68</v>
      </c>
      <c r="D5772" t="s">
        <v>1629</v>
      </c>
      <c r="E5772">
        <v>263.16000000000003</v>
      </c>
      <c r="F5772" t="s">
        <v>1578</v>
      </c>
      <c r="G5772" t="s">
        <v>1533</v>
      </c>
    </row>
    <row r="5773" spans="1:7">
      <c r="A5773" t="s">
        <v>7376</v>
      </c>
      <c r="B5773" s="2">
        <v>45999</v>
      </c>
      <c r="C5773" t="s">
        <v>70</v>
      </c>
      <c r="D5773" t="s">
        <v>1629</v>
      </c>
      <c r="E5773">
        <v>260.58</v>
      </c>
      <c r="F5773" t="s">
        <v>1578</v>
      </c>
      <c r="G5773" t="s">
        <v>1533</v>
      </c>
    </row>
    <row r="5774" spans="1:7">
      <c r="A5774" t="s">
        <v>7377</v>
      </c>
      <c r="B5774" s="2">
        <v>45999</v>
      </c>
      <c r="C5774" t="s">
        <v>73</v>
      </c>
      <c r="D5774" t="s">
        <v>1629</v>
      </c>
      <c r="E5774">
        <v>263.16000000000003</v>
      </c>
      <c r="F5774" t="s">
        <v>1578</v>
      </c>
      <c r="G5774" t="s">
        <v>1533</v>
      </c>
    </row>
    <row r="5775" spans="1:7">
      <c r="A5775" t="s">
        <v>7378</v>
      </c>
      <c r="B5775" s="2">
        <v>45999</v>
      </c>
      <c r="C5775" t="s">
        <v>75</v>
      </c>
      <c r="D5775" t="s">
        <v>1629</v>
      </c>
      <c r="E5775">
        <v>260.58</v>
      </c>
      <c r="F5775" t="s">
        <v>1578</v>
      </c>
      <c r="G5775" t="s">
        <v>1533</v>
      </c>
    </row>
    <row r="5776" spans="1:7">
      <c r="A5776" t="s">
        <v>7379</v>
      </c>
      <c r="B5776" s="2">
        <v>45999</v>
      </c>
      <c r="C5776" t="s">
        <v>77</v>
      </c>
      <c r="D5776" t="s">
        <v>1629</v>
      </c>
      <c r="E5776">
        <v>260.58</v>
      </c>
      <c r="F5776" t="s">
        <v>1578</v>
      </c>
      <c r="G5776" t="s">
        <v>1533</v>
      </c>
    </row>
    <row r="5777" spans="1:7">
      <c r="A5777" t="s">
        <v>7380</v>
      </c>
      <c r="B5777" s="2">
        <v>45999</v>
      </c>
      <c r="C5777" t="s">
        <v>79</v>
      </c>
      <c r="D5777" t="s">
        <v>1629</v>
      </c>
      <c r="E5777">
        <v>263.16000000000003</v>
      </c>
      <c r="F5777" t="s">
        <v>1578</v>
      </c>
      <c r="G5777" t="s">
        <v>1533</v>
      </c>
    </row>
    <row r="5778" spans="1:7">
      <c r="A5778" t="s">
        <v>7381</v>
      </c>
      <c r="B5778" s="2">
        <v>45999</v>
      </c>
      <c r="C5778" t="s">
        <v>81</v>
      </c>
      <c r="D5778" t="s">
        <v>1629</v>
      </c>
      <c r="E5778">
        <v>521.16</v>
      </c>
      <c r="F5778" t="s">
        <v>1578</v>
      </c>
      <c r="G5778" t="s">
        <v>1533</v>
      </c>
    </row>
    <row r="5779" spans="1:7">
      <c r="A5779" t="s">
        <v>7382</v>
      </c>
      <c r="B5779" s="2">
        <v>45999</v>
      </c>
      <c r="C5779" t="s">
        <v>108</v>
      </c>
      <c r="D5779" t="s">
        <v>1629</v>
      </c>
      <c r="E5779">
        <v>523.74</v>
      </c>
      <c r="F5779" t="s">
        <v>1578</v>
      </c>
      <c r="G5779" t="s">
        <v>1533</v>
      </c>
    </row>
    <row r="5780" spans="1:7">
      <c r="A5780" t="s">
        <v>7383</v>
      </c>
      <c r="B5780" s="2">
        <v>45999</v>
      </c>
      <c r="C5780" t="s">
        <v>110</v>
      </c>
      <c r="D5780" t="s">
        <v>1629</v>
      </c>
      <c r="E5780">
        <v>263.16000000000003</v>
      </c>
      <c r="F5780" t="s">
        <v>1578</v>
      </c>
      <c r="G5780" t="s">
        <v>1533</v>
      </c>
    </row>
    <row r="5781" spans="1:7">
      <c r="A5781" t="s">
        <v>7384</v>
      </c>
      <c r="B5781" s="2">
        <v>45999</v>
      </c>
      <c r="C5781" t="s">
        <v>114</v>
      </c>
      <c r="D5781" t="s">
        <v>1629</v>
      </c>
      <c r="E5781">
        <v>260.58</v>
      </c>
      <c r="F5781" t="s">
        <v>1578</v>
      </c>
      <c r="G5781" t="s">
        <v>1533</v>
      </c>
    </row>
    <row r="5782" spans="1:7">
      <c r="A5782" t="s">
        <v>7385</v>
      </c>
      <c r="B5782" s="2">
        <v>45999</v>
      </c>
      <c r="C5782" t="s">
        <v>117</v>
      </c>
      <c r="D5782" t="s">
        <v>1629</v>
      </c>
      <c r="E5782">
        <v>259.29000000000002</v>
      </c>
      <c r="F5782" t="s">
        <v>1578</v>
      </c>
      <c r="G5782" t="s">
        <v>1533</v>
      </c>
    </row>
    <row r="5783" spans="1:7">
      <c r="A5783" t="s">
        <v>7386</v>
      </c>
      <c r="B5783" s="2">
        <v>45999</v>
      </c>
      <c r="C5783" t="s">
        <v>119</v>
      </c>
      <c r="D5783" t="s">
        <v>1629</v>
      </c>
      <c r="E5783">
        <v>260.58</v>
      </c>
      <c r="F5783" t="s">
        <v>1578</v>
      </c>
      <c r="G5783" t="s">
        <v>1533</v>
      </c>
    </row>
    <row r="5784" spans="1:7">
      <c r="A5784" t="s">
        <v>7387</v>
      </c>
      <c r="B5784" s="2">
        <v>45999</v>
      </c>
      <c r="C5784" t="s">
        <v>89</v>
      </c>
      <c r="D5784" t="s">
        <v>1683</v>
      </c>
      <c r="E5784">
        <v>190</v>
      </c>
      <c r="F5784" t="s">
        <v>1578</v>
      </c>
      <c r="G5784" t="s">
        <v>1008</v>
      </c>
    </row>
    <row r="5785" spans="1:7">
      <c r="A5785" t="s">
        <v>7388</v>
      </c>
      <c r="B5785" s="2">
        <v>45999</v>
      </c>
      <c r="C5785" t="s">
        <v>70</v>
      </c>
      <c r="D5785" t="s">
        <v>1683</v>
      </c>
      <c r="E5785">
        <v>228</v>
      </c>
      <c r="F5785" t="s">
        <v>1578</v>
      </c>
      <c r="G5785" t="s">
        <v>1009</v>
      </c>
    </row>
    <row r="5786" spans="1:7">
      <c r="A5786" t="s">
        <v>7389</v>
      </c>
      <c r="B5786" s="2">
        <v>45999</v>
      </c>
      <c r="C5786" t="s">
        <v>87</v>
      </c>
      <c r="D5786" t="s">
        <v>1683</v>
      </c>
      <c r="E5786">
        <v>469</v>
      </c>
      <c r="F5786" t="s">
        <v>1578</v>
      </c>
      <c r="G5786" t="s">
        <v>1010</v>
      </c>
    </row>
    <row r="5787" spans="1:7">
      <c r="A5787" t="s">
        <v>7390</v>
      </c>
      <c r="B5787" s="2">
        <v>46000</v>
      </c>
      <c r="C5787" t="s">
        <v>61</v>
      </c>
      <c r="D5787" t="s">
        <v>1629</v>
      </c>
      <c r="E5787">
        <v>98.94</v>
      </c>
      <c r="F5787" t="s">
        <v>1578</v>
      </c>
      <c r="G5787" t="s">
        <v>1534</v>
      </c>
    </row>
    <row r="5788" spans="1:7">
      <c r="A5788" t="s">
        <v>7391</v>
      </c>
      <c r="B5788" s="2">
        <v>46000</v>
      </c>
      <c r="C5788" t="s">
        <v>65</v>
      </c>
      <c r="D5788" t="s">
        <v>1629</v>
      </c>
      <c r="E5788">
        <v>98.45</v>
      </c>
      <c r="F5788" t="s">
        <v>1578</v>
      </c>
      <c r="G5788" t="s">
        <v>1534</v>
      </c>
    </row>
    <row r="5789" spans="1:7">
      <c r="A5789" t="s">
        <v>7392</v>
      </c>
      <c r="B5789" s="2">
        <v>46000</v>
      </c>
      <c r="C5789" t="s">
        <v>68</v>
      </c>
      <c r="D5789" t="s">
        <v>1629</v>
      </c>
      <c r="E5789">
        <v>98.94</v>
      </c>
      <c r="F5789" t="s">
        <v>1578</v>
      </c>
      <c r="G5789" t="s">
        <v>1534</v>
      </c>
    </row>
    <row r="5790" spans="1:7">
      <c r="A5790" t="s">
        <v>7393</v>
      </c>
      <c r="B5790" s="2">
        <v>46000</v>
      </c>
      <c r="C5790" t="s">
        <v>75</v>
      </c>
      <c r="D5790" t="s">
        <v>1629</v>
      </c>
      <c r="E5790">
        <v>97.97</v>
      </c>
      <c r="F5790" t="s">
        <v>1578</v>
      </c>
      <c r="G5790" t="s">
        <v>1534</v>
      </c>
    </row>
    <row r="5791" spans="1:7">
      <c r="A5791" t="s">
        <v>7394</v>
      </c>
      <c r="B5791" s="2">
        <v>46000</v>
      </c>
      <c r="C5791" t="s">
        <v>79</v>
      </c>
      <c r="D5791" t="s">
        <v>1629</v>
      </c>
      <c r="E5791">
        <v>98.94</v>
      </c>
      <c r="F5791" t="s">
        <v>1578</v>
      </c>
      <c r="G5791" t="s">
        <v>1534</v>
      </c>
    </row>
    <row r="5792" spans="1:7">
      <c r="A5792" t="s">
        <v>7395</v>
      </c>
      <c r="B5792" s="2">
        <v>46000</v>
      </c>
      <c r="C5792" t="s">
        <v>81</v>
      </c>
      <c r="D5792" t="s">
        <v>1629</v>
      </c>
      <c r="E5792">
        <v>195.94</v>
      </c>
      <c r="F5792" t="s">
        <v>1578</v>
      </c>
      <c r="G5792" t="s">
        <v>1534</v>
      </c>
    </row>
    <row r="5793" spans="1:7">
      <c r="A5793" t="s">
        <v>7396</v>
      </c>
      <c r="B5793" s="2">
        <v>46000</v>
      </c>
      <c r="C5793" t="s">
        <v>110</v>
      </c>
      <c r="D5793" t="s">
        <v>1629</v>
      </c>
      <c r="E5793">
        <v>98.94</v>
      </c>
      <c r="F5793" t="s">
        <v>1578</v>
      </c>
      <c r="G5793" t="s">
        <v>1534</v>
      </c>
    </row>
    <row r="5794" spans="1:7">
      <c r="A5794" t="s">
        <v>7397</v>
      </c>
      <c r="B5794" s="2">
        <v>46000</v>
      </c>
      <c r="C5794" t="s">
        <v>114</v>
      </c>
      <c r="D5794" t="s">
        <v>1629</v>
      </c>
      <c r="E5794">
        <v>97.97</v>
      </c>
      <c r="F5794" t="s">
        <v>1578</v>
      </c>
      <c r="G5794" t="s">
        <v>1534</v>
      </c>
    </row>
    <row r="5795" spans="1:7">
      <c r="A5795" t="s">
        <v>7398</v>
      </c>
      <c r="B5795" s="2">
        <v>46000</v>
      </c>
      <c r="C5795" t="s">
        <v>117</v>
      </c>
      <c r="D5795" t="s">
        <v>1629</v>
      </c>
      <c r="E5795">
        <v>97.48</v>
      </c>
      <c r="F5795" t="s">
        <v>1578</v>
      </c>
      <c r="G5795" t="s">
        <v>1534</v>
      </c>
    </row>
    <row r="5796" spans="1:7">
      <c r="A5796" t="s">
        <v>7399</v>
      </c>
      <c r="B5796" s="2">
        <v>46000</v>
      </c>
      <c r="C5796" t="s">
        <v>119</v>
      </c>
      <c r="D5796" t="s">
        <v>1629</v>
      </c>
      <c r="E5796">
        <v>97.97</v>
      </c>
      <c r="F5796" t="s">
        <v>1578</v>
      </c>
      <c r="G5796" t="s">
        <v>1534</v>
      </c>
    </row>
    <row r="5797" spans="1:7">
      <c r="A5797" t="s">
        <v>7400</v>
      </c>
      <c r="B5797" s="2">
        <v>46000</v>
      </c>
      <c r="C5797" t="s">
        <v>114</v>
      </c>
      <c r="D5797" t="s">
        <v>1683</v>
      </c>
      <c r="E5797">
        <v>277</v>
      </c>
      <c r="F5797" t="s">
        <v>1578</v>
      </c>
      <c r="G5797" t="s">
        <v>1011</v>
      </c>
    </row>
    <row r="5798" spans="1:7">
      <c r="A5798" t="s">
        <v>7401</v>
      </c>
      <c r="B5798" s="2">
        <v>46000</v>
      </c>
      <c r="C5798" t="s">
        <v>114</v>
      </c>
      <c r="D5798" t="s">
        <v>1683</v>
      </c>
      <c r="E5798">
        <v>223</v>
      </c>
      <c r="F5798" t="s">
        <v>1578</v>
      </c>
      <c r="G5798" t="s">
        <v>1012</v>
      </c>
    </row>
    <row r="5799" spans="1:7">
      <c r="A5799" t="s">
        <v>7402</v>
      </c>
      <c r="B5799" s="2">
        <v>46000</v>
      </c>
      <c r="C5799" t="s">
        <v>95</v>
      </c>
      <c r="D5799" t="s">
        <v>1683</v>
      </c>
      <c r="E5799">
        <v>207</v>
      </c>
      <c r="F5799" t="s">
        <v>1578</v>
      </c>
      <c r="G5799" t="s">
        <v>1013</v>
      </c>
    </row>
    <row r="5800" spans="1:7">
      <c r="A5800" t="s">
        <v>7403</v>
      </c>
      <c r="B5800" s="2">
        <v>46002</v>
      </c>
      <c r="C5800" t="s">
        <v>61</v>
      </c>
      <c r="D5800" t="s">
        <v>1629</v>
      </c>
      <c r="E5800">
        <v>255</v>
      </c>
      <c r="F5800" t="s">
        <v>1578</v>
      </c>
      <c r="G5800" t="s">
        <v>1535</v>
      </c>
    </row>
    <row r="5801" spans="1:7">
      <c r="A5801" t="s">
        <v>7404</v>
      </c>
      <c r="B5801" s="2">
        <v>46002</v>
      </c>
      <c r="C5801" t="s">
        <v>65</v>
      </c>
      <c r="D5801" t="s">
        <v>1629</v>
      </c>
      <c r="E5801">
        <v>253.75</v>
      </c>
      <c r="F5801" t="s">
        <v>1578</v>
      </c>
      <c r="G5801" t="s">
        <v>1535</v>
      </c>
    </row>
    <row r="5802" spans="1:7">
      <c r="A5802" t="s">
        <v>7405</v>
      </c>
      <c r="B5802" s="2">
        <v>46002</v>
      </c>
      <c r="C5802" t="s">
        <v>68</v>
      </c>
      <c r="D5802" t="s">
        <v>1629</v>
      </c>
      <c r="E5802">
        <v>255</v>
      </c>
      <c r="F5802" t="s">
        <v>1578</v>
      </c>
      <c r="G5802" t="s">
        <v>1535</v>
      </c>
    </row>
    <row r="5803" spans="1:7">
      <c r="A5803" t="s">
        <v>7406</v>
      </c>
      <c r="B5803" s="2">
        <v>46002</v>
      </c>
      <c r="C5803" t="s">
        <v>70</v>
      </c>
      <c r="D5803" t="s">
        <v>1629</v>
      </c>
      <c r="E5803">
        <v>252.5</v>
      </c>
      <c r="F5803" t="s">
        <v>1578</v>
      </c>
      <c r="G5803" t="s">
        <v>1535</v>
      </c>
    </row>
    <row r="5804" spans="1:7">
      <c r="A5804" t="s">
        <v>7407</v>
      </c>
      <c r="B5804" s="2">
        <v>46002</v>
      </c>
      <c r="C5804" t="s">
        <v>73</v>
      </c>
      <c r="D5804" t="s">
        <v>1629</v>
      </c>
      <c r="E5804">
        <v>255</v>
      </c>
      <c r="F5804" t="s">
        <v>1578</v>
      </c>
      <c r="G5804" t="s">
        <v>1535</v>
      </c>
    </row>
    <row r="5805" spans="1:7">
      <c r="A5805" t="s">
        <v>7408</v>
      </c>
      <c r="B5805" s="2">
        <v>46002</v>
      </c>
      <c r="C5805" t="s">
        <v>75</v>
      </c>
      <c r="D5805" t="s">
        <v>1629</v>
      </c>
      <c r="E5805">
        <v>252.5</v>
      </c>
      <c r="F5805" t="s">
        <v>1578</v>
      </c>
      <c r="G5805" t="s">
        <v>1535</v>
      </c>
    </row>
    <row r="5806" spans="1:7">
      <c r="A5806" t="s">
        <v>7409</v>
      </c>
      <c r="B5806" s="2">
        <v>46002</v>
      </c>
      <c r="C5806" t="s">
        <v>77</v>
      </c>
      <c r="D5806" t="s">
        <v>1629</v>
      </c>
      <c r="E5806">
        <v>252.5</v>
      </c>
      <c r="F5806" t="s">
        <v>1578</v>
      </c>
      <c r="G5806" t="s">
        <v>1535</v>
      </c>
    </row>
    <row r="5807" spans="1:7">
      <c r="A5807" t="s">
        <v>7410</v>
      </c>
      <c r="B5807" s="2">
        <v>46002</v>
      </c>
      <c r="C5807" t="s">
        <v>79</v>
      </c>
      <c r="D5807" t="s">
        <v>1629</v>
      </c>
      <c r="E5807">
        <v>255</v>
      </c>
      <c r="F5807" t="s">
        <v>1578</v>
      </c>
      <c r="G5807" t="s">
        <v>1535</v>
      </c>
    </row>
    <row r="5808" spans="1:7">
      <c r="A5808" t="s">
        <v>7411</v>
      </c>
      <c r="B5808" s="2">
        <v>46002</v>
      </c>
      <c r="C5808" t="s">
        <v>81</v>
      </c>
      <c r="D5808" t="s">
        <v>1629</v>
      </c>
      <c r="E5808">
        <v>505</v>
      </c>
      <c r="F5808" t="s">
        <v>1578</v>
      </c>
      <c r="G5808" t="s">
        <v>1535</v>
      </c>
    </row>
    <row r="5809" spans="1:7">
      <c r="A5809" t="s">
        <v>7412</v>
      </c>
      <c r="B5809" s="2">
        <v>46002</v>
      </c>
      <c r="C5809" t="s">
        <v>108</v>
      </c>
      <c r="D5809" t="s">
        <v>1629</v>
      </c>
      <c r="E5809">
        <v>507.5</v>
      </c>
      <c r="F5809" t="s">
        <v>1578</v>
      </c>
      <c r="G5809" t="s">
        <v>1535</v>
      </c>
    </row>
    <row r="5810" spans="1:7">
      <c r="A5810" t="s">
        <v>7413</v>
      </c>
      <c r="B5810" s="2">
        <v>46002</v>
      </c>
      <c r="C5810" t="s">
        <v>110</v>
      </c>
      <c r="D5810" t="s">
        <v>1629</v>
      </c>
      <c r="E5810">
        <v>255</v>
      </c>
      <c r="F5810" t="s">
        <v>1578</v>
      </c>
      <c r="G5810" t="s">
        <v>1535</v>
      </c>
    </row>
    <row r="5811" spans="1:7">
      <c r="A5811" t="s">
        <v>7414</v>
      </c>
      <c r="B5811" s="2">
        <v>46002</v>
      </c>
      <c r="C5811" t="s">
        <v>114</v>
      </c>
      <c r="D5811" t="s">
        <v>1629</v>
      </c>
      <c r="E5811">
        <v>252.5</v>
      </c>
      <c r="F5811" t="s">
        <v>1578</v>
      </c>
      <c r="G5811" t="s">
        <v>1535</v>
      </c>
    </row>
    <row r="5812" spans="1:7">
      <c r="A5812" t="s">
        <v>7415</v>
      </c>
      <c r="B5812" s="2">
        <v>46002</v>
      </c>
      <c r="C5812" t="s">
        <v>117</v>
      </c>
      <c r="D5812" t="s">
        <v>1629</v>
      </c>
      <c r="E5812">
        <v>251.25</v>
      </c>
      <c r="F5812" t="s">
        <v>1578</v>
      </c>
      <c r="G5812" t="s">
        <v>1535</v>
      </c>
    </row>
    <row r="5813" spans="1:7">
      <c r="A5813" t="s">
        <v>7416</v>
      </c>
      <c r="B5813" s="2">
        <v>46002</v>
      </c>
      <c r="C5813" t="s">
        <v>119</v>
      </c>
      <c r="D5813" t="s">
        <v>1629</v>
      </c>
      <c r="E5813">
        <v>252.5</v>
      </c>
      <c r="F5813" t="s">
        <v>1578</v>
      </c>
      <c r="G5813" t="s">
        <v>1535</v>
      </c>
    </row>
    <row r="5814" spans="1:7">
      <c r="A5814" t="s">
        <v>7417</v>
      </c>
      <c r="B5814" s="2">
        <v>46002</v>
      </c>
      <c r="C5814" t="s">
        <v>75</v>
      </c>
      <c r="D5814" t="s">
        <v>1629</v>
      </c>
      <c r="E5814">
        <v>325.22000000000003</v>
      </c>
      <c r="F5814" t="s">
        <v>1578</v>
      </c>
      <c r="G5814" t="s">
        <v>1536</v>
      </c>
    </row>
    <row r="5815" spans="1:7">
      <c r="A5815" t="s">
        <v>7418</v>
      </c>
      <c r="B5815" s="2">
        <v>46002</v>
      </c>
      <c r="C5815" t="s">
        <v>104</v>
      </c>
      <c r="D5815" t="s">
        <v>1629</v>
      </c>
      <c r="E5815">
        <v>663.32</v>
      </c>
      <c r="F5815" t="s">
        <v>1578</v>
      </c>
      <c r="G5815" t="s">
        <v>1536</v>
      </c>
    </row>
    <row r="5816" spans="1:7">
      <c r="A5816" t="s">
        <v>7419</v>
      </c>
      <c r="B5816" s="2">
        <v>46002</v>
      </c>
      <c r="C5816" t="s">
        <v>108</v>
      </c>
      <c r="D5816" t="s">
        <v>1629</v>
      </c>
      <c r="E5816">
        <v>653.66</v>
      </c>
      <c r="F5816" t="s">
        <v>1578</v>
      </c>
      <c r="G5816" t="s">
        <v>1536</v>
      </c>
    </row>
    <row r="5817" spans="1:7">
      <c r="A5817" t="s">
        <v>7420</v>
      </c>
      <c r="B5817" s="2">
        <v>46002</v>
      </c>
      <c r="C5817" t="s">
        <v>110</v>
      </c>
      <c r="D5817" t="s">
        <v>1629</v>
      </c>
      <c r="E5817">
        <v>328.44</v>
      </c>
      <c r="F5817" t="s">
        <v>1578</v>
      </c>
      <c r="G5817" t="s">
        <v>1536</v>
      </c>
    </row>
    <row r="5818" spans="1:7">
      <c r="A5818" t="s">
        <v>7421</v>
      </c>
      <c r="B5818" s="2">
        <v>46002</v>
      </c>
      <c r="C5818" t="s">
        <v>114</v>
      </c>
      <c r="D5818" t="s">
        <v>1629</v>
      </c>
      <c r="E5818">
        <v>325.22000000000003</v>
      </c>
      <c r="F5818" t="s">
        <v>1578</v>
      </c>
      <c r="G5818" t="s">
        <v>1536</v>
      </c>
    </row>
    <row r="5819" spans="1:7">
      <c r="A5819" t="s">
        <v>7422</v>
      </c>
      <c r="B5819" s="2">
        <v>46002</v>
      </c>
      <c r="C5819" t="s">
        <v>117</v>
      </c>
      <c r="D5819" t="s">
        <v>1629</v>
      </c>
      <c r="E5819">
        <v>323.61</v>
      </c>
      <c r="F5819" t="s">
        <v>1578</v>
      </c>
      <c r="G5819" t="s">
        <v>1536</v>
      </c>
    </row>
    <row r="5820" spans="1:7">
      <c r="A5820" t="s">
        <v>7423</v>
      </c>
      <c r="B5820" s="2">
        <v>46002</v>
      </c>
      <c r="C5820" t="s">
        <v>119</v>
      </c>
      <c r="D5820" t="s">
        <v>1629</v>
      </c>
      <c r="E5820">
        <v>325.22000000000003</v>
      </c>
      <c r="F5820" t="s">
        <v>1578</v>
      </c>
      <c r="G5820" t="s">
        <v>1536</v>
      </c>
    </row>
    <row r="5821" spans="1:7">
      <c r="A5821" t="s">
        <v>7424</v>
      </c>
      <c r="B5821" s="2">
        <v>46002</v>
      </c>
      <c r="C5821" t="s">
        <v>97</v>
      </c>
      <c r="D5821" t="s">
        <v>1683</v>
      </c>
      <c r="E5821">
        <v>306</v>
      </c>
      <c r="F5821" t="s">
        <v>1578</v>
      </c>
      <c r="G5821" t="s">
        <v>1015</v>
      </c>
    </row>
    <row r="5822" spans="1:7">
      <c r="A5822" t="s">
        <v>7425</v>
      </c>
      <c r="B5822" s="2">
        <v>46002</v>
      </c>
      <c r="C5822" t="s">
        <v>91</v>
      </c>
      <c r="D5822" t="s">
        <v>1683</v>
      </c>
      <c r="E5822">
        <v>328</v>
      </c>
      <c r="F5822" t="s">
        <v>1578</v>
      </c>
      <c r="G5822" t="s">
        <v>1016</v>
      </c>
    </row>
    <row r="5823" spans="1:7">
      <c r="A5823" t="s">
        <v>7426</v>
      </c>
      <c r="B5823" s="2">
        <v>46002</v>
      </c>
      <c r="C5823" t="s">
        <v>70</v>
      </c>
      <c r="D5823" t="s">
        <v>1683</v>
      </c>
      <c r="E5823">
        <v>295</v>
      </c>
      <c r="F5823" t="s">
        <v>1578</v>
      </c>
      <c r="G5823" t="s">
        <v>1017</v>
      </c>
    </row>
    <row r="5824" spans="1:7">
      <c r="A5824" t="s">
        <v>7427</v>
      </c>
      <c r="B5824" s="2">
        <v>46004</v>
      </c>
      <c r="C5824" t="s">
        <v>61</v>
      </c>
      <c r="D5824" t="s">
        <v>1629</v>
      </c>
      <c r="E5824">
        <v>339.66</v>
      </c>
      <c r="F5824" t="s">
        <v>1578</v>
      </c>
      <c r="G5824" t="s">
        <v>1537</v>
      </c>
    </row>
    <row r="5825" spans="1:7">
      <c r="A5825" t="s">
        <v>7428</v>
      </c>
      <c r="B5825" s="2">
        <v>46004</v>
      </c>
      <c r="C5825" t="s">
        <v>65</v>
      </c>
      <c r="D5825" t="s">
        <v>1629</v>
      </c>
      <c r="E5825">
        <v>337.99</v>
      </c>
      <c r="F5825" t="s">
        <v>1578</v>
      </c>
      <c r="G5825" t="s">
        <v>1537</v>
      </c>
    </row>
    <row r="5826" spans="1:7">
      <c r="A5826" t="s">
        <v>7429</v>
      </c>
      <c r="B5826" s="2">
        <v>46004</v>
      </c>
      <c r="C5826" t="s">
        <v>68</v>
      </c>
      <c r="D5826" t="s">
        <v>1629</v>
      </c>
      <c r="E5826">
        <v>339.66</v>
      </c>
      <c r="F5826" t="s">
        <v>1578</v>
      </c>
      <c r="G5826" t="s">
        <v>1537</v>
      </c>
    </row>
    <row r="5827" spans="1:7">
      <c r="A5827" t="s">
        <v>7430</v>
      </c>
      <c r="B5827" s="2">
        <v>46004</v>
      </c>
      <c r="C5827" t="s">
        <v>70</v>
      </c>
      <c r="D5827" t="s">
        <v>1629</v>
      </c>
      <c r="E5827">
        <v>336.33</v>
      </c>
      <c r="F5827" t="s">
        <v>1578</v>
      </c>
      <c r="G5827" t="s">
        <v>1537</v>
      </c>
    </row>
    <row r="5828" spans="1:7">
      <c r="A5828" t="s">
        <v>7431</v>
      </c>
      <c r="B5828" s="2">
        <v>46004</v>
      </c>
      <c r="C5828" t="s">
        <v>75</v>
      </c>
      <c r="D5828" t="s">
        <v>1629</v>
      </c>
      <c r="E5828">
        <v>336.33</v>
      </c>
      <c r="F5828" t="s">
        <v>1578</v>
      </c>
      <c r="G5828" t="s">
        <v>1537</v>
      </c>
    </row>
    <row r="5829" spans="1:7">
      <c r="A5829" t="s">
        <v>7432</v>
      </c>
      <c r="B5829" s="2">
        <v>46004</v>
      </c>
      <c r="C5829" t="s">
        <v>77</v>
      </c>
      <c r="D5829" t="s">
        <v>1629</v>
      </c>
      <c r="E5829">
        <v>336.33</v>
      </c>
      <c r="F5829" t="s">
        <v>1578</v>
      </c>
      <c r="G5829" t="s">
        <v>1537</v>
      </c>
    </row>
    <row r="5830" spans="1:7">
      <c r="A5830" t="s">
        <v>7433</v>
      </c>
      <c r="B5830" s="2">
        <v>46004</v>
      </c>
      <c r="C5830" t="s">
        <v>79</v>
      </c>
      <c r="D5830" t="s">
        <v>1629</v>
      </c>
      <c r="E5830">
        <v>339.66</v>
      </c>
      <c r="F5830" t="s">
        <v>1578</v>
      </c>
      <c r="G5830" t="s">
        <v>1537</v>
      </c>
    </row>
    <row r="5831" spans="1:7">
      <c r="A5831" t="s">
        <v>7434</v>
      </c>
      <c r="B5831" s="2">
        <v>46004</v>
      </c>
      <c r="C5831" t="s">
        <v>81</v>
      </c>
      <c r="D5831" t="s">
        <v>1629</v>
      </c>
      <c r="E5831">
        <v>672.66</v>
      </c>
      <c r="F5831" t="s">
        <v>1578</v>
      </c>
      <c r="G5831" t="s">
        <v>1537</v>
      </c>
    </row>
    <row r="5832" spans="1:7">
      <c r="A5832" t="s">
        <v>7435</v>
      </c>
      <c r="B5832" s="2">
        <v>46004</v>
      </c>
      <c r="C5832" t="s">
        <v>110</v>
      </c>
      <c r="D5832" t="s">
        <v>1629</v>
      </c>
      <c r="E5832">
        <v>339.66</v>
      </c>
      <c r="F5832" t="s">
        <v>1578</v>
      </c>
      <c r="G5832" t="s">
        <v>1537</v>
      </c>
    </row>
    <row r="5833" spans="1:7">
      <c r="A5833" t="s">
        <v>7436</v>
      </c>
      <c r="B5833" s="2">
        <v>46004</v>
      </c>
      <c r="C5833" t="s">
        <v>114</v>
      </c>
      <c r="D5833" t="s">
        <v>1629</v>
      </c>
      <c r="E5833">
        <v>336.33</v>
      </c>
      <c r="F5833" t="s">
        <v>1578</v>
      </c>
      <c r="G5833" t="s">
        <v>1537</v>
      </c>
    </row>
    <row r="5834" spans="1:7">
      <c r="A5834" t="s">
        <v>7437</v>
      </c>
      <c r="B5834" s="2">
        <v>46004</v>
      </c>
      <c r="C5834" t="s">
        <v>117</v>
      </c>
      <c r="D5834" t="s">
        <v>1629</v>
      </c>
      <c r="E5834">
        <v>334.66</v>
      </c>
      <c r="F5834" t="s">
        <v>1578</v>
      </c>
      <c r="G5834" t="s">
        <v>1537</v>
      </c>
    </row>
    <row r="5835" spans="1:7">
      <c r="A5835" t="s">
        <v>7438</v>
      </c>
      <c r="B5835" s="2">
        <v>46004</v>
      </c>
      <c r="C5835" t="s">
        <v>119</v>
      </c>
      <c r="D5835" t="s">
        <v>1629</v>
      </c>
      <c r="E5835">
        <v>336.33</v>
      </c>
      <c r="F5835" t="s">
        <v>1578</v>
      </c>
      <c r="G5835" t="s">
        <v>1537</v>
      </c>
    </row>
    <row r="5836" spans="1:7">
      <c r="A5836" t="s">
        <v>7439</v>
      </c>
      <c r="B5836" s="2">
        <v>46004</v>
      </c>
      <c r="C5836" t="s">
        <v>87</v>
      </c>
      <c r="D5836" t="s">
        <v>1683</v>
      </c>
      <c r="E5836">
        <v>223</v>
      </c>
      <c r="F5836" t="s">
        <v>1578</v>
      </c>
      <c r="G5836" t="s">
        <v>1019</v>
      </c>
    </row>
    <row r="5837" spans="1:7">
      <c r="A5837" t="s">
        <v>7440</v>
      </c>
      <c r="B5837" s="2">
        <v>46004</v>
      </c>
      <c r="C5837" t="s">
        <v>87</v>
      </c>
      <c r="D5837" t="s">
        <v>1683</v>
      </c>
      <c r="E5837">
        <v>115</v>
      </c>
      <c r="F5837" t="s">
        <v>1578</v>
      </c>
      <c r="G5837" t="s">
        <v>1020</v>
      </c>
    </row>
    <row r="5838" spans="1:7">
      <c r="A5838" t="s">
        <v>7441</v>
      </c>
      <c r="B5838" s="2">
        <v>46004</v>
      </c>
      <c r="C5838" t="s">
        <v>84</v>
      </c>
      <c r="D5838" t="s">
        <v>1683</v>
      </c>
      <c r="E5838">
        <v>200</v>
      </c>
      <c r="F5838" t="s">
        <v>1578</v>
      </c>
      <c r="G5838" t="s">
        <v>1021</v>
      </c>
    </row>
    <row r="5839" spans="1:7">
      <c r="A5839" t="s">
        <v>7442</v>
      </c>
      <c r="B5839" s="2">
        <v>46004</v>
      </c>
      <c r="C5839" t="s">
        <v>93</v>
      </c>
      <c r="D5839" t="s">
        <v>1683</v>
      </c>
      <c r="E5839">
        <v>477</v>
      </c>
      <c r="F5839" t="s">
        <v>1578</v>
      </c>
      <c r="G5839" t="s">
        <v>1022</v>
      </c>
    </row>
    <row r="5840" spans="1:7">
      <c r="A5840" t="s">
        <v>7443</v>
      </c>
      <c r="B5840" s="2">
        <v>46004</v>
      </c>
      <c r="C5840" t="s">
        <v>104</v>
      </c>
      <c r="D5840" t="s">
        <v>1683</v>
      </c>
      <c r="E5840">
        <v>482</v>
      </c>
      <c r="F5840" t="s">
        <v>1578</v>
      </c>
      <c r="G5840" t="s">
        <v>1023</v>
      </c>
    </row>
    <row r="5841" spans="1:7">
      <c r="A5841" t="s">
        <v>7444</v>
      </c>
      <c r="B5841" s="2">
        <v>46005</v>
      </c>
      <c r="C5841" t="s">
        <v>75</v>
      </c>
      <c r="D5841" t="s">
        <v>1629</v>
      </c>
      <c r="E5841">
        <v>355.52</v>
      </c>
      <c r="F5841" t="s">
        <v>1578</v>
      </c>
      <c r="G5841" t="s">
        <v>1538</v>
      </c>
    </row>
    <row r="5842" spans="1:7">
      <c r="A5842" t="s">
        <v>7445</v>
      </c>
      <c r="B5842" s="2">
        <v>46005</v>
      </c>
      <c r="C5842" t="s">
        <v>104</v>
      </c>
      <c r="D5842" t="s">
        <v>1629</v>
      </c>
      <c r="E5842">
        <v>725.12</v>
      </c>
      <c r="F5842" t="s">
        <v>1578</v>
      </c>
      <c r="G5842" t="s">
        <v>1538</v>
      </c>
    </row>
    <row r="5843" spans="1:7">
      <c r="A5843" t="s">
        <v>7446</v>
      </c>
      <c r="B5843" s="2">
        <v>46005</v>
      </c>
      <c r="C5843" t="s">
        <v>108</v>
      </c>
      <c r="D5843" t="s">
        <v>1629</v>
      </c>
      <c r="E5843">
        <v>714.56</v>
      </c>
      <c r="F5843" t="s">
        <v>1578</v>
      </c>
      <c r="G5843" t="s">
        <v>1538</v>
      </c>
    </row>
    <row r="5844" spans="1:7">
      <c r="A5844" t="s">
        <v>7447</v>
      </c>
      <c r="B5844" s="2">
        <v>46005</v>
      </c>
      <c r="C5844" t="s">
        <v>110</v>
      </c>
      <c r="D5844" t="s">
        <v>1629</v>
      </c>
      <c r="E5844">
        <v>359.04</v>
      </c>
      <c r="F5844" t="s">
        <v>1578</v>
      </c>
      <c r="G5844" t="s">
        <v>1538</v>
      </c>
    </row>
    <row r="5845" spans="1:7">
      <c r="A5845" t="s">
        <v>7448</v>
      </c>
      <c r="B5845" s="2">
        <v>46005</v>
      </c>
      <c r="C5845" t="s">
        <v>114</v>
      </c>
      <c r="D5845" t="s">
        <v>1629</v>
      </c>
      <c r="E5845">
        <v>355.52</v>
      </c>
      <c r="F5845" t="s">
        <v>1578</v>
      </c>
      <c r="G5845" t="s">
        <v>1538</v>
      </c>
    </row>
    <row r="5846" spans="1:7">
      <c r="A5846" t="s">
        <v>7449</v>
      </c>
      <c r="B5846" s="2">
        <v>46005</v>
      </c>
      <c r="C5846" t="s">
        <v>117</v>
      </c>
      <c r="D5846" t="s">
        <v>1629</v>
      </c>
      <c r="E5846">
        <v>353.76</v>
      </c>
      <c r="F5846" t="s">
        <v>1578</v>
      </c>
      <c r="G5846" t="s">
        <v>1538</v>
      </c>
    </row>
    <row r="5847" spans="1:7">
      <c r="A5847" t="s">
        <v>7450</v>
      </c>
      <c r="B5847" s="2">
        <v>46005</v>
      </c>
      <c r="C5847" t="s">
        <v>119</v>
      </c>
      <c r="D5847" t="s">
        <v>1629</v>
      </c>
      <c r="E5847">
        <v>355.52</v>
      </c>
      <c r="F5847" t="s">
        <v>1578</v>
      </c>
      <c r="G5847" t="s">
        <v>1538</v>
      </c>
    </row>
    <row r="5848" spans="1:7">
      <c r="A5848" t="s">
        <v>7451</v>
      </c>
      <c r="B5848" s="2">
        <v>46005</v>
      </c>
      <c r="C5848" t="s">
        <v>75</v>
      </c>
      <c r="D5848" t="s">
        <v>1629</v>
      </c>
      <c r="E5848">
        <v>433.29</v>
      </c>
      <c r="F5848" t="s">
        <v>1578</v>
      </c>
      <c r="G5848" t="s">
        <v>1539</v>
      </c>
    </row>
    <row r="5849" spans="1:7">
      <c r="A5849" t="s">
        <v>7452</v>
      </c>
      <c r="B5849" s="2">
        <v>46005</v>
      </c>
      <c r="C5849" t="s">
        <v>104</v>
      </c>
      <c r="D5849" t="s">
        <v>1629</v>
      </c>
      <c r="E5849">
        <v>883.74</v>
      </c>
      <c r="F5849" t="s">
        <v>1578</v>
      </c>
      <c r="G5849" t="s">
        <v>1539</v>
      </c>
    </row>
    <row r="5850" spans="1:7">
      <c r="A5850" t="s">
        <v>7453</v>
      </c>
      <c r="B5850" s="2">
        <v>46005</v>
      </c>
      <c r="C5850" t="s">
        <v>108</v>
      </c>
      <c r="D5850" t="s">
        <v>1629</v>
      </c>
      <c r="E5850">
        <v>870.87</v>
      </c>
      <c r="F5850" t="s">
        <v>1578</v>
      </c>
      <c r="G5850" t="s">
        <v>1539</v>
      </c>
    </row>
    <row r="5851" spans="1:7">
      <c r="A5851" t="s">
        <v>7454</v>
      </c>
      <c r="B5851" s="2">
        <v>46005</v>
      </c>
      <c r="C5851" t="s">
        <v>110</v>
      </c>
      <c r="D5851" t="s">
        <v>1629</v>
      </c>
      <c r="E5851">
        <v>437.58</v>
      </c>
      <c r="F5851" t="s">
        <v>1578</v>
      </c>
      <c r="G5851" t="s">
        <v>1539</v>
      </c>
    </row>
    <row r="5852" spans="1:7">
      <c r="A5852" t="s">
        <v>7455</v>
      </c>
      <c r="B5852" s="2">
        <v>46005</v>
      </c>
      <c r="C5852" t="s">
        <v>114</v>
      </c>
      <c r="D5852" t="s">
        <v>1629</v>
      </c>
      <c r="E5852">
        <v>433.29</v>
      </c>
      <c r="F5852" t="s">
        <v>1578</v>
      </c>
      <c r="G5852" t="s">
        <v>1539</v>
      </c>
    </row>
    <row r="5853" spans="1:7">
      <c r="A5853" t="s">
        <v>7456</v>
      </c>
      <c r="B5853" s="2">
        <v>46005</v>
      </c>
      <c r="C5853" t="s">
        <v>117</v>
      </c>
      <c r="D5853" t="s">
        <v>1629</v>
      </c>
      <c r="E5853">
        <v>431.14</v>
      </c>
      <c r="F5853" t="s">
        <v>1578</v>
      </c>
      <c r="G5853" t="s">
        <v>1539</v>
      </c>
    </row>
    <row r="5854" spans="1:7">
      <c r="A5854" t="s">
        <v>7457</v>
      </c>
      <c r="B5854" s="2">
        <v>46005</v>
      </c>
      <c r="C5854" t="s">
        <v>119</v>
      </c>
      <c r="D5854" t="s">
        <v>1629</v>
      </c>
      <c r="E5854">
        <v>433.29</v>
      </c>
      <c r="F5854" t="s">
        <v>1578</v>
      </c>
      <c r="G5854" t="s">
        <v>1539</v>
      </c>
    </row>
    <row r="5855" spans="1:7">
      <c r="A5855" t="s">
        <v>7458</v>
      </c>
      <c r="B5855" s="2">
        <v>46005</v>
      </c>
      <c r="C5855" t="s">
        <v>61</v>
      </c>
      <c r="D5855" t="s">
        <v>1629</v>
      </c>
      <c r="E5855">
        <v>406.98</v>
      </c>
      <c r="F5855" t="s">
        <v>1578</v>
      </c>
      <c r="G5855" t="s">
        <v>1540</v>
      </c>
    </row>
    <row r="5856" spans="1:7">
      <c r="A5856" t="s">
        <v>7459</v>
      </c>
      <c r="B5856" s="2">
        <v>46005</v>
      </c>
      <c r="C5856" t="s">
        <v>65</v>
      </c>
      <c r="D5856" t="s">
        <v>1629</v>
      </c>
      <c r="E5856">
        <v>404.98</v>
      </c>
      <c r="F5856" t="s">
        <v>1578</v>
      </c>
      <c r="G5856" t="s">
        <v>1540</v>
      </c>
    </row>
    <row r="5857" spans="1:7">
      <c r="A5857" t="s">
        <v>7460</v>
      </c>
      <c r="B5857" s="2">
        <v>46005</v>
      </c>
      <c r="C5857" t="s">
        <v>68</v>
      </c>
      <c r="D5857" t="s">
        <v>1629</v>
      </c>
      <c r="E5857">
        <v>406.98</v>
      </c>
      <c r="F5857" t="s">
        <v>1578</v>
      </c>
      <c r="G5857" t="s">
        <v>1540</v>
      </c>
    </row>
    <row r="5858" spans="1:7">
      <c r="A5858" t="s">
        <v>7461</v>
      </c>
      <c r="B5858" s="2">
        <v>46005</v>
      </c>
      <c r="C5858" t="s">
        <v>70</v>
      </c>
      <c r="D5858" t="s">
        <v>1629</v>
      </c>
      <c r="E5858">
        <v>402.99</v>
      </c>
      <c r="F5858" t="s">
        <v>1578</v>
      </c>
      <c r="G5858" t="s">
        <v>1540</v>
      </c>
    </row>
    <row r="5859" spans="1:7">
      <c r="A5859" t="s">
        <v>7462</v>
      </c>
      <c r="B5859" s="2">
        <v>46005</v>
      </c>
      <c r="C5859" t="s">
        <v>75</v>
      </c>
      <c r="D5859" t="s">
        <v>1629</v>
      </c>
      <c r="E5859">
        <v>402.99</v>
      </c>
      <c r="F5859" t="s">
        <v>1578</v>
      </c>
      <c r="G5859" t="s">
        <v>1540</v>
      </c>
    </row>
    <row r="5860" spans="1:7">
      <c r="A5860" t="s">
        <v>7463</v>
      </c>
      <c r="B5860" s="2">
        <v>46005</v>
      </c>
      <c r="C5860" t="s">
        <v>77</v>
      </c>
      <c r="D5860" t="s">
        <v>1629</v>
      </c>
      <c r="E5860">
        <v>402.99</v>
      </c>
      <c r="F5860" t="s">
        <v>1578</v>
      </c>
      <c r="G5860" t="s">
        <v>1540</v>
      </c>
    </row>
    <row r="5861" spans="1:7">
      <c r="A5861" t="s">
        <v>7464</v>
      </c>
      <c r="B5861" s="2">
        <v>46005</v>
      </c>
      <c r="C5861" t="s">
        <v>79</v>
      </c>
      <c r="D5861" t="s">
        <v>1629</v>
      </c>
      <c r="E5861">
        <v>406.98</v>
      </c>
      <c r="F5861" t="s">
        <v>1578</v>
      </c>
      <c r="G5861" t="s">
        <v>1540</v>
      </c>
    </row>
    <row r="5862" spans="1:7">
      <c r="A5862" t="s">
        <v>7465</v>
      </c>
      <c r="B5862" s="2">
        <v>46005</v>
      </c>
      <c r="C5862" t="s">
        <v>81</v>
      </c>
      <c r="D5862" t="s">
        <v>1629</v>
      </c>
      <c r="E5862">
        <v>805.98</v>
      </c>
      <c r="F5862" t="s">
        <v>1578</v>
      </c>
      <c r="G5862" t="s">
        <v>1540</v>
      </c>
    </row>
    <row r="5863" spans="1:7">
      <c r="A5863" t="s">
        <v>7466</v>
      </c>
      <c r="B5863" s="2">
        <v>46005</v>
      </c>
      <c r="C5863" t="s">
        <v>110</v>
      </c>
      <c r="D5863" t="s">
        <v>1629</v>
      </c>
      <c r="E5863">
        <v>406.98</v>
      </c>
      <c r="F5863" t="s">
        <v>1578</v>
      </c>
      <c r="G5863" t="s">
        <v>1540</v>
      </c>
    </row>
    <row r="5864" spans="1:7">
      <c r="A5864" t="s">
        <v>7467</v>
      </c>
      <c r="B5864" s="2">
        <v>46005</v>
      </c>
      <c r="C5864" t="s">
        <v>114</v>
      </c>
      <c r="D5864" t="s">
        <v>1629</v>
      </c>
      <c r="E5864">
        <v>402.99</v>
      </c>
      <c r="F5864" t="s">
        <v>1578</v>
      </c>
      <c r="G5864" t="s">
        <v>1540</v>
      </c>
    </row>
    <row r="5865" spans="1:7">
      <c r="A5865" t="s">
        <v>7468</v>
      </c>
      <c r="B5865" s="2">
        <v>46005</v>
      </c>
      <c r="C5865" t="s">
        <v>117</v>
      </c>
      <c r="D5865" t="s">
        <v>1629</v>
      </c>
      <c r="E5865">
        <v>400.99</v>
      </c>
      <c r="F5865" t="s">
        <v>1578</v>
      </c>
      <c r="G5865" t="s">
        <v>1540</v>
      </c>
    </row>
    <row r="5866" spans="1:7">
      <c r="A5866" t="s">
        <v>7469</v>
      </c>
      <c r="B5866" s="2">
        <v>46005</v>
      </c>
      <c r="C5866" t="s">
        <v>119</v>
      </c>
      <c r="D5866" t="s">
        <v>1629</v>
      </c>
      <c r="E5866">
        <v>402.99</v>
      </c>
      <c r="F5866" t="s">
        <v>1578</v>
      </c>
      <c r="G5866" t="s">
        <v>1540</v>
      </c>
    </row>
    <row r="5867" spans="1:7">
      <c r="A5867" t="s">
        <v>7470</v>
      </c>
      <c r="B5867" s="2">
        <v>46005</v>
      </c>
      <c r="C5867" t="s">
        <v>70</v>
      </c>
      <c r="D5867" t="s">
        <v>1683</v>
      </c>
      <c r="E5867">
        <v>89</v>
      </c>
      <c r="F5867" t="s">
        <v>1578</v>
      </c>
      <c r="G5867" t="s">
        <v>1024</v>
      </c>
    </row>
    <row r="5868" spans="1:7">
      <c r="A5868" t="s">
        <v>7471</v>
      </c>
      <c r="B5868" s="2">
        <v>46005</v>
      </c>
      <c r="C5868" t="s">
        <v>104</v>
      </c>
      <c r="D5868" t="s">
        <v>1683</v>
      </c>
      <c r="E5868">
        <v>177</v>
      </c>
      <c r="F5868" t="s">
        <v>1578</v>
      </c>
      <c r="G5868" t="s">
        <v>1025</v>
      </c>
    </row>
    <row r="5869" spans="1:7">
      <c r="A5869" t="s">
        <v>7472</v>
      </c>
      <c r="B5869" s="2">
        <v>46006</v>
      </c>
      <c r="C5869" t="s">
        <v>61</v>
      </c>
      <c r="D5869" t="s">
        <v>1629</v>
      </c>
      <c r="E5869">
        <v>222.36</v>
      </c>
      <c r="F5869" t="s">
        <v>1578</v>
      </c>
      <c r="G5869" t="s">
        <v>1541</v>
      </c>
    </row>
    <row r="5870" spans="1:7">
      <c r="A5870" t="s">
        <v>7473</v>
      </c>
      <c r="B5870" s="2">
        <v>46006</v>
      </c>
      <c r="C5870" t="s">
        <v>65</v>
      </c>
      <c r="D5870" t="s">
        <v>1629</v>
      </c>
      <c r="E5870">
        <v>221.27</v>
      </c>
      <c r="F5870" t="s">
        <v>1578</v>
      </c>
      <c r="G5870" t="s">
        <v>1541</v>
      </c>
    </row>
    <row r="5871" spans="1:7">
      <c r="A5871" t="s">
        <v>7474</v>
      </c>
      <c r="B5871" s="2">
        <v>46006</v>
      </c>
      <c r="C5871" t="s">
        <v>68</v>
      </c>
      <c r="D5871" t="s">
        <v>1629</v>
      </c>
      <c r="E5871">
        <v>222.36</v>
      </c>
      <c r="F5871" t="s">
        <v>1578</v>
      </c>
      <c r="G5871" t="s">
        <v>1541</v>
      </c>
    </row>
    <row r="5872" spans="1:7">
      <c r="A5872" t="s">
        <v>7475</v>
      </c>
      <c r="B5872" s="2">
        <v>46006</v>
      </c>
      <c r="C5872" t="s">
        <v>70</v>
      </c>
      <c r="D5872" t="s">
        <v>1629</v>
      </c>
      <c r="E5872">
        <v>220.18</v>
      </c>
      <c r="F5872" t="s">
        <v>1578</v>
      </c>
      <c r="G5872" t="s">
        <v>1541</v>
      </c>
    </row>
    <row r="5873" spans="1:7">
      <c r="A5873" t="s">
        <v>7476</v>
      </c>
      <c r="B5873" s="2">
        <v>46006</v>
      </c>
      <c r="C5873" t="s">
        <v>73</v>
      </c>
      <c r="D5873" t="s">
        <v>1629</v>
      </c>
      <c r="E5873">
        <v>222.36</v>
      </c>
      <c r="F5873" t="s">
        <v>1578</v>
      </c>
      <c r="G5873" t="s">
        <v>1541</v>
      </c>
    </row>
    <row r="5874" spans="1:7">
      <c r="A5874" t="s">
        <v>7477</v>
      </c>
      <c r="B5874" s="2">
        <v>46006</v>
      </c>
      <c r="C5874" t="s">
        <v>75</v>
      </c>
      <c r="D5874" t="s">
        <v>1629</v>
      </c>
      <c r="E5874">
        <v>220.18</v>
      </c>
      <c r="F5874" t="s">
        <v>1578</v>
      </c>
      <c r="G5874" t="s">
        <v>1541</v>
      </c>
    </row>
    <row r="5875" spans="1:7">
      <c r="A5875" t="s">
        <v>7478</v>
      </c>
      <c r="B5875" s="2">
        <v>46006</v>
      </c>
      <c r="C5875" t="s">
        <v>77</v>
      </c>
      <c r="D5875" t="s">
        <v>1629</v>
      </c>
      <c r="E5875">
        <v>220.18</v>
      </c>
      <c r="F5875" t="s">
        <v>1578</v>
      </c>
      <c r="G5875" t="s">
        <v>1541</v>
      </c>
    </row>
    <row r="5876" spans="1:7">
      <c r="A5876" t="s">
        <v>7479</v>
      </c>
      <c r="B5876" s="2">
        <v>46006</v>
      </c>
      <c r="C5876" t="s">
        <v>79</v>
      </c>
      <c r="D5876" t="s">
        <v>1629</v>
      </c>
      <c r="E5876">
        <v>222.36</v>
      </c>
      <c r="F5876" t="s">
        <v>1578</v>
      </c>
      <c r="G5876" t="s">
        <v>1541</v>
      </c>
    </row>
    <row r="5877" spans="1:7">
      <c r="A5877" t="s">
        <v>7480</v>
      </c>
      <c r="B5877" s="2">
        <v>46006</v>
      </c>
      <c r="C5877" t="s">
        <v>81</v>
      </c>
      <c r="D5877" t="s">
        <v>1629</v>
      </c>
      <c r="E5877">
        <v>440.36</v>
      </c>
      <c r="F5877" t="s">
        <v>1578</v>
      </c>
      <c r="G5877" t="s">
        <v>1541</v>
      </c>
    </row>
    <row r="5878" spans="1:7">
      <c r="A5878" t="s">
        <v>7481</v>
      </c>
      <c r="B5878" s="2">
        <v>46006</v>
      </c>
      <c r="C5878" t="s">
        <v>108</v>
      </c>
      <c r="D5878" t="s">
        <v>1629</v>
      </c>
      <c r="E5878">
        <v>442.54</v>
      </c>
      <c r="F5878" t="s">
        <v>1578</v>
      </c>
      <c r="G5878" t="s">
        <v>1541</v>
      </c>
    </row>
    <row r="5879" spans="1:7">
      <c r="A5879" t="s">
        <v>7482</v>
      </c>
      <c r="B5879" s="2">
        <v>46006</v>
      </c>
      <c r="C5879" t="s">
        <v>110</v>
      </c>
      <c r="D5879" t="s">
        <v>1629</v>
      </c>
      <c r="E5879">
        <v>222.36</v>
      </c>
      <c r="F5879" t="s">
        <v>1578</v>
      </c>
      <c r="G5879" t="s">
        <v>1541</v>
      </c>
    </row>
    <row r="5880" spans="1:7">
      <c r="A5880" t="s">
        <v>7483</v>
      </c>
      <c r="B5880" s="2">
        <v>46006</v>
      </c>
      <c r="C5880" t="s">
        <v>114</v>
      </c>
      <c r="D5880" t="s">
        <v>1629</v>
      </c>
      <c r="E5880">
        <v>220.18</v>
      </c>
      <c r="F5880" t="s">
        <v>1578</v>
      </c>
      <c r="G5880" t="s">
        <v>1541</v>
      </c>
    </row>
    <row r="5881" spans="1:7">
      <c r="A5881" t="s">
        <v>7484</v>
      </c>
      <c r="B5881" s="2">
        <v>46006</v>
      </c>
      <c r="C5881" t="s">
        <v>117</v>
      </c>
      <c r="D5881" t="s">
        <v>1629</v>
      </c>
      <c r="E5881">
        <v>219.09</v>
      </c>
      <c r="F5881" t="s">
        <v>1578</v>
      </c>
      <c r="G5881" t="s">
        <v>1541</v>
      </c>
    </row>
    <row r="5882" spans="1:7">
      <c r="A5882" t="s">
        <v>7485</v>
      </c>
      <c r="B5882" s="2">
        <v>46006</v>
      </c>
      <c r="C5882" t="s">
        <v>119</v>
      </c>
      <c r="D5882" t="s">
        <v>1629</v>
      </c>
      <c r="E5882">
        <v>220.18</v>
      </c>
      <c r="F5882" t="s">
        <v>1578</v>
      </c>
      <c r="G5882" t="s">
        <v>1541</v>
      </c>
    </row>
    <row r="5883" spans="1:7">
      <c r="A5883" t="s">
        <v>7486</v>
      </c>
      <c r="B5883" s="2">
        <v>46006</v>
      </c>
      <c r="C5883" t="s">
        <v>61</v>
      </c>
      <c r="D5883" t="s">
        <v>1629</v>
      </c>
      <c r="E5883">
        <v>117.3</v>
      </c>
      <c r="F5883" t="s">
        <v>1578</v>
      </c>
      <c r="G5883" t="s">
        <v>1542</v>
      </c>
    </row>
    <row r="5884" spans="1:7">
      <c r="A5884" t="s">
        <v>7487</v>
      </c>
      <c r="B5884" s="2">
        <v>46006</v>
      </c>
      <c r="C5884" t="s">
        <v>65</v>
      </c>
      <c r="D5884" t="s">
        <v>1629</v>
      </c>
      <c r="E5884">
        <v>116.72</v>
      </c>
      <c r="F5884" t="s">
        <v>1578</v>
      </c>
      <c r="G5884" t="s">
        <v>1542</v>
      </c>
    </row>
    <row r="5885" spans="1:7">
      <c r="A5885" t="s">
        <v>7488</v>
      </c>
      <c r="B5885" s="2">
        <v>46006</v>
      </c>
      <c r="C5885" t="s">
        <v>75</v>
      </c>
      <c r="D5885" t="s">
        <v>1629</v>
      </c>
      <c r="E5885">
        <v>116.15</v>
      </c>
      <c r="F5885" t="s">
        <v>1578</v>
      </c>
      <c r="G5885" t="s">
        <v>1542</v>
      </c>
    </row>
    <row r="5886" spans="1:7">
      <c r="A5886" t="s">
        <v>7489</v>
      </c>
      <c r="B5886" s="2">
        <v>46006</v>
      </c>
      <c r="C5886" t="s">
        <v>79</v>
      </c>
      <c r="D5886" t="s">
        <v>1629</v>
      </c>
      <c r="E5886">
        <v>117.3</v>
      </c>
      <c r="F5886" t="s">
        <v>1578</v>
      </c>
      <c r="G5886" t="s">
        <v>1542</v>
      </c>
    </row>
    <row r="5887" spans="1:7">
      <c r="A5887" t="s">
        <v>7490</v>
      </c>
      <c r="B5887" s="2">
        <v>46006</v>
      </c>
      <c r="C5887" t="s">
        <v>81</v>
      </c>
      <c r="D5887" t="s">
        <v>1629</v>
      </c>
      <c r="E5887">
        <v>232.3</v>
      </c>
      <c r="F5887" t="s">
        <v>1578</v>
      </c>
      <c r="G5887" t="s">
        <v>1542</v>
      </c>
    </row>
    <row r="5888" spans="1:7">
      <c r="A5888" t="s">
        <v>7491</v>
      </c>
      <c r="B5888" s="2">
        <v>46006</v>
      </c>
      <c r="C5888" t="s">
        <v>84</v>
      </c>
      <c r="D5888" t="s">
        <v>1629</v>
      </c>
      <c r="E5888">
        <v>41.46</v>
      </c>
      <c r="F5888" t="s">
        <v>1578</v>
      </c>
      <c r="G5888" t="s">
        <v>1542</v>
      </c>
    </row>
    <row r="5889" spans="1:7">
      <c r="A5889" t="s">
        <v>7492</v>
      </c>
      <c r="B5889" s="2">
        <v>46006</v>
      </c>
      <c r="C5889" t="s">
        <v>89</v>
      </c>
      <c r="D5889" t="s">
        <v>1629</v>
      </c>
      <c r="E5889">
        <v>176.81</v>
      </c>
      <c r="F5889" t="s">
        <v>1578</v>
      </c>
      <c r="G5889" t="s">
        <v>1542</v>
      </c>
    </row>
    <row r="5890" spans="1:7">
      <c r="A5890" t="s">
        <v>7493</v>
      </c>
      <c r="B5890" s="2">
        <v>46006</v>
      </c>
      <c r="C5890" t="s">
        <v>110</v>
      </c>
      <c r="D5890" t="s">
        <v>1629</v>
      </c>
      <c r="E5890">
        <v>117.3</v>
      </c>
      <c r="F5890" t="s">
        <v>1578</v>
      </c>
      <c r="G5890" t="s">
        <v>1542</v>
      </c>
    </row>
    <row r="5891" spans="1:7">
      <c r="A5891" t="s">
        <v>7494</v>
      </c>
      <c r="B5891" s="2">
        <v>46006</v>
      </c>
      <c r="C5891" t="s">
        <v>114</v>
      </c>
      <c r="D5891" t="s">
        <v>1629</v>
      </c>
      <c r="E5891">
        <v>116.15</v>
      </c>
      <c r="F5891" t="s">
        <v>1578</v>
      </c>
      <c r="G5891" t="s">
        <v>1542</v>
      </c>
    </row>
    <row r="5892" spans="1:7">
      <c r="A5892" t="s">
        <v>7495</v>
      </c>
      <c r="B5892" s="2">
        <v>46006</v>
      </c>
      <c r="C5892" t="s">
        <v>117</v>
      </c>
      <c r="D5892" t="s">
        <v>1629</v>
      </c>
      <c r="E5892">
        <v>115.57</v>
      </c>
      <c r="F5892" t="s">
        <v>1578</v>
      </c>
      <c r="G5892" t="s">
        <v>1542</v>
      </c>
    </row>
    <row r="5893" spans="1:7">
      <c r="A5893" t="s">
        <v>7496</v>
      </c>
      <c r="B5893" s="2">
        <v>46006</v>
      </c>
      <c r="C5893" t="s">
        <v>119</v>
      </c>
      <c r="D5893" t="s">
        <v>1629</v>
      </c>
      <c r="E5893">
        <v>116.15</v>
      </c>
      <c r="F5893" t="s">
        <v>1578</v>
      </c>
      <c r="G5893" t="s">
        <v>1542</v>
      </c>
    </row>
    <row r="5894" spans="1:7">
      <c r="A5894" t="s">
        <v>7497</v>
      </c>
      <c r="B5894" s="2">
        <v>46006</v>
      </c>
      <c r="C5894" t="s">
        <v>108</v>
      </c>
      <c r="D5894" t="s">
        <v>1683</v>
      </c>
      <c r="E5894">
        <v>182</v>
      </c>
      <c r="F5894" t="s">
        <v>1578</v>
      </c>
      <c r="G5894" t="s">
        <v>1026</v>
      </c>
    </row>
    <row r="5895" spans="1:7">
      <c r="A5895" t="s">
        <v>7498</v>
      </c>
      <c r="B5895" s="2">
        <v>46006</v>
      </c>
      <c r="C5895" t="s">
        <v>93</v>
      </c>
      <c r="D5895" t="s">
        <v>1683</v>
      </c>
      <c r="E5895">
        <v>167</v>
      </c>
      <c r="F5895" t="s">
        <v>1578</v>
      </c>
      <c r="G5895" t="s">
        <v>1027</v>
      </c>
    </row>
    <row r="5896" spans="1:7">
      <c r="A5896" t="s">
        <v>7499</v>
      </c>
      <c r="B5896" s="2">
        <v>46006</v>
      </c>
      <c r="C5896" t="s">
        <v>77</v>
      </c>
      <c r="D5896" t="s">
        <v>1683</v>
      </c>
      <c r="E5896">
        <v>1338</v>
      </c>
      <c r="F5896" t="s">
        <v>1578</v>
      </c>
      <c r="G5896" t="s">
        <v>1028</v>
      </c>
    </row>
    <row r="5897" spans="1:7">
      <c r="A5897" t="s">
        <v>7500</v>
      </c>
      <c r="B5897" s="2">
        <v>46007</v>
      </c>
      <c r="C5897" t="s">
        <v>61</v>
      </c>
      <c r="D5897" t="s">
        <v>1629</v>
      </c>
      <c r="E5897">
        <v>386.58</v>
      </c>
      <c r="F5897" t="s">
        <v>1578</v>
      </c>
      <c r="G5897" t="s">
        <v>1543</v>
      </c>
    </row>
    <row r="5898" spans="1:7">
      <c r="A5898" t="s">
        <v>7501</v>
      </c>
      <c r="B5898" s="2">
        <v>46007</v>
      </c>
      <c r="C5898" t="s">
        <v>65</v>
      </c>
      <c r="D5898" t="s">
        <v>1629</v>
      </c>
      <c r="E5898">
        <v>384.68</v>
      </c>
      <c r="F5898" t="s">
        <v>1578</v>
      </c>
      <c r="G5898" t="s">
        <v>1543</v>
      </c>
    </row>
    <row r="5899" spans="1:7">
      <c r="A5899" t="s">
        <v>7502</v>
      </c>
      <c r="B5899" s="2">
        <v>46007</v>
      </c>
      <c r="C5899" t="s">
        <v>68</v>
      </c>
      <c r="D5899" t="s">
        <v>1629</v>
      </c>
      <c r="E5899">
        <v>386.58</v>
      </c>
      <c r="F5899" t="s">
        <v>1578</v>
      </c>
      <c r="G5899" t="s">
        <v>1543</v>
      </c>
    </row>
    <row r="5900" spans="1:7">
      <c r="A5900" t="s">
        <v>7503</v>
      </c>
      <c r="B5900" s="2">
        <v>46007</v>
      </c>
      <c r="C5900" t="s">
        <v>70</v>
      </c>
      <c r="D5900" t="s">
        <v>1629</v>
      </c>
      <c r="E5900">
        <v>382.79</v>
      </c>
      <c r="F5900" t="s">
        <v>1578</v>
      </c>
      <c r="G5900" t="s">
        <v>1543</v>
      </c>
    </row>
    <row r="5901" spans="1:7">
      <c r="A5901" t="s">
        <v>7504</v>
      </c>
      <c r="B5901" s="2">
        <v>46007</v>
      </c>
      <c r="C5901" t="s">
        <v>73</v>
      </c>
      <c r="D5901" t="s">
        <v>1629</v>
      </c>
      <c r="E5901">
        <v>386.58</v>
      </c>
      <c r="F5901" t="s">
        <v>1578</v>
      </c>
      <c r="G5901" t="s">
        <v>1543</v>
      </c>
    </row>
    <row r="5902" spans="1:7">
      <c r="A5902" t="s">
        <v>7505</v>
      </c>
      <c r="B5902" s="2">
        <v>46007</v>
      </c>
      <c r="C5902" t="s">
        <v>75</v>
      </c>
      <c r="D5902" t="s">
        <v>1629</v>
      </c>
      <c r="E5902">
        <v>382.79</v>
      </c>
      <c r="F5902" t="s">
        <v>1578</v>
      </c>
      <c r="G5902" t="s">
        <v>1543</v>
      </c>
    </row>
    <row r="5903" spans="1:7">
      <c r="A5903" t="s">
        <v>7506</v>
      </c>
      <c r="B5903" s="2">
        <v>46007</v>
      </c>
      <c r="C5903" t="s">
        <v>77</v>
      </c>
      <c r="D5903" t="s">
        <v>1629</v>
      </c>
      <c r="E5903">
        <v>382.79</v>
      </c>
      <c r="F5903" t="s">
        <v>1578</v>
      </c>
      <c r="G5903" t="s">
        <v>1543</v>
      </c>
    </row>
    <row r="5904" spans="1:7">
      <c r="A5904" t="s">
        <v>7507</v>
      </c>
      <c r="B5904" s="2">
        <v>46007</v>
      </c>
      <c r="C5904" t="s">
        <v>79</v>
      </c>
      <c r="D5904" t="s">
        <v>1629</v>
      </c>
      <c r="E5904">
        <v>386.58</v>
      </c>
      <c r="F5904" t="s">
        <v>1578</v>
      </c>
      <c r="G5904" t="s">
        <v>1543</v>
      </c>
    </row>
    <row r="5905" spans="1:7">
      <c r="A5905" t="s">
        <v>7508</v>
      </c>
      <c r="B5905" s="2">
        <v>46007</v>
      </c>
      <c r="C5905" t="s">
        <v>81</v>
      </c>
      <c r="D5905" t="s">
        <v>1629</v>
      </c>
      <c r="E5905">
        <v>765.58</v>
      </c>
      <c r="F5905" t="s">
        <v>1578</v>
      </c>
      <c r="G5905" t="s">
        <v>1543</v>
      </c>
    </row>
    <row r="5906" spans="1:7">
      <c r="A5906" t="s">
        <v>7509</v>
      </c>
      <c r="B5906" s="2">
        <v>46007</v>
      </c>
      <c r="C5906" t="s">
        <v>108</v>
      </c>
      <c r="D5906" t="s">
        <v>1629</v>
      </c>
      <c r="E5906">
        <v>769.37</v>
      </c>
      <c r="F5906" t="s">
        <v>1578</v>
      </c>
      <c r="G5906" t="s">
        <v>1543</v>
      </c>
    </row>
    <row r="5907" spans="1:7">
      <c r="A5907" t="s">
        <v>7510</v>
      </c>
      <c r="B5907" s="2">
        <v>46007</v>
      </c>
      <c r="C5907" t="s">
        <v>110</v>
      </c>
      <c r="D5907" t="s">
        <v>1629</v>
      </c>
      <c r="E5907">
        <v>386.58</v>
      </c>
      <c r="F5907" t="s">
        <v>1578</v>
      </c>
      <c r="G5907" t="s">
        <v>1543</v>
      </c>
    </row>
    <row r="5908" spans="1:7">
      <c r="A5908" t="s">
        <v>7511</v>
      </c>
      <c r="B5908" s="2">
        <v>46007</v>
      </c>
      <c r="C5908" t="s">
        <v>114</v>
      </c>
      <c r="D5908" t="s">
        <v>1629</v>
      </c>
      <c r="E5908">
        <v>382.79</v>
      </c>
      <c r="F5908" t="s">
        <v>1578</v>
      </c>
      <c r="G5908" t="s">
        <v>1543</v>
      </c>
    </row>
    <row r="5909" spans="1:7">
      <c r="A5909" t="s">
        <v>7512</v>
      </c>
      <c r="B5909" s="2">
        <v>46007</v>
      </c>
      <c r="C5909" t="s">
        <v>117</v>
      </c>
      <c r="D5909" t="s">
        <v>1629</v>
      </c>
      <c r="E5909">
        <v>380.9</v>
      </c>
      <c r="F5909" t="s">
        <v>1578</v>
      </c>
      <c r="G5909" t="s">
        <v>1543</v>
      </c>
    </row>
    <row r="5910" spans="1:7">
      <c r="A5910" t="s">
        <v>7513</v>
      </c>
      <c r="B5910" s="2">
        <v>46007</v>
      </c>
      <c r="C5910" t="s">
        <v>119</v>
      </c>
      <c r="D5910" t="s">
        <v>1629</v>
      </c>
      <c r="E5910">
        <v>382.79</v>
      </c>
      <c r="F5910" t="s">
        <v>1578</v>
      </c>
      <c r="G5910" t="s">
        <v>1543</v>
      </c>
    </row>
    <row r="5911" spans="1:7">
      <c r="A5911" t="s">
        <v>7514</v>
      </c>
      <c r="B5911" s="2">
        <v>46008</v>
      </c>
      <c r="C5911" t="s">
        <v>75</v>
      </c>
      <c r="D5911" t="s">
        <v>1629</v>
      </c>
      <c r="E5911">
        <v>344.41</v>
      </c>
      <c r="F5911" t="s">
        <v>1578</v>
      </c>
      <c r="G5911" t="s">
        <v>1544</v>
      </c>
    </row>
    <row r="5912" spans="1:7">
      <c r="A5912" t="s">
        <v>7515</v>
      </c>
      <c r="B5912" s="2">
        <v>46008</v>
      </c>
      <c r="C5912" t="s">
        <v>91</v>
      </c>
      <c r="D5912" t="s">
        <v>1629</v>
      </c>
      <c r="E5912">
        <v>349.52</v>
      </c>
      <c r="F5912" t="s">
        <v>1578</v>
      </c>
      <c r="G5912" t="s">
        <v>1544</v>
      </c>
    </row>
    <row r="5913" spans="1:7">
      <c r="A5913" t="s">
        <v>7516</v>
      </c>
      <c r="B5913" s="2">
        <v>46008</v>
      </c>
      <c r="C5913" t="s">
        <v>93</v>
      </c>
      <c r="D5913" t="s">
        <v>1629</v>
      </c>
      <c r="E5913">
        <v>347.82</v>
      </c>
      <c r="F5913" t="s">
        <v>1578</v>
      </c>
      <c r="G5913" t="s">
        <v>1544</v>
      </c>
    </row>
    <row r="5914" spans="1:7">
      <c r="A5914" t="s">
        <v>7517</v>
      </c>
      <c r="B5914" s="2">
        <v>46008</v>
      </c>
      <c r="C5914" t="s">
        <v>95</v>
      </c>
      <c r="D5914" t="s">
        <v>1629</v>
      </c>
      <c r="E5914">
        <v>346.11</v>
      </c>
      <c r="F5914" t="s">
        <v>1578</v>
      </c>
      <c r="G5914" t="s">
        <v>1544</v>
      </c>
    </row>
    <row r="5915" spans="1:7">
      <c r="A5915" t="s">
        <v>7518</v>
      </c>
      <c r="B5915" s="2">
        <v>46008</v>
      </c>
      <c r="C5915" t="s">
        <v>97</v>
      </c>
      <c r="D5915" t="s">
        <v>1629</v>
      </c>
      <c r="E5915">
        <v>344.41</v>
      </c>
      <c r="F5915" t="s">
        <v>1578</v>
      </c>
      <c r="G5915" t="s">
        <v>1544</v>
      </c>
    </row>
    <row r="5916" spans="1:7">
      <c r="A5916" t="s">
        <v>7519</v>
      </c>
      <c r="B5916" s="2">
        <v>46008</v>
      </c>
      <c r="C5916" t="s">
        <v>99</v>
      </c>
      <c r="D5916" t="s">
        <v>1629</v>
      </c>
      <c r="E5916">
        <v>175.62</v>
      </c>
      <c r="F5916" t="s">
        <v>1578</v>
      </c>
      <c r="G5916" t="s">
        <v>1544</v>
      </c>
    </row>
    <row r="5917" spans="1:7">
      <c r="A5917" t="s">
        <v>7520</v>
      </c>
      <c r="B5917" s="2">
        <v>46008</v>
      </c>
      <c r="C5917" t="s">
        <v>102</v>
      </c>
      <c r="D5917" t="s">
        <v>1629</v>
      </c>
      <c r="E5917">
        <v>347.82</v>
      </c>
      <c r="F5917" t="s">
        <v>1578</v>
      </c>
      <c r="G5917" t="s">
        <v>1544</v>
      </c>
    </row>
    <row r="5918" spans="1:7">
      <c r="A5918" t="s">
        <v>7521</v>
      </c>
      <c r="B5918" s="2">
        <v>46008</v>
      </c>
      <c r="C5918" t="s">
        <v>108</v>
      </c>
      <c r="D5918" t="s">
        <v>1629</v>
      </c>
      <c r="E5918">
        <v>692.23</v>
      </c>
      <c r="F5918" t="s">
        <v>1578</v>
      </c>
      <c r="G5918" t="s">
        <v>1544</v>
      </c>
    </row>
    <row r="5919" spans="1:7">
      <c r="A5919" t="s">
        <v>7522</v>
      </c>
      <c r="B5919" s="2">
        <v>46008</v>
      </c>
      <c r="C5919" t="s">
        <v>110</v>
      </c>
      <c r="D5919" t="s">
        <v>1629</v>
      </c>
      <c r="E5919">
        <v>347.82</v>
      </c>
      <c r="F5919" t="s">
        <v>1578</v>
      </c>
      <c r="G5919" t="s">
        <v>1544</v>
      </c>
    </row>
    <row r="5920" spans="1:7">
      <c r="A5920" t="s">
        <v>7523</v>
      </c>
      <c r="B5920" s="2">
        <v>46008</v>
      </c>
      <c r="C5920" t="s">
        <v>114</v>
      </c>
      <c r="D5920" t="s">
        <v>1629</v>
      </c>
      <c r="E5920">
        <v>344.41</v>
      </c>
      <c r="F5920" t="s">
        <v>1578</v>
      </c>
      <c r="G5920" t="s">
        <v>1544</v>
      </c>
    </row>
    <row r="5921" spans="1:7">
      <c r="A5921" t="s">
        <v>7524</v>
      </c>
      <c r="B5921" s="2">
        <v>46008</v>
      </c>
      <c r="C5921" t="s">
        <v>117</v>
      </c>
      <c r="D5921" t="s">
        <v>1629</v>
      </c>
      <c r="E5921">
        <v>342.7</v>
      </c>
      <c r="F5921" t="s">
        <v>1578</v>
      </c>
      <c r="G5921" t="s">
        <v>1544</v>
      </c>
    </row>
    <row r="5922" spans="1:7">
      <c r="A5922" t="s">
        <v>7525</v>
      </c>
      <c r="B5922" s="2">
        <v>46008</v>
      </c>
      <c r="C5922" t="s">
        <v>119</v>
      </c>
      <c r="D5922" t="s">
        <v>1629</v>
      </c>
      <c r="E5922">
        <v>344.41</v>
      </c>
      <c r="F5922" t="s">
        <v>1578</v>
      </c>
      <c r="G5922" t="s">
        <v>1544</v>
      </c>
    </row>
    <row r="5923" spans="1:7">
      <c r="A5923" t="s">
        <v>7526</v>
      </c>
      <c r="B5923" s="2">
        <v>46008</v>
      </c>
      <c r="C5923" t="s">
        <v>61</v>
      </c>
      <c r="D5923" t="s">
        <v>1629</v>
      </c>
      <c r="E5923">
        <v>147.9</v>
      </c>
      <c r="F5923" t="s">
        <v>1578</v>
      </c>
      <c r="G5923" t="s">
        <v>1545</v>
      </c>
    </row>
    <row r="5924" spans="1:7">
      <c r="A5924" t="s">
        <v>7527</v>
      </c>
      <c r="B5924" s="2">
        <v>46008</v>
      </c>
      <c r="C5924" t="s">
        <v>65</v>
      </c>
      <c r="D5924" t="s">
        <v>1629</v>
      </c>
      <c r="E5924">
        <v>147.16999999999999</v>
      </c>
      <c r="F5924" t="s">
        <v>1578</v>
      </c>
      <c r="G5924" t="s">
        <v>1545</v>
      </c>
    </row>
    <row r="5925" spans="1:7">
      <c r="A5925" t="s">
        <v>7528</v>
      </c>
      <c r="B5925" s="2">
        <v>46008</v>
      </c>
      <c r="C5925" t="s">
        <v>68</v>
      </c>
      <c r="D5925" t="s">
        <v>1629</v>
      </c>
      <c r="E5925">
        <v>147.9</v>
      </c>
      <c r="F5925" t="s">
        <v>1578</v>
      </c>
      <c r="G5925" t="s">
        <v>1545</v>
      </c>
    </row>
    <row r="5926" spans="1:7">
      <c r="A5926" t="s">
        <v>7529</v>
      </c>
      <c r="B5926" s="2">
        <v>46008</v>
      </c>
      <c r="C5926" t="s">
        <v>75</v>
      </c>
      <c r="D5926" t="s">
        <v>1629</v>
      </c>
      <c r="E5926">
        <v>146.44999999999999</v>
      </c>
      <c r="F5926" t="s">
        <v>1578</v>
      </c>
      <c r="G5926" t="s">
        <v>1545</v>
      </c>
    </row>
    <row r="5927" spans="1:7">
      <c r="A5927" t="s">
        <v>7530</v>
      </c>
      <c r="B5927" s="2">
        <v>46008</v>
      </c>
      <c r="C5927" t="s">
        <v>79</v>
      </c>
      <c r="D5927" t="s">
        <v>1629</v>
      </c>
      <c r="E5927">
        <v>147.9</v>
      </c>
      <c r="F5927" t="s">
        <v>1578</v>
      </c>
      <c r="G5927" t="s">
        <v>1545</v>
      </c>
    </row>
    <row r="5928" spans="1:7">
      <c r="A5928" t="s">
        <v>7531</v>
      </c>
      <c r="B5928" s="2">
        <v>46008</v>
      </c>
      <c r="C5928" t="s">
        <v>81</v>
      </c>
      <c r="D5928" t="s">
        <v>1629</v>
      </c>
      <c r="E5928">
        <v>292.89999999999998</v>
      </c>
      <c r="F5928" t="s">
        <v>1578</v>
      </c>
      <c r="G5928" t="s">
        <v>1545</v>
      </c>
    </row>
    <row r="5929" spans="1:7">
      <c r="A5929" t="s">
        <v>7532</v>
      </c>
      <c r="B5929" s="2">
        <v>46008</v>
      </c>
      <c r="C5929" t="s">
        <v>110</v>
      </c>
      <c r="D5929" t="s">
        <v>1629</v>
      </c>
      <c r="E5929">
        <v>147.9</v>
      </c>
      <c r="F5929" t="s">
        <v>1578</v>
      </c>
      <c r="G5929" t="s">
        <v>1545</v>
      </c>
    </row>
    <row r="5930" spans="1:7">
      <c r="A5930" t="s">
        <v>7533</v>
      </c>
      <c r="B5930" s="2">
        <v>46008</v>
      </c>
      <c r="C5930" t="s">
        <v>114</v>
      </c>
      <c r="D5930" t="s">
        <v>1629</v>
      </c>
      <c r="E5930">
        <v>146.44999999999999</v>
      </c>
      <c r="F5930" t="s">
        <v>1578</v>
      </c>
      <c r="G5930" t="s">
        <v>1545</v>
      </c>
    </row>
    <row r="5931" spans="1:7">
      <c r="A5931" t="s">
        <v>7534</v>
      </c>
      <c r="B5931" s="2">
        <v>46008</v>
      </c>
      <c r="C5931" t="s">
        <v>117</v>
      </c>
      <c r="D5931" t="s">
        <v>1629</v>
      </c>
      <c r="E5931">
        <v>145.72</v>
      </c>
      <c r="F5931" t="s">
        <v>1578</v>
      </c>
      <c r="G5931" t="s">
        <v>1545</v>
      </c>
    </row>
    <row r="5932" spans="1:7">
      <c r="A5932" t="s">
        <v>7535</v>
      </c>
      <c r="B5932" s="2">
        <v>46008</v>
      </c>
      <c r="C5932" t="s">
        <v>119</v>
      </c>
      <c r="D5932" t="s">
        <v>1629</v>
      </c>
      <c r="E5932">
        <v>146.44999999999999</v>
      </c>
      <c r="F5932" t="s">
        <v>1578</v>
      </c>
      <c r="G5932" t="s">
        <v>1545</v>
      </c>
    </row>
    <row r="5933" spans="1:7">
      <c r="A5933" t="s">
        <v>7536</v>
      </c>
      <c r="B5933" s="2">
        <v>46008</v>
      </c>
      <c r="C5933" t="s">
        <v>91</v>
      </c>
      <c r="D5933" t="s">
        <v>1683</v>
      </c>
      <c r="E5933">
        <v>180</v>
      </c>
      <c r="F5933" t="s">
        <v>1578</v>
      </c>
      <c r="G5933" t="s">
        <v>1030</v>
      </c>
    </row>
    <row r="5934" spans="1:7">
      <c r="A5934" t="s">
        <v>7537</v>
      </c>
      <c r="B5934" s="2">
        <v>46008</v>
      </c>
      <c r="C5934" t="s">
        <v>104</v>
      </c>
      <c r="D5934" t="s">
        <v>1683</v>
      </c>
      <c r="E5934">
        <v>152</v>
      </c>
      <c r="F5934" t="s">
        <v>1578</v>
      </c>
      <c r="G5934" t="s">
        <v>1031</v>
      </c>
    </row>
    <row r="5935" spans="1:7">
      <c r="A5935" t="s">
        <v>7538</v>
      </c>
      <c r="B5935" s="2">
        <v>46009</v>
      </c>
      <c r="C5935" t="s">
        <v>75</v>
      </c>
      <c r="D5935" t="s">
        <v>1629</v>
      </c>
      <c r="E5935">
        <v>91.91</v>
      </c>
      <c r="F5935" t="s">
        <v>1578</v>
      </c>
      <c r="G5935" t="s">
        <v>1546</v>
      </c>
    </row>
    <row r="5936" spans="1:7">
      <c r="A5936" t="s">
        <v>7539</v>
      </c>
      <c r="B5936" s="2">
        <v>46009</v>
      </c>
      <c r="C5936" t="s">
        <v>91</v>
      </c>
      <c r="D5936" t="s">
        <v>1629</v>
      </c>
      <c r="E5936">
        <v>93.28</v>
      </c>
      <c r="F5936" t="s">
        <v>1578</v>
      </c>
      <c r="G5936" t="s">
        <v>1546</v>
      </c>
    </row>
    <row r="5937" spans="1:7">
      <c r="A5937" t="s">
        <v>7540</v>
      </c>
      <c r="B5937" s="2">
        <v>46009</v>
      </c>
      <c r="C5937" t="s">
        <v>93</v>
      </c>
      <c r="D5937" t="s">
        <v>1629</v>
      </c>
      <c r="E5937">
        <v>92.82</v>
      </c>
      <c r="F5937" t="s">
        <v>1578</v>
      </c>
      <c r="G5937" t="s">
        <v>1546</v>
      </c>
    </row>
    <row r="5938" spans="1:7">
      <c r="A5938" t="s">
        <v>7541</v>
      </c>
      <c r="B5938" s="2">
        <v>46009</v>
      </c>
      <c r="C5938" t="s">
        <v>95</v>
      </c>
      <c r="D5938" t="s">
        <v>1629</v>
      </c>
      <c r="E5938">
        <v>92.36</v>
      </c>
      <c r="F5938" t="s">
        <v>1578</v>
      </c>
      <c r="G5938" t="s">
        <v>1546</v>
      </c>
    </row>
    <row r="5939" spans="1:7">
      <c r="A5939" t="s">
        <v>7542</v>
      </c>
      <c r="B5939" s="2">
        <v>46009</v>
      </c>
      <c r="C5939" t="s">
        <v>97</v>
      </c>
      <c r="D5939" t="s">
        <v>1629</v>
      </c>
      <c r="E5939">
        <v>91.91</v>
      </c>
      <c r="F5939" t="s">
        <v>1578</v>
      </c>
      <c r="G5939" t="s">
        <v>1546</v>
      </c>
    </row>
    <row r="5940" spans="1:7">
      <c r="A5940" t="s">
        <v>7543</v>
      </c>
      <c r="B5940" s="2">
        <v>46009</v>
      </c>
      <c r="C5940" t="s">
        <v>99</v>
      </c>
      <c r="D5940" t="s">
        <v>1629</v>
      </c>
      <c r="E5940">
        <v>112.48</v>
      </c>
      <c r="F5940" t="s">
        <v>1578</v>
      </c>
      <c r="G5940" t="s">
        <v>1546</v>
      </c>
    </row>
    <row r="5941" spans="1:7">
      <c r="A5941" t="s">
        <v>7544</v>
      </c>
      <c r="B5941" s="2">
        <v>46009</v>
      </c>
      <c r="C5941" t="s">
        <v>102</v>
      </c>
      <c r="D5941" t="s">
        <v>1629</v>
      </c>
      <c r="E5941">
        <v>92.82</v>
      </c>
      <c r="F5941" t="s">
        <v>1578</v>
      </c>
      <c r="G5941" t="s">
        <v>1546</v>
      </c>
    </row>
    <row r="5942" spans="1:7">
      <c r="A5942" t="s">
        <v>7545</v>
      </c>
      <c r="B5942" s="2">
        <v>46009</v>
      </c>
      <c r="C5942" t="s">
        <v>108</v>
      </c>
      <c r="D5942" t="s">
        <v>1629</v>
      </c>
      <c r="E5942">
        <v>184.73</v>
      </c>
      <c r="F5942" t="s">
        <v>1578</v>
      </c>
      <c r="G5942" t="s">
        <v>1546</v>
      </c>
    </row>
    <row r="5943" spans="1:7">
      <c r="A5943" t="s">
        <v>7546</v>
      </c>
      <c r="B5943" s="2">
        <v>46009</v>
      </c>
      <c r="C5943" t="s">
        <v>110</v>
      </c>
      <c r="D5943" t="s">
        <v>1629</v>
      </c>
      <c r="E5943">
        <v>92.82</v>
      </c>
      <c r="F5943" t="s">
        <v>1578</v>
      </c>
      <c r="G5943" t="s">
        <v>1546</v>
      </c>
    </row>
    <row r="5944" spans="1:7">
      <c r="A5944" t="s">
        <v>7547</v>
      </c>
      <c r="B5944" s="2">
        <v>46009</v>
      </c>
      <c r="C5944" t="s">
        <v>114</v>
      </c>
      <c r="D5944" t="s">
        <v>1629</v>
      </c>
      <c r="E5944">
        <v>91.91</v>
      </c>
      <c r="F5944" t="s">
        <v>1578</v>
      </c>
      <c r="G5944" t="s">
        <v>1546</v>
      </c>
    </row>
    <row r="5945" spans="1:7">
      <c r="A5945" t="s">
        <v>7548</v>
      </c>
      <c r="B5945" s="2">
        <v>46009</v>
      </c>
      <c r="C5945" t="s">
        <v>117</v>
      </c>
      <c r="D5945" t="s">
        <v>1629</v>
      </c>
      <c r="E5945">
        <v>91.45</v>
      </c>
      <c r="F5945" t="s">
        <v>1578</v>
      </c>
      <c r="G5945" t="s">
        <v>1546</v>
      </c>
    </row>
    <row r="5946" spans="1:7">
      <c r="A5946" t="s">
        <v>7549</v>
      </c>
      <c r="B5946" s="2">
        <v>46009</v>
      </c>
      <c r="C5946" t="s">
        <v>119</v>
      </c>
      <c r="D5946" t="s">
        <v>1629</v>
      </c>
      <c r="E5946">
        <v>91.91</v>
      </c>
      <c r="F5946" t="s">
        <v>1578</v>
      </c>
      <c r="G5946" t="s">
        <v>1546</v>
      </c>
    </row>
    <row r="5947" spans="1:7">
      <c r="A5947" t="s">
        <v>7550</v>
      </c>
      <c r="B5947" s="2">
        <v>46009</v>
      </c>
      <c r="C5947" t="s">
        <v>84</v>
      </c>
      <c r="D5947" t="s">
        <v>1683</v>
      </c>
      <c r="E5947">
        <v>417</v>
      </c>
      <c r="F5947" t="s">
        <v>1578</v>
      </c>
      <c r="G5947" t="s">
        <v>1032</v>
      </c>
    </row>
    <row r="5948" spans="1:7">
      <c r="A5948" t="s">
        <v>7551</v>
      </c>
      <c r="B5948" s="2">
        <v>46010</v>
      </c>
      <c r="C5948" t="s">
        <v>75</v>
      </c>
      <c r="D5948" t="s">
        <v>1629</v>
      </c>
      <c r="E5948">
        <v>250.48</v>
      </c>
      <c r="F5948" t="s">
        <v>1578</v>
      </c>
      <c r="G5948" t="s">
        <v>1547</v>
      </c>
    </row>
    <row r="5949" spans="1:7">
      <c r="A5949" t="s">
        <v>7552</v>
      </c>
      <c r="B5949" s="2">
        <v>46010</v>
      </c>
      <c r="C5949" t="s">
        <v>91</v>
      </c>
      <c r="D5949" t="s">
        <v>1629</v>
      </c>
      <c r="E5949">
        <v>254.2</v>
      </c>
      <c r="F5949" t="s">
        <v>1578</v>
      </c>
      <c r="G5949" t="s">
        <v>1547</v>
      </c>
    </row>
    <row r="5950" spans="1:7">
      <c r="A5950" t="s">
        <v>7553</v>
      </c>
      <c r="B5950" s="2">
        <v>46010</v>
      </c>
      <c r="C5950" t="s">
        <v>93</v>
      </c>
      <c r="D5950" t="s">
        <v>1629</v>
      </c>
      <c r="E5950">
        <v>252.96</v>
      </c>
      <c r="F5950" t="s">
        <v>1578</v>
      </c>
      <c r="G5950" t="s">
        <v>1547</v>
      </c>
    </row>
    <row r="5951" spans="1:7">
      <c r="A5951" t="s">
        <v>7554</v>
      </c>
      <c r="B5951" s="2">
        <v>46010</v>
      </c>
      <c r="C5951" t="s">
        <v>95</v>
      </c>
      <c r="D5951" t="s">
        <v>1629</v>
      </c>
      <c r="E5951">
        <v>251.72</v>
      </c>
      <c r="F5951" t="s">
        <v>1578</v>
      </c>
      <c r="G5951" t="s">
        <v>1547</v>
      </c>
    </row>
    <row r="5952" spans="1:7">
      <c r="A5952" t="s">
        <v>7555</v>
      </c>
      <c r="B5952" s="2">
        <v>46010</v>
      </c>
      <c r="C5952" t="s">
        <v>97</v>
      </c>
      <c r="D5952" t="s">
        <v>1629</v>
      </c>
      <c r="E5952">
        <v>250.48</v>
      </c>
      <c r="F5952" t="s">
        <v>1578</v>
      </c>
      <c r="G5952" t="s">
        <v>1547</v>
      </c>
    </row>
    <row r="5953" spans="1:7">
      <c r="A5953" t="s">
        <v>7556</v>
      </c>
      <c r="B5953" s="2">
        <v>46010</v>
      </c>
      <c r="C5953" t="s">
        <v>99</v>
      </c>
      <c r="D5953" t="s">
        <v>1629</v>
      </c>
      <c r="E5953">
        <v>127.72</v>
      </c>
      <c r="F5953" t="s">
        <v>1578</v>
      </c>
      <c r="G5953" t="s">
        <v>1547</v>
      </c>
    </row>
    <row r="5954" spans="1:7">
      <c r="A5954" t="s">
        <v>7557</v>
      </c>
      <c r="B5954" s="2">
        <v>46010</v>
      </c>
      <c r="C5954" t="s">
        <v>102</v>
      </c>
      <c r="D5954" t="s">
        <v>1629</v>
      </c>
      <c r="E5954">
        <v>252.96</v>
      </c>
      <c r="F5954" t="s">
        <v>1578</v>
      </c>
      <c r="G5954" t="s">
        <v>1547</v>
      </c>
    </row>
    <row r="5955" spans="1:7">
      <c r="A5955" t="s">
        <v>7558</v>
      </c>
      <c r="B5955" s="2">
        <v>46010</v>
      </c>
      <c r="C5955" t="s">
        <v>108</v>
      </c>
      <c r="D5955" t="s">
        <v>1629</v>
      </c>
      <c r="E5955">
        <v>503.44</v>
      </c>
      <c r="F5955" t="s">
        <v>1578</v>
      </c>
      <c r="G5955" t="s">
        <v>1547</v>
      </c>
    </row>
    <row r="5956" spans="1:7">
      <c r="A5956" t="s">
        <v>7559</v>
      </c>
      <c r="B5956" s="2">
        <v>46010</v>
      </c>
      <c r="C5956" t="s">
        <v>110</v>
      </c>
      <c r="D5956" t="s">
        <v>1629</v>
      </c>
      <c r="E5956">
        <v>252.96</v>
      </c>
      <c r="F5956" t="s">
        <v>1578</v>
      </c>
      <c r="G5956" t="s">
        <v>1547</v>
      </c>
    </row>
    <row r="5957" spans="1:7">
      <c r="A5957" t="s">
        <v>7560</v>
      </c>
      <c r="B5957" s="2">
        <v>46010</v>
      </c>
      <c r="C5957" t="s">
        <v>114</v>
      </c>
      <c r="D5957" t="s">
        <v>1629</v>
      </c>
      <c r="E5957">
        <v>250.48</v>
      </c>
      <c r="F5957" t="s">
        <v>1578</v>
      </c>
      <c r="G5957" t="s">
        <v>1547</v>
      </c>
    </row>
    <row r="5958" spans="1:7">
      <c r="A5958" t="s">
        <v>7561</v>
      </c>
      <c r="B5958" s="2">
        <v>46010</v>
      </c>
      <c r="C5958" t="s">
        <v>117</v>
      </c>
      <c r="D5958" t="s">
        <v>1629</v>
      </c>
      <c r="E5958">
        <v>249.24</v>
      </c>
      <c r="F5958" t="s">
        <v>1578</v>
      </c>
      <c r="G5958" t="s">
        <v>1547</v>
      </c>
    </row>
    <row r="5959" spans="1:7">
      <c r="A5959" t="s">
        <v>7562</v>
      </c>
      <c r="B5959" s="2">
        <v>46010</v>
      </c>
      <c r="C5959" t="s">
        <v>119</v>
      </c>
      <c r="D5959" t="s">
        <v>1629</v>
      </c>
      <c r="E5959">
        <v>250.48</v>
      </c>
      <c r="F5959" t="s">
        <v>1578</v>
      </c>
      <c r="G5959" t="s">
        <v>1547</v>
      </c>
    </row>
    <row r="5960" spans="1:7">
      <c r="A5960" t="s">
        <v>7563</v>
      </c>
      <c r="B5960" s="2">
        <v>46010</v>
      </c>
      <c r="C5960" t="s">
        <v>61</v>
      </c>
      <c r="D5960" t="s">
        <v>1629</v>
      </c>
      <c r="E5960">
        <v>174.42</v>
      </c>
      <c r="F5960" t="s">
        <v>1578</v>
      </c>
      <c r="G5960" t="s">
        <v>1548</v>
      </c>
    </row>
    <row r="5961" spans="1:7">
      <c r="A5961" t="s">
        <v>7564</v>
      </c>
      <c r="B5961" s="2">
        <v>46010</v>
      </c>
      <c r="C5961" t="s">
        <v>65</v>
      </c>
      <c r="D5961" t="s">
        <v>1629</v>
      </c>
      <c r="E5961">
        <v>173.56</v>
      </c>
      <c r="F5961" t="s">
        <v>1578</v>
      </c>
      <c r="G5961" t="s">
        <v>1548</v>
      </c>
    </row>
    <row r="5962" spans="1:7">
      <c r="A5962" t="s">
        <v>7565</v>
      </c>
      <c r="B5962" s="2">
        <v>46010</v>
      </c>
      <c r="C5962" t="s">
        <v>68</v>
      </c>
      <c r="D5962" t="s">
        <v>1629</v>
      </c>
      <c r="E5962">
        <v>174.42</v>
      </c>
      <c r="F5962" t="s">
        <v>1578</v>
      </c>
      <c r="G5962" t="s">
        <v>1548</v>
      </c>
    </row>
    <row r="5963" spans="1:7">
      <c r="A5963" t="s">
        <v>7566</v>
      </c>
      <c r="B5963" s="2">
        <v>46010</v>
      </c>
      <c r="C5963" t="s">
        <v>70</v>
      </c>
      <c r="D5963" t="s">
        <v>1629</v>
      </c>
      <c r="E5963">
        <v>172.71</v>
      </c>
      <c r="F5963" t="s">
        <v>1578</v>
      </c>
      <c r="G5963" t="s">
        <v>1548</v>
      </c>
    </row>
    <row r="5964" spans="1:7">
      <c r="A5964" t="s">
        <v>7567</v>
      </c>
      <c r="B5964" s="2">
        <v>46010</v>
      </c>
      <c r="C5964" t="s">
        <v>75</v>
      </c>
      <c r="D5964" t="s">
        <v>1629</v>
      </c>
      <c r="E5964">
        <v>172.71</v>
      </c>
      <c r="F5964" t="s">
        <v>1578</v>
      </c>
      <c r="G5964" t="s">
        <v>1548</v>
      </c>
    </row>
    <row r="5965" spans="1:7">
      <c r="A5965" t="s">
        <v>7568</v>
      </c>
      <c r="B5965" s="2">
        <v>46010</v>
      </c>
      <c r="C5965" t="s">
        <v>77</v>
      </c>
      <c r="D5965" t="s">
        <v>1629</v>
      </c>
      <c r="E5965">
        <v>172.71</v>
      </c>
      <c r="F5965" t="s">
        <v>1578</v>
      </c>
      <c r="G5965" t="s">
        <v>1548</v>
      </c>
    </row>
    <row r="5966" spans="1:7">
      <c r="A5966" t="s">
        <v>7569</v>
      </c>
      <c r="B5966" s="2">
        <v>46010</v>
      </c>
      <c r="C5966" t="s">
        <v>79</v>
      </c>
      <c r="D5966" t="s">
        <v>1629</v>
      </c>
      <c r="E5966">
        <v>174.42</v>
      </c>
      <c r="F5966" t="s">
        <v>1578</v>
      </c>
      <c r="G5966" t="s">
        <v>1548</v>
      </c>
    </row>
    <row r="5967" spans="1:7">
      <c r="A5967" t="s">
        <v>7570</v>
      </c>
      <c r="B5967" s="2">
        <v>46010</v>
      </c>
      <c r="C5967" t="s">
        <v>81</v>
      </c>
      <c r="D5967" t="s">
        <v>1629</v>
      </c>
      <c r="E5967">
        <v>345.42</v>
      </c>
      <c r="F5967" t="s">
        <v>1578</v>
      </c>
      <c r="G5967" t="s">
        <v>1548</v>
      </c>
    </row>
    <row r="5968" spans="1:7">
      <c r="A5968" t="s">
        <v>7571</v>
      </c>
      <c r="B5968" s="2">
        <v>46010</v>
      </c>
      <c r="C5968" t="s">
        <v>110</v>
      </c>
      <c r="D5968" t="s">
        <v>1629</v>
      </c>
      <c r="E5968">
        <v>174.42</v>
      </c>
      <c r="F5968" t="s">
        <v>1578</v>
      </c>
      <c r="G5968" t="s">
        <v>1548</v>
      </c>
    </row>
    <row r="5969" spans="1:7">
      <c r="A5969" t="s">
        <v>7572</v>
      </c>
      <c r="B5969" s="2">
        <v>46010</v>
      </c>
      <c r="C5969" t="s">
        <v>114</v>
      </c>
      <c r="D5969" t="s">
        <v>1629</v>
      </c>
      <c r="E5969">
        <v>172.71</v>
      </c>
      <c r="F5969" t="s">
        <v>1578</v>
      </c>
      <c r="G5969" t="s">
        <v>1548</v>
      </c>
    </row>
    <row r="5970" spans="1:7">
      <c r="A5970" t="s">
        <v>7573</v>
      </c>
      <c r="B5970" s="2">
        <v>46010</v>
      </c>
      <c r="C5970" t="s">
        <v>117</v>
      </c>
      <c r="D5970" t="s">
        <v>1629</v>
      </c>
      <c r="E5970">
        <v>171.86</v>
      </c>
      <c r="F5970" t="s">
        <v>1578</v>
      </c>
      <c r="G5970" t="s">
        <v>1548</v>
      </c>
    </row>
    <row r="5971" spans="1:7">
      <c r="A5971" t="s">
        <v>7574</v>
      </c>
      <c r="B5971" s="2">
        <v>46010</v>
      </c>
      <c r="C5971" t="s">
        <v>119</v>
      </c>
      <c r="D5971" t="s">
        <v>1629</v>
      </c>
      <c r="E5971">
        <v>172.71</v>
      </c>
      <c r="F5971" t="s">
        <v>1578</v>
      </c>
      <c r="G5971" t="s">
        <v>1548</v>
      </c>
    </row>
    <row r="5972" spans="1:7">
      <c r="A5972" t="s">
        <v>7575</v>
      </c>
      <c r="B5972" s="2">
        <v>46010</v>
      </c>
      <c r="C5972" t="s">
        <v>104</v>
      </c>
      <c r="D5972" t="s">
        <v>1683</v>
      </c>
      <c r="E5972">
        <v>231</v>
      </c>
      <c r="F5972" t="s">
        <v>1578</v>
      </c>
      <c r="G5972" t="s">
        <v>1033</v>
      </c>
    </row>
    <row r="5973" spans="1:7">
      <c r="A5973" t="s">
        <v>7576</v>
      </c>
      <c r="B5973" s="2">
        <v>46011</v>
      </c>
      <c r="C5973" t="s">
        <v>61</v>
      </c>
      <c r="D5973" t="s">
        <v>1629</v>
      </c>
      <c r="E5973">
        <v>98.94</v>
      </c>
      <c r="F5973" t="s">
        <v>1578</v>
      </c>
      <c r="G5973" t="s">
        <v>1549</v>
      </c>
    </row>
    <row r="5974" spans="1:7">
      <c r="A5974" t="s">
        <v>7577</v>
      </c>
      <c r="B5974" s="2">
        <v>46011</v>
      </c>
      <c r="C5974" t="s">
        <v>65</v>
      </c>
      <c r="D5974" t="s">
        <v>1629</v>
      </c>
      <c r="E5974">
        <v>98.45</v>
      </c>
      <c r="F5974" t="s">
        <v>1578</v>
      </c>
      <c r="G5974" t="s">
        <v>1549</v>
      </c>
    </row>
    <row r="5975" spans="1:7">
      <c r="A5975" t="s">
        <v>7578</v>
      </c>
      <c r="B5975" s="2">
        <v>46011</v>
      </c>
      <c r="C5975" t="s">
        <v>68</v>
      </c>
      <c r="D5975" t="s">
        <v>1629</v>
      </c>
      <c r="E5975">
        <v>98.94</v>
      </c>
      <c r="F5975" t="s">
        <v>1578</v>
      </c>
      <c r="G5975" t="s">
        <v>1549</v>
      </c>
    </row>
    <row r="5976" spans="1:7">
      <c r="A5976" t="s">
        <v>7579</v>
      </c>
      <c r="B5976" s="2">
        <v>46011</v>
      </c>
      <c r="C5976" t="s">
        <v>75</v>
      </c>
      <c r="D5976" t="s">
        <v>1629</v>
      </c>
      <c r="E5976">
        <v>97.97</v>
      </c>
      <c r="F5976" t="s">
        <v>1578</v>
      </c>
      <c r="G5976" t="s">
        <v>1549</v>
      </c>
    </row>
    <row r="5977" spans="1:7">
      <c r="A5977" t="s">
        <v>7580</v>
      </c>
      <c r="B5977" s="2">
        <v>46011</v>
      </c>
      <c r="C5977" t="s">
        <v>79</v>
      </c>
      <c r="D5977" t="s">
        <v>1629</v>
      </c>
      <c r="E5977">
        <v>98.94</v>
      </c>
      <c r="F5977" t="s">
        <v>1578</v>
      </c>
      <c r="G5977" t="s">
        <v>1549</v>
      </c>
    </row>
    <row r="5978" spans="1:7">
      <c r="A5978" t="s">
        <v>7581</v>
      </c>
      <c r="B5978" s="2">
        <v>46011</v>
      </c>
      <c r="C5978" t="s">
        <v>81</v>
      </c>
      <c r="D5978" t="s">
        <v>1629</v>
      </c>
      <c r="E5978">
        <v>195.94</v>
      </c>
      <c r="F5978" t="s">
        <v>1578</v>
      </c>
      <c r="G5978" t="s">
        <v>1549</v>
      </c>
    </row>
    <row r="5979" spans="1:7">
      <c r="A5979" t="s">
        <v>7582</v>
      </c>
      <c r="B5979" s="2">
        <v>46011</v>
      </c>
      <c r="C5979" t="s">
        <v>110</v>
      </c>
      <c r="D5979" t="s">
        <v>1629</v>
      </c>
      <c r="E5979">
        <v>98.94</v>
      </c>
      <c r="F5979" t="s">
        <v>1578</v>
      </c>
      <c r="G5979" t="s">
        <v>1549</v>
      </c>
    </row>
    <row r="5980" spans="1:7">
      <c r="A5980" t="s">
        <v>7583</v>
      </c>
      <c r="B5980" s="2">
        <v>46011</v>
      </c>
      <c r="C5980" t="s">
        <v>114</v>
      </c>
      <c r="D5980" t="s">
        <v>1629</v>
      </c>
      <c r="E5980">
        <v>97.97</v>
      </c>
      <c r="F5980" t="s">
        <v>1578</v>
      </c>
      <c r="G5980" t="s">
        <v>1549</v>
      </c>
    </row>
    <row r="5981" spans="1:7">
      <c r="A5981" t="s">
        <v>7584</v>
      </c>
      <c r="B5981" s="2">
        <v>46011</v>
      </c>
      <c r="C5981" t="s">
        <v>117</v>
      </c>
      <c r="D5981" t="s">
        <v>1629</v>
      </c>
      <c r="E5981">
        <v>97.48</v>
      </c>
      <c r="F5981" t="s">
        <v>1578</v>
      </c>
      <c r="G5981" t="s">
        <v>1549</v>
      </c>
    </row>
    <row r="5982" spans="1:7">
      <c r="A5982" t="s">
        <v>7585</v>
      </c>
      <c r="B5982" s="2">
        <v>46011</v>
      </c>
      <c r="C5982" t="s">
        <v>119</v>
      </c>
      <c r="D5982" t="s">
        <v>1629</v>
      </c>
      <c r="E5982">
        <v>97.97</v>
      </c>
      <c r="F5982" t="s">
        <v>1578</v>
      </c>
      <c r="G5982" t="s">
        <v>1549</v>
      </c>
    </row>
    <row r="5983" spans="1:7">
      <c r="A5983" t="s">
        <v>7586</v>
      </c>
      <c r="B5983" s="2">
        <v>46011</v>
      </c>
      <c r="C5983" t="s">
        <v>61</v>
      </c>
      <c r="D5983" t="s">
        <v>1629</v>
      </c>
      <c r="E5983">
        <v>416.16</v>
      </c>
      <c r="F5983" t="s">
        <v>1578</v>
      </c>
      <c r="G5983" t="s">
        <v>1550</v>
      </c>
    </row>
    <row r="5984" spans="1:7">
      <c r="A5984" t="s">
        <v>7587</v>
      </c>
      <c r="B5984" s="2">
        <v>46011</v>
      </c>
      <c r="C5984" t="s">
        <v>65</v>
      </c>
      <c r="D5984" t="s">
        <v>1629</v>
      </c>
      <c r="E5984">
        <v>414.12</v>
      </c>
      <c r="F5984" t="s">
        <v>1578</v>
      </c>
      <c r="G5984" t="s">
        <v>1550</v>
      </c>
    </row>
    <row r="5985" spans="1:7">
      <c r="A5985" t="s">
        <v>7588</v>
      </c>
      <c r="B5985" s="2">
        <v>46011</v>
      </c>
      <c r="C5985" t="s">
        <v>68</v>
      </c>
      <c r="D5985" t="s">
        <v>1629</v>
      </c>
      <c r="E5985">
        <v>416.16</v>
      </c>
      <c r="F5985" t="s">
        <v>1578</v>
      </c>
      <c r="G5985" t="s">
        <v>1550</v>
      </c>
    </row>
    <row r="5986" spans="1:7">
      <c r="A5986" t="s">
        <v>7589</v>
      </c>
      <c r="B5986" s="2">
        <v>46011</v>
      </c>
      <c r="C5986" t="s">
        <v>70</v>
      </c>
      <c r="D5986" t="s">
        <v>1629</v>
      </c>
      <c r="E5986">
        <v>412.08</v>
      </c>
      <c r="F5986" t="s">
        <v>1578</v>
      </c>
      <c r="G5986" t="s">
        <v>1550</v>
      </c>
    </row>
    <row r="5987" spans="1:7">
      <c r="A5987" t="s">
        <v>7590</v>
      </c>
      <c r="B5987" s="2">
        <v>46011</v>
      </c>
      <c r="C5987" t="s">
        <v>73</v>
      </c>
      <c r="D5987" t="s">
        <v>1629</v>
      </c>
      <c r="E5987">
        <v>416.16</v>
      </c>
      <c r="F5987" t="s">
        <v>1578</v>
      </c>
      <c r="G5987" t="s">
        <v>1550</v>
      </c>
    </row>
    <row r="5988" spans="1:7">
      <c r="A5988" t="s">
        <v>7591</v>
      </c>
      <c r="B5988" s="2">
        <v>46011</v>
      </c>
      <c r="C5988" t="s">
        <v>75</v>
      </c>
      <c r="D5988" t="s">
        <v>1629</v>
      </c>
      <c r="E5988">
        <v>412.08</v>
      </c>
      <c r="F5988" t="s">
        <v>1578</v>
      </c>
      <c r="G5988" t="s">
        <v>1550</v>
      </c>
    </row>
    <row r="5989" spans="1:7">
      <c r="A5989" t="s">
        <v>7592</v>
      </c>
      <c r="B5989" s="2">
        <v>46011</v>
      </c>
      <c r="C5989" t="s">
        <v>77</v>
      </c>
      <c r="D5989" t="s">
        <v>1629</v>
      </c>
      <c r="E5989">
        <v>412.08</v>
      </c>
      <c r="F5989" t="s">
        <v>1578</v>
      </c>
      <c r="G5989" t="s">
        <v>1550</v>
      </c>
    </row>
    <row r="5990" spans="1:7">
      <c r="A5990" t="s">
        <v>7593</v>
      </c>
      <c r="B5990" s="2">
        <v>46011</v>
      </c>
      <c r="C5990" t="s">
        <v>79</v>
      </c>
      <c r="D5990" t="s">
        <v>1629</v>
      </c>
      <c r="E5990">
        <v>416.16</v>
      </c>
      <c r="F5990" t="s">
        <v>1578</v>
      </c>
      <c r="G5990" t="s">
        <v>1550</v>
      </c>
    </row>
    <row r="5991" spans="1:7">
      <c r="A5991" t="s">
        <v>7594</v>
      </c>
      <c r="B5991" s="2">
        <v>46011</v>
      </c>
      <c r="C5991" t="s">
        <v>81</v>
      </c>
      <c r="D5991" t="s">
        <v>1629</v>
      </c>
      <c r="E5991">
        <v>824.16</v>
      </c>
      <c r="F5991" t="s">
        <v>1578</v>
      </c>
      <c r="G5991" t="s">
        <v>1550</v>
      </c>
    </row>
    <row r="5992" spans="1:7">
      <c r="A5992" t="s">
        <v>7595</v>
      </c>
      <c r="B5992" s="2">
        <v>46011</v>
      </c>
      <c r="C5992" t="s">
        <v>108</v>
      </c>
      <c r="D5992" t="s">
        <v>1629</v>
      </c>
      <c r="E5992">
        <v>828.24</v>
      </c>
      <c r="F5992" t="s">
        <v>1578</v>
      </c>
      <c r="G5992" t="s">
        <v>1550</v>
      </c>
    </row>
    <row r="5993" spans="1:7">
      <c r="A5993" t="s">
        <v>7596</v>
      </c>
      <c r="B5993" s="2">
        <v>46011</v>
      </c>
      <c r="C5993" t="s">
        <v>110</v>
      </c>
      <c r="D5993" t="s">
        <v>1629</v>
      </c>
      <c r="E5993">
        <v>416.16</v>
      </c>
      <c r="F5993" t="s">
        <v>1578</v>
      </c>
      <c r="G5993" t="s">
        <v>1550</v>
      </c>
    </row>
    <row r="5994" spans="1:7">
      <c r="A5994" t="s">
        <v>7597</v>
      </c>
      <c r="B5994" s="2">
        <v>46011</v>
      </c>
      <c r="C5994" t="s">
        <v>114</v>
      </c>
      <c r="D5994" t="s">
        <v>1629</v>
      </c>
      <c r="E5994">
        <v>412.08</v>
      </c>
      <c r="F5994" t="s">
        <v>1578</v>
      </c>
      <c r="G5994" t="s">
        <v>1550</v>
      </c>
    </row>
    <row r="5995" spans="1:7">
      <c r="A5995" t="s">
        <v>7598</v>
      </c>
      <c r="B5995" s="2">
        <v>46011</v>
      </c>
      <c r="C5995" t="s">
        <v>117</v>
      </c>
      <c r="D5995" t="s">
        <v>1629</v>
      </c>
      <c r="E5995">
        <v>410.04</v>
      </c>
      <c r="F5995" t="s">
        <v>1578</v>
      </c>
      <c r="G5995" t="s">
        <v>1550</v>
      </c>
    </row>
    <row r="5996" spans="1:7">
      <c r="A5996" t="s">
        <v>7599</v>
      </c>
      <c r="B5996" s="2">
        <v>46011</v>
      </c>
      <c r="C5996" t="s">
        <v>119</v>
      </c>
      <c r="D5996" t="s">
        <v>1629</v>
      </c>
      <c r="E5996">
        <v>412.08</v>
      </c>
      <c r="F5996" t="s">
        <v>1578</v>
      </c>
      <c r="G5996" t="s">
        <v>1550</v>
      </c>
    </row>
    <row r="5997" spans="1:7">
      <c r="A5997" t="s">
        <v>7600</v>
      </c>
      <c r="B5997" s="2">
        <v>46011</v>
      </c>
      <c r="C5997" t="s">
        <v>75</v>
      </c>
      <c r="D5997" t="s">
        <v>1629</v>
      </c>
      <c r="E5997">
        <v>332.29</v>
      </c>
      <c r="F5997" t="s">
        <v>1578</v>
      </c>
      <c r="G5997" t="s">
        <v>1551</v>
      </c>
    </row>
    <row r="5998" spans="1:7">
      <c r="A5998" t="s">
        <v>7601</v>
      </c>
      <c r="B5998" s="2">
        <v>46011</v>
      </c>
      <c r="C5998" t="s">
        <v>91</v>
      </c>
      <c r="D5998" t="s">
        <v>1629</v>
      </c>
      <c r="E5998">
        <v>337.22</v>
      </c>
      <c r="F5998" t="s">
        <v>1578</v>
      </c>
      <c r="G5998" t="s">
        <v>1551</v>
      </c>
    </row>
    <row r="5999" spans="1:7">
      <c r="A5999" t="s">
        <v>7602</v>
      </c>
      <c r="B5999" s="2">
        <v>46011</v>
      </c>
      <c r="C5999" t="s">
        <v>93</v>
      </c>
      <c r="D5999" t="s">
        <v>1629</v>
      </c>
      <c r="E5999">
        <v>335.58</v>
      </c>
      <c r="F5999" t="s">
        <v>1578</v>
      </c>
      <c r="G5999" t="s">
        <v>1551</v>
      </c>
    </row>
    <row r="6000" spans="1:7">
      <c r="A6000" t="s">
        <v>7603</v>
      </c>
      <c r="B6000" s="2">
        <v>46011</v>
      </c>
      <c r="C6000" t="s">
        <v>95</v>
      </c>
      <c r="D6000" t="s">
        <v>1629</v>
      </c>
      <c r="E6000">
        <v>333.93</v>
      </c>
      <c r="F6000" t="s">
        <v>1578</v>
      </c>
      <c r="G6000" t="s">
        <v>1551</v>
      </c>
    </row>
    <row r="6001" spans="1:7">
      <c r="A6001" t="s">
        <v>7604</v>
      </c>
      <c r="B6001" s="2">
        <v>46011</v>
      </c>
      <c r="C6001" t="s">
        <v>97</v>
      </c>
      <c r="D6001" t="s">
        <v>1629</v>
      </c>
      <c r="E6001">
        <v>332.29</v>
      </c>
      <c r="F6001" t="s">
        <v>1578</v>
      </c>
      <c r="G6001" t="s">
        <v>1551</v>
      </c>
    </row>
    <row r="6002" spans="1:7">
      <c r="A6002" t="s">
        <v>7605</v>
      </c>
      <c r="B6002" s="2">
        <v>46011</v>
      </c>
      <c r="C6002" t="s">
        <v>99</v>
      </c>
      <c r="D6002" t="s">
        <v>1629</v>
      </c>
      <c r="E6002">
        <v>169.44</v>
      </c>
      <c r="F6002" t="s">
        <v>1578</v>
      </c>
      <c r="G6002" t="s">
        <v>1551</v>
      </c>
    </row>
    <row r="6003" spans="1:7">
      <c r="A6003" t="s">
        <v>7606</v>
      </c>
      <c r="B6003" s="2">
        <v>46011</v>
      </c>
      <c r="C6003" t="s">
        <v>102</v>
      </c>
      <c r="D6003" t="s">
        <v>1629</v>
      </c>
      <c r="E6003">
        <v>335.58</v>
      </c>
      <c r="F6003" t="s">
        <v>1578</v>
      </c>
      <c r="G6003" t="s">
        <v>1551</v>
      </c>
    </row>
    <row r="6004" spans="1:7">
      <c r="A6004" t="s">
        <v>7607</v>
      </c>
      <c r="B6004" s="2">
        <v>46011</v>
      </c>
      <c r="C6004" t="s">
        <v>108</v>
      </c>
      <c r="D6004" t="s">
        <v>1629</v>
      </c>
      <c r="E6004">
        <v>667.87</v>
      </c>
      <c r="F6004" t="s">
        <v>1578</v>
      </c>
      <c r="G6004" t="s">
        <v>1551</v>
      </c>
    </row>
    <row r="6005" spans="1:7">
      <c r="A6005" t="s">
        <v>7608</v>
      </c>
      <c r="B6005" s="2">
        <v>46011</v>
      </c>
      <c r="C6005" t="s">
        <v>110</v>
      </c>
      <c r="D6005" t="s">
        <v>1629</v>
      </c>
      <c r="E6005">
        <v>335.58</v>
      </c>
      <c r="F6005" t="s">
        <v>1578</v>
      </c>
      <c r="G6005" t="s">
        <v>1551</v>
      </c>
    </row>
    <row r="6006" spans="1:7">
      <c r="A6006" t="s">
        <v>7609</v>
      </c>
      <c r="B6006" s="2">
        <v>46011</v>
      </c>
      <c r="C6006" t="s">
        <v>114</v>
      </c>
      <c r="D6006" t="s">
        <v>1629</v>
      </c>
      <c r="E6006">
        <v>332.29</v>
      </c>
      <c r="F6006" t="s">
        <v>1578</v>
      </c>
      <c r="G6006" t="s">
        <v>1551</v>
      </c>
    </row>
    <row r="6007" spans="1:7">
      <c r="A6007" t="s">
        <v>7610</v>
      </c>
      <c r="B6007" s="2">
        <v>46011</v>
      </c>
      <c r="C6007" t="s">
        <v>117</v>
      </c>
      <c r="D6007" t="s">
        <v>1629</v>
      </c>
      <c r="E6007">
        <v>330.64</v>
      </c>
      <c r="F6007" t="s">
        <v>1578</v>
      </c>
      <c r="G6007" t="s">
        <v>1551</v>
      </c>
    </row>
    <row r="6008" spans="1:7">
      <c r="A6008" t="s">
        <v>7611</v>
      </c>
      <c r="B6008" s="2">
        <v>46011</v>
      </c>
      <c r="C6008" t="s">
        <v>119</v>
      </c>
      <c r="D6008" t="s">
        <v>1629</v>
      </c>
      <c r="E6008">
        <v>332.29</v>
      </c>
      <c r="F6008" t="s">
        <v>1578</v>
      </c>
      <c r="G6008" t="s">
        <v>1551</v>
      </c>
    </row>
    <row r="6009" spans="1:7">
      <c r="A6009" t="s">
        <v>7612</v>
      </c>
      <c r="B6009" s="2">
        <v>46011</v>
      </c>
      <c r="C6009" t="s">
        <v>75</v>
      </c>
      <c r="D6009" t="s">
        <v>1629</v>
      </c>
      <c r="E6009">
        <v>268.66000000000003</v>
      </c>
      <c r="F6009" t="s">
        <v>1578</v>
      </c>
      <c r="G6009" t="s">
        <v>1552</v>
      </c>
    </row>
    <row r="6010" spans="1:7">
      <c r="A6010" t="s">
        <v>7613</v>
      </c>
      <c r="B6010" s="2">
        <v>46011</v>
      </c>
      <c r="C6010" t="s">
        <v>104</v>
      </c>
      <c r="D6010" t="s">
        <v>1629</v>
      </c>
      <c r="E6010">
        <v>547.96</v>
      </c>
      <c r="F6010" t="s">
        <v>1578</v>
      </c>
      <c r="G6010" t="s">
        <v>1552</v>
      </c>
    </row>
    <row r="6011" spans="1:7">
      <c r="A6011" t="s">
        <v>7614</v>
      </c>
      <c r="B6011" s="2">
        <v>46011</v>
      </c>
      <c r="C6011" t="s">
        <v>108</v>
      </c>
      <c r="D6011" t="s">
        <v>1629</v>
      </c>
      <c r="E6011">
        <v>539.98</v>
      </c>
      <c r="F6011" t="s">
        <v>1578</v>
      </c>
      <c r="G6011" t="s">
        <v>1552</v>
      </c>
    </row>
    <row r="6012" spans="1:7">
      <c r="A6012" t="s">
        <v>7615</v>
      </c>
      <c r="B6012" s="2">
        <v>46011</v>
      </c>
      <c r="C6012" t="s">
        <v>110</v>
      </c>
      <c r="D6012" t="s">
        <v>1629</v>
      </c>
      <c r="E6012">
        <v>271.32</v>
      </c>
      <c r="F6012" t="s">
        <v>1578</v>
      </c>
      <c r="G6012" t="s">
        <v>1552</v>
      </c>
    </row>
    <row r="6013" spans="1:7">
      <c r="A6013" t="s">
        <v>7616</v>
      </c>
      <c r="B6013" s="2">
        <v>46011</v>
      </c>
      <c r="C6013" t="s">
        <v>114</v>
      </c>
      <c r="D6013" t="s">
        <v>1629</v>
      </c>
      <c r="E6013">
        <v>268.66000000000003</v>
      </c>
      <c r="F6013" t="s">
        <v>1578</v>
      </c>
      <c r="G6013" t="s">
        <v>1552</v>
      </c>
    </row>
    <row r="6014" spans="1:7">
      <c r="A6014" t="s">
        <v>7617</v>
      </c>
      <c r="B6014" s="2">
        <v>46011</v>
      </c>
      <c r="C6014" t="s">
        <v>117</v>
      </c>
      <c r="D6014" t="s">
        <v>1629</v>
      </c>
      <c r="E6014">
        <v>267.33</v>
      </c>
      <c r="F6014" t="s">
        <v>1578</v>
      </c>
      <c r="G6014" t="s">
        <v>1552</v>
      </c>
    </row>
    <row r="6015" spans="1:7">
      <c r="A6015" t="s">
        <v>7618</v>
      </c>
      <c r="B6015" s="2">
        <v>46011</v>
      </c>
      <c r="C6015" t="s">
        <v>119</v>
      </c>
      <c r="D6015" t="s">
        <v>1629</v>
      </c>
      <c r="E6015">
        <v>268.66000000000003</v>
      </c>
      <c r="F6015" t="s">
        <v>1578</v>
      </c>
      <c r="G6015" t="s">
        <v>1552</v>
      </c>
    </row>
    <row r="6016" spans="1:7">
      <c r="A6016" t="s">
        <v>7619</v>
      </c>
      <c r="B6016" s="2">
        <v>46012</v>
      </c>
      <c r="C6016" t="s">
        <v>75</v>
      </c>
      <c r="D6016" t="s">
        <v>1629</v>
      </c>
      <c r="E6016">
        <v>224.22</v>
      </c>
      <c r="F6016" t="s">
        <v>1578</v>
      </c>
      <c r="G6016" t="s">
        <v>1553</v>
      </c>
    </row>
    <row r="6017" spans="1:7">
      <c r="A6017" t="s">
        <v>7620</v>
      </c>
      <c r="B6017" s="2">
        <v>46012</v>
      </c>
      <c r="C6017" t="s">
        <v>106</v>
      </c>
      <c r="D6017" t="s">
        <v>1629</v>
      </c>
      <c r="E6017">
        <v>228.66</v>
      </c>
      <c r="F6017" t="s">
        <v>1578</v>
      </c>
      <c r="G6017" t="s">
        <v>1553</v>
      </c>
    </row>
    <row r="6018" spans="1:7">
      <c r="A6018" t="s">
        <v>7621</v>
      </c>
      <c r="B6018" s="2">
        <v>46012</v>
      </c>
      <c r="C6018" t="s">
        <v>108</v>
      </c>
      <c r="D6018" t="s">
        <v>1629</v>
      </c>
      <c r="E6018">
        <v>450.66</v>
      </c>
      <c r="F6018" t="s">
        <v>1578</v>
      </c>
      <c r="G6018" t="s">
        <v>1553</v>
      </c>
    </row>
    <row r="6019" spans="1:7">
      <c r="A6019" t="s">
        <v>7622</v>
      </c>
      <c r="B6019" s="2">
        <v>46012</v>
      </c>
      <c r="C6019" t="s">
        <v>110</v>
      </c>
      <c r="D6019" t="s">
        <v>1629</v>
      </c>
      <c r="E6019">
        <v>226.44</v>
      </c>
      <c r="F6019" t="s">
        <v>1578</v>
      </c>
      <c r="G6019" t="s">
        <v>1553</v>
      </c>
    </row>
    <row r="6020" spans="1:7">
      <c r="A6020" t="s">
        <v>7623</v>
      </c>
      <c r="B6020" s="2">
        <v>46012</v>
      </c>
      <c r="C6020" t="s">
        <v>114</v>
      </c>
      <c r="D6020" t="s">
        <v>1629</v>
      </c>
      <c r="E6020">
        <v>224.22</v>
      </c>
      <c r="F6020" t="s">
        <v>1578</v>
      </c>
      <c r="G6020" t="s">
        <v>1553</v>
      </c>
    </row>
    <row r="6021" spans="1:7">
      <c r="A6021" t="s">
        <v>7624</v>
      </c>
      <c r="B6021" s="2">
        <v>46012</v>
      </c>
      <c r="C6021" t="s">
        <v>117</v>
      </c>
      <c r="D6021" t="s">
        <v>1629</v>
      </c>
      <c r="E6021">
        <v>223.11</v>
      </c>
      <c r="F6021" t="s">
        <v>1578</v>
      </c>
      <c r="G6021" t="s">
        <v>1553</v>
      </c>
    </row>
    <row r="6022" spans="1:7">
      <c r="A6022" t="s">
        <v>7625</v>
      </c>
      <c r="B6022" s="2">
        <v>46012</v>
      </c>
      <c r="C6022" t="s">
        <v>119</v>
      </c>
      <c r="D6022" t="s">
        <v>1629</v>
      </c>
      <c r="E6022">
        <v>224.22</v>
      </c>
      <c r="F6022" t="s">
        <v>1578</v>
      </c>
      <c r="G6022" t="s">
        <v>1553</v>
      </c>
    </row>
    <row r="6023" spans="1:7">
      <c r="A6023" t="s">
        <v>7626</v>
      </c>
      <c r="B6023" s="2">
        <v>46012</v>
      </c>
      <c r="C6023" t="s">
        <v>91</v>
      </c>
      <c r="D6023" t="s">
        <v>1683</v>
      </c>
      <c r="E6023">
        <v>260</v>
      </c>
      <c r="F6023" t="s">
        <v>1578</v>
      </c>
      <c r="G6023" t="s">
        <v>1034</v>
      </c>
    </row>
    <row r="6024" spans="1:7">
      <c r="A6024" t="s">
        <v>7627</v>
      </c>
      <c r="B6024" s="2">
        <v>46012</v>
      </c>
      <c r="C6024" t="s">
        <v>93</v>
      </c>
      <c r="D6024" t="s">
        <v>1683</v>
      </c>
      <c r="E6024">
        <v>261</v>
      </c>
      <c r="F6024" t="s">
        <v>1578</v>
      </c>
      <c r="G6024" t="s">
        <v>1035</v>
      </c>
    </row>
    <row r="6025" spans="1:7">
      <c r="A6025" t="s">
        <v>7628</v>
      </c>
      <c r="B6025" s="2">
        <v>46012</v>
      </c>
      <c r="C6025" t="s">
        <v>114</v>
      </c>
      <c r="D6025" t="s">
        <v>1683</v>
      </c>
      <c r="E6025">
        <v>154</v>
      </c>
      <c r="F6025" t="s">
        <v>1578</v>
      </c>
      <c r="G6025" t="s">
        <v>1036</v>
      </c>
    </row>
    <row r="6026" spans="1:7">
      <c r="A6026" t="s">
        <v>7629</v>
      </c>
      <c r="B6026" s="2">
        <v>46012</v>
      </c>
      <c r="C6026" t="s">
        <v>87</v>
      </c>
      <c r="D6026" t="s">
        <v>1683</v>
      </c>
      <c r="E6026">
        <v>224</v>
      </c>
      <c r="F6026" t="s">
        <v>1578</v>
      </c>
      <c r="G6026" t="s">
        <v>1037</v>
      </c>
    </row>
    <row r="6027" spans="1:7">
      <c r="A6027" t="s">
        <v>7630</v>
      </c>
      <c r="B6027" s="2">
        <v>46013</v>
      </c>
      <c r="C6027" t="s">
        <v>61</v>
      </c>
      <c r="D6027" t="s">
        <v>1629</v>
      </c>
      <c r="E6027">
        <v>423.3</v>
      </c>
      <c r="F6027" t="s">
        <v>1578</v>
      </c>
      <c r="G6027" t="s">
        <v>1554</v>
      </c>
    </row>
    <row r="6028" spans="1:7">
      <c r="A6028" t="s">
        <v>7631</v>
      </c>
      <c r="B6028" s="2">
        <v>46013</v>
      </c>
      <c r="C6028" t="s">
        <v>65</v>
      </c>
      <c r="D6028" t="s">
        <v>1629</v>
      </c>
      <c r="E6028">
        <v>421.22</v>
      </c>
      <c r="F6028" t="s">
        <v>1578</v>
      </c>
      <c r="G6028" t="s">
        <v>1554</v>
      </c>
    </row>
    <row r="6029" spans="1:7">
      <c r="A6029" t="s">
        <v>7632</v>
      </c>
      <c r="B6029" s="2">
        <v>46013</v>
      </c>
      <c r="C6029" t="s">
        <v>68</v>
      </c>
      <c r="D6029" t="s">
        <v>1629</v>
      </c>
      <c r="E6029">
        <v>423.3</v>
      </c>
      <c r="F6029" t="s">
        <v>1578</v>
      </c>
      <c r="G6029" t="s">
        <v>1554</v>
      </c>
    </row>
    <row r="6030" spans="1:7">
      <c r="A6030" t="s">
        <v>7633</v>
      </c>
      <c r="B6030" s="2">
        <v>46013</v>
      </c>
      <c r="C6030" t="s">
        <v>70</v>
      </c>
      <c r="D6030" t="s">
        <v>1629</v>
      </c>
      <c r="E6030">
        <v>419.15</v>
      </c>
      <c r="F6030" t="s">
        <v>1578</v>
      </c>
      <c r="G6030" t="s">
        <v>1554</v>
      </c>
    </row>
    <row r="6031" spans="1:7">
      <c r="A6031" t="s">
        <v>7634</v>
      </c>
      <c r="B6031" s="2">
        <v>46013</v>
      </c>
      <c r="C6031" t="s">
        <v>73</v>
      </c>
      <c r="D6031" t="s">
        <v>1629</v>
      </c>
      <c r="E6031">
        <v>423.3</v>
      </c>
      <c r="F6031" t="s">
        <v>1578</v>
      </c>
      <c r="G6031" t="s">
        <v>1554</v>
      </c>
    </row>
    <row r="6032" spans="1:7">
      <c r="A6032" t="s">
        <v>7635</v>
      </c>
      <c r="B6032" s="2">
        <v>46013</v>
      </c>
      <c r="C6032" t="s">
        <v>75</v>
      </c>
      <c r="D6032" t="s">
        <v>1629</v>
      </c>
      <c r="E6032">
        <v>419.15</v>
      </c>
      <c r="F6032" t="s">
        <v>1578</v>
      </c>
      <c r="G6032" t="s">
        <v>1554</v>
      </c>
    </row>
    <row r="6033" spans="1:7">
      <c r="A6033" t="s">
        <v>7636</v>
      </c>
      <c r="B6033" s="2">
        <v>46013</v>
      </c>
      <c r="C6033" t="s">
        <v>77</v>
      </c>
      <c r="D6033" t="s">
        <v>1629</v>
      </c>
      <c r="E6033">
        <v>419.15</v>
      </c>
      <c r="F6033" t="s">
        <v>1578</v>
      </c>
      <c r="G6033" t="s">
        <v>1554</v>
      </c>
    </row>
    <row r="6034" spans="1:7">
      <c r="A6034" t="s">
        <v>7637</v>
      </c>
      <c r="B6034" s="2">
        <v>46013</v>
      </c>
      <c r="C6034" t="s">
        <v>79</v>
      </c>
      <c r="D6034" t="s">
        <v>1629</v>
      </c>
      <c r="E6034">
        <v>423.3</v>
      </c>
      <c r="F6034" t="s">
        <v>1578</v>
      </c>
      <c r="G6034" t="s">
        <v>1554</v>
      </c>
    </row>
    <row r="6035" spans="1:7">
      <c r="A6035" t="s">
        <v>7638</v>
      </c>
      <c r="B6035" s="2">
        <v>46013</v>
      </c>
      <c r="C6035" t="s">
        <v>81</v>
      </c>
      <c r="D6035" t="s">
        <v>1629</v>
      </c>
      <c r="E6035">
        <v>838.3</v>
      </c>
      <c r="F6035" t="s">
        <v>1578</v>
      </c>
      <c r="G6035" t="s">
        <v>1554</v>
      </c>
    </row>
    <row r="6036" spans="1:7">
      <c r="A6036" t="s">
        <v>7639</v>
      </c>
      <c r="B6036" s="2">
        <v>46013</v>
      </c>
      <c r="C6036" t="s">
        <v>108</v>
      </c>
      <c r="D6036" t="s">
        <v>1629</v>
      </c>
      <c r="E6036">
        <v>842.45</v>
      </c>
      <c r="F6036" t="s">
        <v>1578</v>
      </c>
      <c r="G6036" t="s">
        <v>1554</v>
      </c>
    </row>
    <row r="6037" spans="1:7">
      <c r="A6037" t="s">
        <v>7640</v>
      </c>
      <c r="B6037" s="2">
        <v>46013</v>
      </c>
      <c r="C6037" t="s">
        <v>110</v>
      </c>
      <c r="D6037" t="s">
        <v>1629</v>
      </c>
      <c r="E6037">
        <v>423.3</v>
      </c>
      <c r="F6037" t="s">
        <v>1578</v>
      </c>
      <c r="G6037" t="s">
        <v>1554</v>
      </c>
    </row>
    <row r="6038" spans="1:7">
      <c r="A6038" t="s">
        <v>7641</v>
      </c>
      <c r="B6038" s="2">
        <v>46013</v>
      </c>
      <c r="C6038" t="s">
        <v>114</v>
      </c>
      <c r="D6038" t="s">
        <v>1629</v>
      </c>
      <c r="E6038">
        <v>419.15</v>
      </c>
      <c r="F6038" t="s">
        <v>1578</v>
      </c>
      <c r="G6038" t="s">
        <v>1554</v>
      </c>
    </row>
    <row r="6039" spans="1:7">
      <c r="A6039" t="s">
        <v>7642</v>
      </c>
      <c r="B6039" s="2">
        <v>46013</v>
      </c>
      <c r="C6039" t="s">
        <v>117</v>
      </c>
      <c r="D6039" t="s">
        <v>1629</v>
      </c>
      <c r="E6039">
        <v>417.07</v>
      </c>
      <c r="F6039" t="s">
        <v>1578</v>
      </c>
      <c r="G6039" t="s">
        <v>1554</v>
      </c>
    </row>
    <row r="6040" spans="1:7">
      <c r="A6040" t="s">
        <v>7643</v>
      </c>
      <c r="B6040" s="2">
        <v>46013</v>
      </c>
      <c r="C6040" t="s">
        <v>119</v>
      </c>
      <c r="D6040" t="s">
        <v>1629</v>
      </c>
      <c r="E6040">
        <v>419.15</v>
      </c>
      <c r="F6040" t="s">
        <v>1578</v>
      </c>
      <c r="G6040" t="s">
        <v>1554</v>
      </c>
    </row>
    <row r="6041" spans="1:7">
      <c r="A6041" t="s">
        <v>7644</v>
      </c>
      <c r="B6041" s="2">
        <v>46013</v>
      </c>
      <c r="C6041" t="s">
        <v>75</v>
      </c>
      <c r="D6041" t="s">
        <v>1629</v>
      </c>
      <c r="E6041">
        <v>222.2</v>
      </c>
      <c r="F6041" t="s">
        <v>1578</v>
      </c>
      <c r="G6041" t="s">
        <v>1555</v>
      </c>
    </row>
    <row r="6042" spans="1:7">
      <c r="A6042" t="s">
        <v>7645</v>
      </c>
      <c r="B6042" s="2">
        <v>46013</v>
      </c>
      <c r="C6042" t="s">
        <v>91</v>
      </c>
      <c r="D6042" t="s">
        <v>1629</v>
      </c>
      <c r="E6042">
        <v>225.5</v>
      </c>
      <c r="F6042" t="s">
        <v>1578</v>
      </c>
      <c r="G6042" t="s">
        <v>1555</v>
      </c>
    </row>
    <row r="6043" spans="1:7">
      <c r="A6043" t="s">
        <v>7646</v>
      </c>
      <c r="B6043" s="2">
        <v>46013</v>
      </c>
      <c r="C6043" t="s">
        <v>93</v>
      </c>
      <c r="D6043" t="s">
        <v>1629</v>
      </c>
      <c r="E6043">
        <v>224.4</v>
      </c>
      <c r="F6043" t="s">
        <v>1578</v>
      </c>
      <c r="G6043" t="s">
        <v>1555</v>
      </c>
    </row>
    <row r="6044" spans="1:7">
      <c r="A6044" t="s">
        <v>7647</v>
      </c>
      <c r="B6044" s="2">
        <v>46013</v>
      </c>
      <c r="C6044" t="s">
        <v>95</v>
      </c>
      <c r="D6044" t="s">
        <v>1629</v>
      </c>
      <c r="E6044">
        <v>223.3</v>
      </c>
      <c r="F6044" t="s">
        <v>1578</v>
      </c>
      <c r="G6044" t="s">
        <v>1555</v>
      </c>
    </row>
    <row r="6045" spans="1:7">
      <c r="A6045" t="s">
        <v>7648</v>
      </c>
      <c r="B6045" s="2">
        <v>46013</v>
      </c>
      <c r="C6045" t="s">
        <v>97</v>
      </c>
      <c r="D6045" t="s">
        <v>1629</v>
      </c>
      <c r="E6045">
        <v>222.2</v>
      </c>
      <c r="F6045" t="s">
        <v>1578</v>
      </c>
      <c r="G6045" t="s">
        <v>1555</v>
      </c>
    </row>
    <row r="6046" spans="1:7">
      <c r="A6046" t="s">
        <v>7649</v>
      </c>
      <c r="B6046" s="2">
        <v>46013</v>
      </c>
      <c r="C6046" t="s">
        <v>99</v>
      </c>
      <c r="D6046" t="s">
        <v>1629</v>
      </c>
      <c r="E6046">
        <v>271.92</v>
      </c>
      <c r="F6046" t="s">
        <v>1578</v>
      </c>
      <c r="G6046" t="s">
        <v>1555</v>
      </c>
    </row>
    <row r="6047" spans="1:7">
      <c r="A6047" t="s">
        <v>7650</v>
      </c>
      <c r="B6047" s="2">
        <v>46013</v>
      </c>
      <c r="C6047" t="s">
        <v>102</v>
      </c>
      <c r="D6047" t="s">
        <v>1629</v>
      </c>
      <c r="E6047">
        <v>224.4</v>
      </c>
      <c r="F6047" t="s">
        <v>1578</v>
      </c>
      <c r="G6047" t="s">
        <v>1555</v>
      </c>
    </row>
    <row r="6048" spans="1:7">
      <c r="A6048" t="s">
        <v>7651</v>
      </c>
      <c r="B6048" s="2">
        <v>46013</v>
      </c>
      <c r="C6048" t="s">
        <v>108</v>
      </c>
      <c r="D6048" t="s">
        <v>1629</v>
      </c>
      <c r="E6048">
        <v>446.6</v>
      </c>
      <c r="F6048" t="s">
        <v>1578</v>
      </c>
      <c r="G6048" t="s">
        <v>1555</v>
      </c>
    </row>
    <row r="6049" spans="1:7">
      <c r="A6049" t="s">
        <v>7652</v>
      </c>
      <c r="B6049" s="2">
        <v>46013</v>
      </c>
      <c r="C6049" t="s">
        <v>110</v>
      </c>
      <c r="D6049" t="s">
        <v>1629</v>
      </c>
      <c r="E6049">
        <v>224.4</v>
      </c>
      <c r="F6049" t="s">
        <v>1578</v>
      </c>
      <c r="G6049" t="s">
        <v>1555</v>
      </c>
    </row>
    <row r="6050" spans="1:7">
      <c r="A6050" t="s">
        <v>7653</v>
      </c>
      <c r="B6050" s="2">
        <v>46013</v>
      </c>
      <c r="C6050" t="s">
        <v>114</v>
      </c>
      <c r="D6050" t="s">
        <v>1629</v>
      </c>
      <c r="E6050">
        <v>222.2</v>
      </c>
      <c r="F6050" t="s">
        <v>1578</v>
      </c>
      <c r="G6050" t="s">
        <v>1555</v>
      </c>
    </row>
    <row r="6051" spans="1:7">
      <c r="A6051" t="s">
        <v>7654</v>
      </c>
      <c r="B6051" s="2">
        <v>46013</v>
      </c>
      <c r="C6051" t="s">
        <v>117</v>
      </c>
      <c r="D6051" t="s">
        <v>1629</v>
      </c>
      <c r="E6051">
        <v>221.1</v>
      </c>
      <c r="F6051" t="s">
        <v>1578</v>
      </c>
      <c r="G6051" t="s">
        <v>1555</v>
      </c>
    </row>
    <row r="6052" spans="1:7">
      <c r="A6052" t="s">
        <v>7655</v>
      </c>
      <c r="B6052" s="2">
        <v>46013</v>
      </c>
      <c r="C6052" t="s">
        <v>119</v>
      </c>
      <c r="D6052" t="s">
        <v>1629</v>
      </c>
      <c r="E6052">
        <v>222.2</v>
      </c>
      <c r="F6052" t="s">
        <v>1578</v>
      </c>
      <c r="G6052" t="s">
        <v>1555</v>
      </c>
    </row>
    <row r="6053" spans="1:7">
      <c r="A6053" t="s">
        <v>7656</v>
      </c>
      <c r="B6053" s="2">
        <v>46013</v>
      </c>
      <c r="C6053" t="s">
        <v>61</v>
      </c>
      <c r="D6053" t="s">
        <v>1629</v>
      </c>
      <c r="E6053">
        <v>447.78</v>
      </c>
      <c r="F6053" t="s">
        <v>1578</v>
      </c>
      <c r="G6053" t="s">
        <v>1556</v>
      </c>
    </row>
    <row r="6054" spans="1:7">
      <c r="A6054" t="s">
        <v>7657</v>
      </c>
      <c r="B6054" s="2">
        <v>46013</v>
      </c>
      <c r="C6054" t="s">
        <v>65</v>
      </c>
      <c r="D6054" t="s">
        <v>1629</v>
      </c>
      <c r="E6054">
        <v>445.58</v>
      </c>
      <c r="F6054" t="s">
        <v>1578</v>
      </c>
      <c r="G6054" t="s">
        <v>1556</v>
      </c>
    </row>
    <row r="6055" spans="1:7">
      <c r="A6055" t="s">
        <v>7658</v>
      </c>
      <c r="B6055" s="2">
        <v>46013</v>
      </c>
      <c r="C6055" t="s">
        <v>68</v>
      </c>
      <c r="D6055" t="s">
        <v>1629</v>
      </c>
      <c r="E6055">
        <v>447.78</v>
      </c>
      <c r="F6055" t="s">
        <v>1578</v>
      </c>
      <c r="G6055" t="s">
        <v>1556</v>
      </c>
    </row>
    <row r="6056" spans="1:7">
      <c r="A6056" t="s">
        <v>7659</v>
      </c>
      <c r="B6056" s="2">
        <v>46013</v>
      </c>
      <c r="C6056" t="s">
        <v>70</v>
      </c>
      <c r="D6056" t="s">
        <v>1629</v>
      </c>
      <c r="E6056">
        <v>443.39</v>
      </c>
      <c r="F6056" t="s">
        <v>1578</v>
      </c>
      <c r="G6056" t="s">
        <v>1556</v>
      </c>
    </row>
    <row r="6057" spans="1:7">
      <c r="A6057" t="s">
        <v>7660</v>
      </c>
      <c r="B6057" s="2">
        <v>46013</v>
      </c>
      <c r="C6057" t="s">
        <v>75</v>
      </c>
      <c r="D6057" t="s">
        <v>1629</v>
      </c>
      <c r="E6057">
        <v>443.39</v>
      </c>
      <c r="F6057" t="s">
        <v>1578</v>
      </c>
      <c r="G6057" t="s">
        <v>1556</v>
      </c>
    </row>
    <row r="6058" spans="1:7">
      <c r="A6058" t="s">
        <v>7661</v>
      </c>
      <c r="B6058" s="2">
        <v>46013</v>
      </c>
      <c r="C6058" t="s">
        <v>77</v>
      </c>
      <c r="D6058" t="s">
        <v>1629</v>
      </c>
      <c r="E6058">
        <v>443.39</v>
      </c>
      <c r="F6058" t="s">
        <v>1578</v>
      </c>
      <c r="G6058" t="s">
        <v>1556</v>
      </c>
    </row>
    <row r="6059" spans="1:7">
      <c r="A6059" t="s">
        <v>7662</v>
      </c>
      <c r="B6059" s="2">
        <v>46013</v>
      </c>
      <c r="C6059" t="s">
        <v>79</v>
      </c>
      <c r="D6059" t="s">
        <v>1629</v>
      </c>
      <c r="E6059">
        <v>447.78</v>
      </c>
      <c r="F6059" t="s">
        <v>1578</v>
      </c>
      <c r="G6059" t="s">
        <v>1556</v>
      </c>
    </row>
    <row r="6060" spans="1:7">
      <c r="A6060" t="s">
        <v>7663</v>
      </c>
      <c r="B6060" s="2">
        <v>46013</v>
      </c>
      <c r="C6060" t="s">
        <v>81</v>
      </c>
      <c r="D6060" t="s">
        <v>1629</v>
      </c>
      <c r="E6060">
        <v>886.78</v>
      </c>
      <c r="F6060" t="s">
        <v>1578</v>
      </c>
      <c r="G6060" t="s">
        <v>1556</v>
      </c>
    </row>
    <row r="6061" spans="1:7">
      <c r="A6061" t="s">
        <v>7664</v>
      </c>
      <c r="B6061" s="2">
        <v>46013</v>
      </c>
      <c r="C6061" t="s">
        <v>110</v>
      </c>
      <c r="D6061" t="s">
        <v>1629</v>
      </c>
      <c r="E6061">
        <v>447.78</v>
      </c>
      <c r="F6061" t="s">
        <v>1578</v>
      </c>
      <c r="G6061" t="s">
        <v>1556</v>
      </c>
    </row>
    <row r="6062" spans="1:7">
      <c r="A6062" t="s">
        <v>7665</v>
      </c>
      <c r="B6062" s="2">
        <v>46013</v>
      </c>
      <c r="C6062" t="s">
        <v>114</v>
      </c>
      <c r="D6062" t="s">
        <v>1629</v>
      </c>
      <c r="E6062">
        <v>443.39</v>
      </c>
      <c r="F6062" t="s">
        <v>1578</v>
      </c>
      <c r="G6062" t="s">
        <v>1556</v>
      </c>
    </row>
    <row r="6063" spans="1:7">
      <c r="A6063" t="s">
        <v>7666</v>
      </c>
      <c r="B6063" s="2">
        <v>46013</v>
      </c>
      <c r="C6063" t="s">
        <v>117</v>
      </c>
      <c r="D6063" t="s">
        <v>1629</v>
      </c>
      <c r="E6063">
        <v>441.19</v>
      </c>
      <c r="F6063" t="s">
        <v>1578</v>
      </c>
      <c r="G6063" t="s">
        <v>1556</v>
      </c>
    </row>
    <row r="6064" spans="1:7">
      <c r="A6064" t="s">
        <v>7667</v>
      </c>
      <c r="B6064" s="2">
        <v>46013</v>
      </c>
      <c r="C6064" t="s">
        <v>119</v>
      </c>
      <c r="D6064" t="s">
        <v>1629</v>
      </c>
      <c r="E6064">
        <v>443.39</v>
      </c>
      <c r="F6064" t="s">
        <v>1578</v>
      </c>
      <c r="G6064" t="s">
        <v>1556</v>
      </c>
    </row>
    <row r="6065" spans="1:7">
      <c r="A6065" t="s">
        <v>7668</v>
      </c>
      <c r="B6065" s="2">
        <v>46013</v>
      </c>
      <c r="C6065" t="s">
        <v>61</v>
      </c>
      <c r="D6065" t="s">
        <v>1629</v>
      </c>
      <c r="E6065">
        <v>274.38</v>
      </c>
      <c r="F6065" t="s">
        <v>1578</v>
      </c>
      <c r="G6065" t="s">
        <v>1557</v>
      </c>
    </row>
    <row r="6066" spans="1:7">
      <c r="A6066" t="s">
        <v>7669</v>
      </c>
      <c r="B6066" s="2">
        <v>46013</v>
      </c>
      <c r="C6066" t="s">
        <v>65</v>
      </c>
      <c r="D6066" t="s">
        <v>1629</v>
      </c>
      <c r="E6066">
        <v>273.02999999999997</v>
      </c>
      <c r="F6066" t="s">
        <v>1578</v>
      </c>
      <c r="G6066" t="s">
        <v>1557</v>
      </c>
    </row>
    <row r="6067" spans="1:7">
      <c r="A6067" t="s">
        <v>7670</v>
      </c>
      <c r="B6067" s="2">
        <v>46013</v>
      </c>
      <c r="C6067" t="s">
        <v>68</v>
      </c>
      <c r="D6067" t="s">
        <v>1629</v>
      </c>
      <c r="E6067">
        <v>274.38</v>
      </c>
      <c r="F6067" t="s">
        <v>1578</v>
      </c>
      <c r="G6067" t="s">
        <v>1557</v>
      </c>
    </row>
    <row r="6068" spans="1:7">
      <c r="A6068" t="s">
        <v>7671</v>
      </c>
      <c r="B6068" s="2">
        <v>46013</v>
      </c>
      <c r="C6068" t="s">
        <v>70</v>
      </c>
      <c r="D6068" t="s">
        <v>1629</v>
      </c>
      <c r="E6068">
        <v>271.69</v>
      </c>
      <c r="F6068" t="s">
        <v>1578</v>
      </c>
      <c r="G6068" t="s">
        <v>1557</v>
      </c>
    </row>
    <row r="6069" spans="1:7">
      <c r="A6069" t="s">
        <v>7672</v>
      </c>
      <c r="B6069" s="2">
        <v>46013</v>
      </c>
      <c r="C6069" t="s">
        <v>75</v>
      </c>
      <c r="D6069" t="s">
        <v>1629</v>
      </c>
      <c r="E6069">
        <v>271.69</v>
      </c>
      <c r="F6069" t="s">
        <v>1578</v>
      </c>
      <c r="G6069" t="s">
        <v>1557</v>
      </c>
    </row>
    <row r="6070" spans="1:7">
      <c r="A6070" t="s">
        <v>7673</v>
      </c>
      <c r="B6070" s="2">
        <v>46013</v>
      </c>
      <c r="C6070" t="s">
        <v>77</v>
      </c>
      <c r="D6070" t="s">
        <v>1629</v>
      </c>
      <c r="E6070">
        <v>271.69</v>
      </c>
      <c r="F6070" t="s">
        <v>1578</v>
      </c>
      <c r="G6070" t="s">
        <v>1557</v>
      </c>
    </row>
    <row r="6071" spans="1:7">
      <c r="A6071" t="s">
        <v>7674</v>
      </c>
      <c r="B6071" s="2">
        <v>46013</v>
      </c>
      <c r="C6071" t="s">
        <v>79</v>
      </c>
      <c r="D6071" t="s">
        <v>1629</v>
      </c>
      <c r="E6071">
        <v>274.38</v>
      </c>
      <c r="F6071" t="s">
        <v>1578</v>
      </c>
      <c r="G6071" t="s">
        <v>1557</v>
      </c>
    </row>
    <row r="6072" spans="1:7">
      <c r="A6072" t="s">
        <v>7675</v>
      </c>
      <c r="B6072" s="2">
        <v>46013</v>
      </c>
      <c r="C6072" t="s">
        <v>81</v>
      </c>
      <c r="D6072" t="s">
        <v>1629</v>
      </c>
      <c r="E6072">
        <v>543.38</v>
      </c>
      <c r="F6072" t="s">
        <v>1578</v>
      </c>
      <c r="G6072" t="s">
        <v>1557</v>
      </c>
    </row>
    <row r="6073" spans="1:7">
      <c r="A6073" t="s">
        <v>7676</v>
      </c>
      <c r="B6073" s="2">
        <v>46013</v>
      </c>
      <c r="C6073" t="s">
        <v>110</v>
      </c>
      <c r="D6073" t="s">
        <v>1629</v>
      </c>
      <c r="E6073">
        <v>274.38</v>
      </c>
      <c r="F6073" t="s">
        <v>1578</v>
      </c>
      <c r="G6073" t="s">
        <v>1557</v>
      </c>
    </row>
    <row r="6074" spans="1:7">
      <c r="A6074" t="s">
        <v>7677</v>
      </c>
      <c r="B6074" s="2">
        <v>46013</v>
      </c>
      <c r="C6074" t="s">
        <v>114</v>
      </c>
      <c r="D6074" t="s">
        <v>1629</v>
      </c>
      <c r="E6074">
        <v>271.69</v>
      </c>
      <c r="F6074" t="s">
        <v>1578</v>
      </c>
      <c r="G6074" t="s">
        <v>1557</v>
      </c>
    </row>
    <row r="6075" spans="1:7">
      <c r="A6075" t="s">
        <v>7678</v>
      </c>
      <c r="B6075" s="2">
        <v>46013</v>
      </c>
      <c r="C6075" t="s">
        <v>117</v>
      </c>
      <c r="D6075" t="s">
        <v>1629</v>
      </c>
      <c r="E6075">
        <v>270.33999999999997</v>
      </c>
      <c r="F6075" t="s">
        <v>1578</v>
      </c>
      <c r="G6075" t="s">
        <v>1557</v>
      </c>
    </row>
    <row r="6076" spans="1:7">
      <c r="A6076" t="s">
        <v>7679</v>
      </c>
      <c r="B6076" s="2">
        <v>46013</v>
      </c>
      <c r="C6076" t="s">
        <v>119</v>
      </c>
      <c r="D6076" t="s">
        <v>1629</v>
      </c>
      <c r="E6076">
        <v>271.69</v>
      </c>
      <c r="F6076" t="s">
        <v>1578</v>
      </c>
      <c r="G6076" t="s">
        <v>1557</v>
      </c>
    </row>
    <row r="6077" spans="1:7">
      <c r="A6077" t="s">
        <v>7680</v>
      </c>
      <c r="B6077" s="2">
        <v>46013</v>
      </c>
      <c r="C6077" t="s">
        <v>117</v>
      </c>
      <c r="D6077" t="s">
        <v>1683</v>
      </c>
      <c r="E6077">
        <v>123</v>
      </c>
      <c r="F6077" t="s">
        <v>1578</v>
      </c>
      <c r="G6077" t="s">
        <v>1038</v>
      </c>
    </row>
    <row r="6078" spans="1:7">
      <c r="A6078" t="s">
        <v>7681</v>
      </c>
      <c r="B6078" s="2">
        <v>46014</v>
      </c>
      <c r="C6078" t="s">
        <v>61</v>
      </c>
      <c r="D6078" t="s">
        <v>1629</v>
      </c>
      <c r="E6078">
        <v>110.16</v>
      </c>
      <c r="F6078" t="s">
        <v>1578</v>
      </c>
      <c r="G6078" t="s">
        <v>1558</v>
      </c>
    </row>
    <row r="6079" spans="1:7">
      <c r="A6079" t="s">
        <v>7682</v>
      </c>
      <c r="B6079" s="2">
        <v>46014</v>
      </c>
      <c r="C6079" t="s">
        <v>65</v>
      </c>
      <c r="D6079" t="s">
        <v>1629</v>
      </c>
      <c r="E6079">
        <v>109.62</v>
      </c>
      <c r="F6079" t="s">
        <v>1578</v>
      </c>
      <c r="G6079" t="s">
        <v>1558</v>
      </c>
    </row>
    <row r="6080" spans="1:7">
      <c r="A6080" t="s">
        <v>7683</v>
      </c>
      <c r="B6080" s="2">
        <v>46014</v>
      </c>
      <c r="C6080" t="s">
        <v>68</v>
      </c>
      <c r="D6080" t="s">
        <v>1629</v>
      </c>
      <c r="E6080">
        <v>110.16</v>
      </c>
      <c r="F6080" t="s">
        <v>1578</v>
      </c>
      <c r="G6080" t="s">
        <v>1558</v>
      </c>
    </row>
    <row r="6081" spans="1:7">
      <c r="A6081" t="s">
        <v>7684</v>
      </c>
      <c r="B6081" s="2">
        <v>46014</v>
      </c>
      <c r="C6081" t="s">
        <v>70</v>
      </c>
      <c r="D6081" t="s">
        <v>1629</v>
      </c>
      <c r="E6081">
        <v>109.08</v>
      </c>
      <c r="F6081" t="s">
        <v>1578</v>
      </c>
      <c r="G6081" t="s">
        <v>1558</v>
      </c>
    </row>
    <row r="6082" spans="1:7">
      <c r="A6082" t="s">
        <v>7685</v>
      </c>
      <c r="B6082" s="2">
        <v>46014</v>
      </c>
      <c r="C6082" t="s">
        <v>75</v>
      </c>
      <c r="D6082" t="s">
        <v>1629</v>
      </c>
      <c r="E6082">
        <v>109.08</v>
      </c>
      <c r="F6082" t="s">
        <v>1578</v>
      </c>
      <c r="G6082" t="s">
        <v>1558</v>
      </c>
    </row>
    <row r="6083" spans="1:7">
      <c r="A6083" t="s">
        <v>7686</v>
      </c>
      <c r="B6083" s="2">
        <v>46014</v>
      </c>
      <c r="C6083" t="s">
        <v>77</v>
      </c>
      <c r="D6083" t="s">
        <v>1629</v>
      </c>
      <c r="E6083">
        <v>109.08</v>
      </c>
      <c r="F6083" t="s">
        <v>1578</v>
      </c>
      <c r="G6083" t="s">
        <v>1558</v>
      </c>
    </row>
    <row r="6084" spans="1:7">
      <c r="A6084" t="s">
        <v>7687</v>
      </c>
      <c r="B6084" s="2">
        <v>46014</v>
      </c>
      <c r="C6084" t="s">
        <v>79</v>
      </c>
      <c r="D6084" t="s">
        <v>1629</v>
      </c>
      <c r="E6084">
        <v>110.16</v>
      </c>
      <c r="F6084" t="s">
        <v>1578</v>
      </c>
      <c r="G6084" t="s">
        <v>1558</v>
      </c>
    </row>
    <row r="6085" spans="1:7">
      <c r="A6085" t="s">
        <v>7688</v>
      </c>
      <c r="B6085" s="2">
        <v>46014</v>
      </c>
      <c r="C6085" t="s">
        <v>81</v>
      </c>
      <c r="D6085" t="s">
        <v>1629</v>
      </c>
      <c r="E6085">
        <v>218.16</v>
      </c>
      <c r="F6085" t="s">
        <v>1578</v>
      </c>
      <c r="G6085" t="s">
        <v>1558</v>
      </c>
    </row>
    <row r="6086" spans="1:7">
      <c r="A6086" t="s">
        <v>7689</v>
      </c>
      <c r="B6086" s="2">
        <v>46014</v>
      </c>
      <c r="C6086" t="s">
        <v>110</v>
      </c>
      <c r="D6086" t="s">
        <v>1629</v>
      </c>
      <c r="E6086">
        <v>110.16</v>
      </c>
      <c r="F6086" t="s">
        <v>1578</v>
      </c>
      <c r="G6086" t="s">
        <v>1558</v>
      </c>
    </row>
    <row r="6087" spans="1:7">
      <c r="A6087" t="s">
        <v>7690</v>
      </c>
      <c r="B6087" s="2">
        <v>46014</v>
      </c>
      <c r="C6087" t="s">
        <v>114</v>
      </c>
      <c r="D6087" t="s">
        <v>1629</v>
      </c>
      <c r="E6087">
        <v>109.08</v>
      </c>
      <c r="F6087" t="s">
        <v>1578</v>
      </c>
      <c r="G6087" t="s">
        <v>1558</v>
      </c>
    </row>
    <row r="6088" spans="1:7">
      <c r="A6088" t="s">
        <v>7691</v>
      </c>
      <c r="B6088" s="2">
        <v>46014</v>
      </c>
      <c r="C6088" t="s">
        <v>117</v>
      </c>
      <c r="D6088" t="s">
        <v>1629</v>
      </c>
      <c r="E6088">
        <v>108.54</v>
      </c>
      <c r="F6088" t="s">
        <v>1578</v>
      </c>
      <c r="G6088" t="s">
        <v>1558</v>
      </c>
    </row>
    <row r="6089" spans="1:7">
      <c r="A6089" t="s">
        <v>7692</v>
      </c>
      <c r="B6089" s="2">
        <v>46014</v>
      </c>
      <c r="C6089" t="s">
        <v>119</v>
      </c>
      <c r="D6089" t="s">
        <v>1629</v>
      </c>
      <c r="E6089">
        <v>109.08</v>
      </c>
      <c r="F6089" t="s">
        <v>1578</v>
      </c>
      <c r="G6089" t="s">
        <v>1558</v>
      </c>
    </row>
    <row r="6090" spans="1:7">
      <c r="A6090" t="s">
        <v>7693</v>
      </c>
      <c r="B6090" s="2">
        <v>46015</v>
      </c>
      <c r="C6090" t="s">
        <v>87</v>
      </c>
      <c r="D6090" t="s">
        <v>1683</v>
      </c>
      <c r="E6090">
        <v>313</v>
      </c>
      <c r="F6090" t="s">
        <v>1578</v>
      </c>
      <c r="G6090" t="s">
        <v>1039</v>
      </c>
    </row>
    <row r="6091" spans="1:7">
      <c r="A6091" t="s">
        <v>7694</v>
      </c>
      <c r="B6091" s="2">
        <v>46015</v>
      </c>
      <c r="C6091" t="s">
        <v>102</v>
      </c>
      <c r="D6091" t="s">
        <v>1683</v>
      </c>
      <c r="E6091">
        <v>448</v>
      </c>
      <c r="F6091" t="s">
        <v>1578</v>
      </c>
      <c r="G6091" t="s">
        <v>1040</v>
      </c>
    </row>
    <row r="6092" spans="1:7">
      <c r="A6092" t="s">
        <v>7695</v>
      </c>
      <c r="B6092" s="2">
        <v>46015</v>
      </c>
      <c r="C6092" t="s">
        <v>110</v>
      </c>
      <c r="D6092" t="s">
        <v>1683</v>
      </c>
      <c r="E6092">
        <v>437</v>
      </c>
      <c r="F6092" t="s">
        <v>1578</v>
      </c>
      <c r="G6092" t="s">
        <v>1041</v>
      </c>
    </row>
    <row r="6093" spans="1:7">
      <c r="A6093" t="s">
        <v>7696</v>
      </c>
      <c r="B6093" s="2">
        <v>46016</v>
      </c>
      <c r="C6093" t="s">
        <v>108</v>
      </c>
      <c r="D6093" t="s">
        <v>1683</v>
      </c>
      <c r="E6093">
        <v>252</v>
      </c>
      <c r="F6093" t="s">
        <v>1578</v>
      </c>
      <c r="G6093" t="s">
        <v>1042</v>
      </c>
    </row>
    <row r="6094" spans="1:7">
      <c r="A6094" t="s">
        <v>7697</v>
      </c>
      <c r="B6094" s="2">
        <v>46017</v>
      </c>
      <c r="C6094" t="s">
        <v>61</v>
      </c>
      <c r="D6094" t="s">
        <v>1629</v>
      </c>
      <c r="E6094">
        <v>185.64</v>
      </c>
      <c r="F6094" t="s">
        <v>1578</v>
      </c>
      <c r="G6094" t="s">
        <v>1559</v>
      </c>
    </row>
    <row r="6095" spans="1:7">
      <c r="A6095" t="s">
        <v>7698</v>
      </c>
      <c r="B6095" s="2">
        <v>46017</v>
      </c>
      <c r="C6095" t="s">
        <v>65</v>
      </c>
      <c r="D6095" t="s">
        <v>1629</v>
      </c>
      <c r="E6095">
        <v>184.73</v>
      </c>
      <c r="F6095" t="s">
        <v>1578</v>
      </c>
      <c r="G6095" t="s">
        <v>1559</v>
      </c>
    </row>
    <row r="6096" spans="1:7">
      <c r="A6096" t="s">
        <v>7699</v>
      </c>
      <c r="B6096" s="2">
        <v>46017</v>
      </c>
      <c r="C6096" t="s">
        <v>68</v>
      </c>
      <c r="D6096" t="s">
        <v>1629</v>
      </c>
      <c r="E6096">
        <v>185.64</v>
      </c>
      <c r="F6096" t="s">
        <v>1578</v>
      </c>
      <c r="G6096" t="s">
        <v>1559</v>
      </c>
    </row>
    <row r="6097" spans="1:7">
      <c r="A6097" t="s">
        <v>7700</v>
      </c>
      <c r="B6097" s="2">
        <v>46017</v>
      </c>
      <c r="C6097" t="s">
        <v>70</v>
      </c>
      <c r="D6097" t="s">
        <v>1629</v>
      </c>
      <c r="E6097">
        <v>183.82</v>
      </c>
      <c r="F6097" t="s">
        <v>1578</v>
      </c>
      <c r="G6097" t="s">
        <v>1559</v>
      </c>
    </row>
    <row r="6098" spans="1:7">
      <c r="A6098" t="s">
        <v>7701</v>
      </c>
      <c r="B6098" s="2">
        <v>46017</v>
      </c>
      <c r="C6098" t="s">
        <v>73</v>
      </c>
      <c r="D6098" t="s">
        <v>1629</v>
      </c>
      <c r="E6098">
        <v>185.64</v>
      </c>
      <c r="F6098" t="s">
        <v>1578</v>
      </c>
      <c r="G6098" t="s">
        <v>1559</v>
      </c>
    </row>
    <row r="6099" spans="1:7">
      <c r="A6099" t="s">
        <v>7702</v>
      </c>
      <c r="B6099" s="2">
        <v>46017</v>
      </c>
      <c r="C6099" t="s">
        <v>75</v>
      </c>
      <c r="D6099" t="s">
        <v>1629</v>
      </c>
      <c r="E6099">
        <v>183.82</v>
      </c>
      <c r="F6099" t="s">
        <v>1578</v>
      </c>
      <c r="G6099" t="s">
        <v>1559</v>
      </c>
    </row>
    <row r="6100" spans="1:7">
      <c r="A6100" t="s">
        <v>7703</v>
      </c>
      <c r="B6100" s="2">
        <v>46017</v>
      </c>
      <c r="C6100" t="s">
        <v>77</v>
      </c>
      <c r="D6100" t="s">
        <v>1629</v>
      </c>
      <c r="E6100">
        <v>183.82</v>
      </c>
      <c r="F6100" t="s">
        <v>1578</v>
      </c>
      <c r="G6100" t="s">
        <v>1559</v>
      </c>
    </row>
    <row r="6101" spans="1:7">
      <c r="A6101" t="s">
        <v>7704</v>
      </c>
      <c r="B6101" s="2">
        <v>46017</v>
      </c>
      <c r="C6101" t="s">
        <v>79</v>
      </c>
      <c r="D6101" t="s">
        <v>1629</v>
      </c>
      <c r="E6101">
        <v>185.64</v>
      </c>
      <c r="F6101" t="s">
        <v>1578</v>
      </c>
      <c r="G6101" t="s">
        <v>1559</v>
      </c>
    </row>
    <row r="6102" spans="1:7">
      <c r="A6102" t="s">
        <v>7705</v>
      </c>
      <c r="B6102" s="2">
        <v>46017</v>
      </c>
      <c r="C6102" t="s">
        <v>81</v>
      </c>
      <c r="D6102" t="s">
        <v>1629</v>
      </c>
      <c r="E6102">
        <v>367.64</v>
      </c>
      <c r="F6102" t="s">
        <v>1578</v>
      </c>
      <c r="G6102" t="s">
        <v>1559</v>
      </c>
    </row>
    <row r="6103" spans="1:7">
      <c r="A6103" t="s">
        <v>7706</v>
      </c>
      <c r="B6103" s="2">
        <v>46017</v>
      </c>
      <c r="C6103" t="s">
        <v>108</v>
      </c>
      <c r="D6103" t="s">
        <v>1629</v>
      </c>
      <c r="E6103">
        <v>369.46</v>
      </c>
      <c r="F6103" t="s">
        <v>1578</v>
      </c>
      <c r="G6103" t="s">
        <v>1559</v>
      </c>
    </row>
    <row r="6104" spans="1:7">
      <c r="A6104" t="s">
        <v>7707</v>
      </c>
      <c r="B6104" s="2">
        <v>46017</v>
      </c>
      <c r="C6104" t="s">
        <v>110</v>
      </c>
      <c r="D6104" t="s">
        <v>1629</v>
      </c>
      <c r="E6104">
        <v>185.64</v>
      </c>
      <c r="F6104" t="s">
        <v>1578</v>
      </c>
      <c r="G6104" t="s">
        <v>1559</v>
      </c>
    </row>
    <row r="6105" spans="1:7">
      <c r="A6105" t="s">
        <v>7708</v>
      </c>
      <c r="B6105" s="2">
        <v>46017</v>
      </c>
      <c r="C6105" t="s">
        <v>114</v>
      </c>
      <c r="D6105" t="s">
        <v>1629</v>
      </c>
      <c r="E6105">
        <v>183.82</v>
      </c>
      <c r="F6105" t="s">
        <v>1578</v>
      </c>
      <c r="G6105" t="s">
        <v>1559</v>
      </c>
    </row>
    <row r="6106" spans="1:7">
      <c r="A6106" t="s">
        <v>7709</v>
      </c>
      <c r="B6106" s="2">
        <v>46017</v>
      </c>
      <c r="C6106" t="s">
        <v>117</v>
      </c>
      <c r="D6106" t="s">
        <v>1629</v>
      </c>
      <c r="E6106">
        <v>182.91</v>
      </c>
      <c r="F6106" t="s">
        <v>1578</v>
      </c>
      <c r="G6106" t="s">
        <v>1559</v>
      </c>
    </row>
    <row r="6107" spans="1:7">
      <c r="A6107" t="s">
        <v>7710</v>
      </c>
      <c r="B6107" s="2">
        <v>46017</v>
      </c>
      <c r="C6107" t="s">
        <v>119</v>
      </c>
      <c r="D6107" t="s">
        <v>1629</v>
      </c>
      <c r="E6107">
        <v>183.82</v>
      </c>
      <c r="F6107" t="s">
        <v>1578</v>
      </c>
      <c r="G6107" t="s">
        <v>1559</v>
      </c>
    </row>
    <row r="6108" spans="1:7">
      <c r="A6108" t="s">
        <v>7711</v>
      </c>
      <c r="B6108" s="2">
        <v>46017</v>
      </c>
      <c r="C6108" t="s">
        <v>75</v>
      </c>
      <c r="D6108" t="s">
        <v>1629</v>
      </c>
      <c r="E6108">
        <v>280.77999999999997</v>
      </c>
      <c r="F6108" t="s">
        <v>1578</v>
      </c>
      <c r="G6108" t="s">
        <v>1560</v>
      </c>
    </row>
    <row r="6109" spans="1:7">
      <c r="A6109" t="s">
        <v>7712</v>
      </c>
      <c r="B6109" s="2">
        <v>46017</v>
      </c>
      <c r="C6109" t="s">
        <v>91</v>
      </c>
      <c r="D6109" t="s">
        <v>1629</v>
      </c>
      <c r="E6109">
        <v>284.95</v>
      </c>
      <c r="F6109" t="s">
        <v>1578</v>
      </c>
      <c r="G6109" t="s">
        <v>1560</v>
      </c>
    </row>
    <row r="6110" spans="1:7">
      <c r="A6110" t="s">
        <v>7713</v>
      </c>
      <c r="B6110" s="2">
        <v>46017</v>
      </c>
      <c r="C6110" t="s">
        <v>93</v>
      </c>
      <c r="D6110" t="s">
        <v>1629</v>
      </c>
      <c r="E6110">
        <v>283.56</v>
      </c>
      <c r="F6110" t="s">
        <v>1578</v>
      </c>
      <c r="G6110" t="s">
        <v>1560</v>
      </c>
    </row>
    <row r="6111" spans="1:7">
      <c r="A6111" t="s">
        <v>7714</v>
      </c>
      <c r="B6111" s="2">
        <v>46017</v>
      </c>
      <c r="C6111" t="s">
        <v>95</v>
      </c>
      <c r="D6111" t="s">
        <v>1629</v>
      </c>
      <c r="E6111">
        <v>282.17</v>
      </c>
      <c r="F6111" t="s">
        <v>1578</v>
      </c>
      <c r="G6111" t="s">
        <v>1560</v>
      </c>
    </row>
    <row r="6112" spans="1:7">
      <c r="A6112" t="s">
        <v>7715</v>
      </c>
      <c r="B6112" s="2">
        <v>46017</v>
      </c>
      <c r="C6112" t="s">
        <v>97</v>
      </c>
      <c r="D6112" t="s">
        <v>1629</v>
      </c>
      <c r="E6112">
        <v>280.77999999999997</v>
      </c>
      <c r="F6112" t="s">
        <v>1578</v>
      </c>
      <c r="G6112" t="s">
        <v>1560</v>
      </c>
    </row>
    <row r="6113" spans="1:7">
      <c r="A6113" t="s">
        <v>7716</v>
      </c>
      <c r="B6113" s="2">
        <v>46017</v>
      </c>
      <c r="C6113" t="s">
        <v>99</v>
      </c>
      <c r="D6113" t="s">
        <v>1629</v>
      </c>
      <c r="E6113">
        <v>343.61</v>
      </c>
      <c r="F6113" t="s">
        <v>1578</v>
      </c>
      <c r="G6113" t="s">
        <v>1560</v>
      </c>
    </row>
    <row r="6114" spans="1:7">
      <c r="A6114" t="s">
        <v>7717</v>
      </c>
      <c r="B6114" s="2">
        <v>46017</v>
      </c>
      <c r="C6114" t="s">
        <v>102</v>
      </c>
      <c r="D6114" t="s">
        <v>1629</v>
      </c>
      <c r="E6114">
        <v>283.56</v>
      </c>
      <c r="F6114" t="s">
        <v>1578</v>
      </c>
      <c r="G6114" t="s">
        <v>1560</v>
      </c>
    </row>
    <row r="6115" spans="1:7">
      <c r="A6115" t="s">
        <v>7718</v>
      </c>
      <c r="B6115" s="2">
        <v>46017</v>
      </c>
      <c r="C6115" t="s">
        <v>108</v>
      </c>
      <c r="D6115" t="s">
        <v>1629</v>
      </c>
      <c r="E6115">
        <v>564.34</v>
      </c>
      <c r="F6115" t="s">
        <v>1578</v>
      </c>
      <c r="G6115" t="s">
        <v>1560</v>
      </c>
    </row>
    <row r="6116" spans="1:7">
      <c r="A6116" t="s">
        <v>7719</v>
      </c>
      <c r="B6116" s="2">
        <v>46017</v>
      </c>
      <c r="C6116" t="s">
        <v>110</v>
      </c>
      <c r="D6116" t="s">
        <v>1629</v>
      </c>
      <c r="E6116">
        <v>283.56</v>
      </c>
      <c r="F6116" t="s">
        <v>1578</v>
      </c>
      <c r="G6116" t="s">
        <v>1560</v>
      </c>
    </row>
    <row r="6117" spans="1:7">
      <c r="A6117" t="s">
        <v>7720</v>
      </c>
      <c r="B6117" s="2">
        <v>46017</v>
      </c>
      <c r="C6117" t="s">
        <v>114</v>
      </c>
      <c r="D6117" t="s">
        <v>1629</v>
      </c>
      <c r="E6117">
        <v>280.77999999999997</v>
      </c>
      <c r="F6117" t="s">
        <v>1578</v>
      </c>
      <c r="G6117" t="s">
        <v>1560</v>
      </c>
    </row>
    <row r="6118" spans="1:7">
      <c r="A6118" t="s">
        <v>7721</v>
      </c>
      <c r="B6118" s="2">
        <v>46017</v>
      </c>
      <c r="C6118" t="s">
        <v>117</v>
      </c>
      <c r="D6118" t="s">
        <v>1629</v>
      </c>
      <c r="E6118">
        <v>279.39</v>
      </c>
      <c r="F6118" t="s">
        <v>1578</v>
      </c>
      <c r="G6118" t="s">
        <v>1560</v>
      </c>
    </row>
    <row r="6119" spans="1:7">
      <c r="A6119" t="s">
        <v>7722</v>
      </c>
      <c r="B6119" s="2">
        <v>46017</v>
      </c>
      <c r="C6119" t="s">
        <v>119</v>
      </c>
      <c r="D6119" t="s">
        <v>1629</v>
      </c>
      <c r="E6119">
        <v>280.77999999999997</v>
      </c>
      <c r="F6119" t="s">
        <v>1578</v>
      </c>
      <c r="G6119" t="s">
        <v>1560</v>
      </c>
    </row>
    <row r="6120" spans="1:7">
      <c r="A6120" t="s">
        <v>7723</v>
      </c>
      <c r="B6120" s="2">
        <v>46017</v>
      </c>
      <c r="C6120" t="s">
        <v>61</v>
      </c>
      <c r="D6120" t="s">
        <v>1629</v>
      </c>
      <c r="E6120">
        <v>200.94</v>
      </c>
      <c r="F6120" t="s">
        <v>1578</v>
      </c>
      <c r="G6120" t="s">
        <v>1561</v>
      </c>
    </row>
    <row r="6121" spans="1:7">
      <c r="A6121" t="s">
        <v>7724</v>
      </c>
      <c r="B6121" s="2">
        <v>46017</v>
      </c>
      <c r="C6121" t="s">
        <v>65</v>
      </c>
      <c r="D6121" t="s">
        <v>1629</v>
      </c>
      <c r="E6121">
        <v>199.96</v>
      </c>
      <c r="F6121" t="s">
        <v>1578</v>
      </c>
      <c r="G6121" t="s">
        <v>1561</v>
      </c>
    </row>
    <row r="6122" spans="1:7">
      <c r="A6122" t="s">
        <v>7725</v>
      </c>
      <c r="B6122" s="2">
        <v>46017</v>
      </c>
      <c r="C6122" t="s">
        <v>68</v>
      </c>
      <c r="D6122" t="s">
        <v>1629</v>
      </c>
      <c r="E6122">
        <v>200.94</v>
      </c>
      <c r="F6122" t="s">
        <v>1578</v>
      </c>
      <c r="G6122" t="s">
        <v>1561</v>
      </c>
    </row>
    <row r="6123" spans="1:7">
      <c r="A6123" t="s">
        <v>7726</v>
      </c>
      <c r="B6123" s="2">
        <v>46017</v>
      </c>
      <c r="C6123" t="s">
        <v>75</v>
      </c>
      <c r="D6123" t="s">
        <v>1629</v>
      </c>
      <c r="E6123">
        <v>198.97</v>
      </c>
      <c r="F6123" t="s">
        <v>1578</v>
      </c>
      <c r="G6123" t="s">
        <v>1561</v>
      </c>
    </row>
    <row r="6124" spans="1:7">
      <c r="A6124" t="s">
        <v>7727</v>
      </c>
      <c r="B6124" s="2">
        <v>46017</v>
      </c>
      <c r="C6124" t="s">
        <v>79</v>
      </c>
      <c r="D6124" t="s">
        <v>1629</v>
      </c>
      <c r="E6124">
        <v>200.94</v>
      </c>
      <c r="F6124" t="s">
        <v>1578</v>
      </c>
      <c r="G6124" t="s">
        <v>1561</v>
      </c>
    </row>
    <row r="6125" spans="1:7">
      <c r="A6125" t="s">
        <v>7728</v>
      </c>
      <c r="B6125" s="2">
        <v>46017</v>
      </c>
      <c r="C6125" t="s">
        <v>81</v>
      </c>
      <c r="D6125" t="s">
        <v>1629</v>
      </c>
      <c r="E6125">
        <v>397.94</v>
      </c>
      <c r="F6125" t="s">
        <v>1578</v>
      </c>
      <c r="G6125" t="s">
        <v>1561</v>
      </c>
    </row>
    <row r="6126" spans="1:7">
      <c r="A6126" t="s">
        <v>7729</v>
      </c>
      <c r="B6126" s="2">
        <v>46017</v>
      </c>
      <c r="C6126" t="s">
        <v>110</v>
      </c>
      <c r="D6126" t="s">
        <v>1629</v>
      </c>
      <c r="E6126">
        <v>200.94</v>
      </c>
      <c r="F6126" t="s">
        <v>1578</v>
      </c>
      <c r="G6126" t="s">
        <v>1561</v>
      </c>
    </row>
    <row r="6127" spans="1:7">
      <c r="A6127" t="s">
        <v>7730</v>
      </c>
      <c r="B6127" s="2">
        <v>46017</v>
      </c>
      <c r="C6127" t="s">
        <v>114</v>
      </c>
      <c r="D6127" t="s">
        <v>1629</v>
      </c>
      <c r="E6127">
        <v>198.97</v>
      </c>
      <c r="F6127" t="s">
        <v>1578</v>
      </c>
      <c r="G6127" t="s">
        <v>1561</v>
      </c>
    </row>
    <row r="6128" spans="1:7">
      <c r="A6128" t="s">
        <v>7731</v>
      </c>
      <c r="B6128" s="2">
        <v>46017</v>
      </c>
      <c r="C6128" t="s">
        <v>117</v>
      </c>
      <c r="D6128" t="s">
        <v>1629</v>
      </c>
      <c r="E6128">
        <v>197.98</v>
      </c>
      <c r="F6128" t="s">
        <v>1578</v>
      </c>
      <c r="G6128" t="s">
        <v>1561</v>
      </c>
    </row>
    <row r="6129" spans="1:7">
      <c r="A6129" t="s">
        <v>7732</v>
      </c>
      <c r="B6129" s="2">
        <v>46017</v>
      </c>
      <c r="C6129" t="s">
        <v>119</v>
      </c>
      <c r="D6129" t="s">
        <v>1629</v>
      </c>
      <c r="E6129">
        <v>198.97</v>
      </c>
      <c r="F6129" t="s">
        <v>1578</v>
      </c>
      <c r="G6129" t="s">
        <v>1561</v>
      </c>
    </row>
    <row r="6130" spans="1:7">
      <c r="A6130" t="s">
        <v>7733</v>
      </c>
      <c r="B6130" s="2">
        <v>46017</v>
      </c>
      <c r="C6130" t="s">
        <v>114</v>
      </c>
      <c r="D6130" t="s">
        <v>1683</v>
      </c>
      <c r="E6130">
        <v>139</v>
      </c>
      <c r="F6130" t="s">
        <v>1578</v>
      </c>
      <c r="G6130" t="s">
        <v>1043</v>
      </c>
    </row>
    <row r="6131" spans="1:7">
      <c r="A6131" t="s">
        <v>7734</v>
      </c>
      <c r="B6131" s="2">
        <v>46017</v>
      </c>
      <c r="C6131" t="s">
        <v>68</v>
      </c>
      <c r="D6131" t="s">
        <v>1683</v>
      </c>
      <c r="E6131">
        <v>105</v>
      </c>
      <c r="F6131" t="s">
        <v>1578</v>
      </c>
      <c r="G6131" t="s">
        <v>1044</v>
      </c>
    </row>
    <row r="6132" spans="1:7">
      <c r="A6132" t="s">
        <v>7735</v>
      </c>
      <c r="B6132" s="2">
        <v>46017</v>
      </c>
      <c r="C6132" t="s">
        <v>114</v>
      </c>
      <c r="D6132" t="s">
        <v>1683</v>
      </c>
      <c r="E6132">
        <v>128</v>
      </c>
      <c r="F6132" t="s">
        <v>1578</v>
      </c>
      <c r="G6132" t="s">
        <v>1045</v>
      </c>
    </row>
    <row r="6133" spans="1:7">
      <c r="A6133" t="s">
        <v>7736</v>
      </c>
      <c r="B6133" s="2">
        <v>46017</v>
      </c>
      <c r="C6133" t="s">
        <v>114</v>
      </c>
      <c r="D6133" t="s">
        <v>1683</v>
      </c>
      <c r="E6133">
        <v>780</v>
      </c>
      <c r="F6133" t="s">
        <v>1578</v>
      </c>
      <c r="G6133" t="s">
        <v>1046</v>
      </c>
    </row>
    <row r="6134" spans="1:7">
      <c r="A6134" t="s">
        <v>7737</v>
      </c>
      <c r="B6134" s="2">
        <v>46018</v>
      </c>
      <c r="C6134" t="s">
        <v>61</v>
      </c>
      <c r="D6134" t="s">
        <v>1629</v>
      </c>
      <c r="E6134">
        <v>167.28</v>
      </c>
      <c r="F6134" t="s">
        <v>1578</v>
      </c>
      <c r="G6134" t="s">
        <v>1562</v>
      </c>
    </row>
    <row r="6135" spans="1:7">
      <c r="A6135" t="s">
        <v>7738</v>
      </c>
      <c r="B6135" s="2">
        <v>46018</v>
      </c>
      <c r="C6135" t="s">
        <v>65</v>
      </c>
      <c r="D6135" t="s">
        <v>1629</v>
      </c>
      <c r="E6135">
        <v>166.46</v>
      </c>
      <c r="F6135" t="s">
        <v>1578</v>
      </c>
      <c r="G6135" t="s">
        <v>1562</v>
      </c>
    </row>
    <row r="6136" spans="1:7">
      <c r="A6136" t="s">
        <v>7739</v>
      </c>
      <c r="B6136" s="2">
        <v>46018</v>
      </c>
      <c r="C6136" t="s">
        <v>75</v>
      </c>
      <c r="D6136" t="s">
        <v>1629</v>
      </c>
      <c r="E6136">
        <v>165.64</v>
      </c>
      <c r="F6136" t="s">
        <v>1578</v>
      </c>
      <c r="G6136" t="s">
        <v>1562</v>
      </c>
    </row>
    <row r="6137" spans="1:7">
      <c r="A6137" t="s">
        <v>7740</v>
      </c>
      <c r="B6137" s="2">
        <v>46018</v>
      </c>
      <c r="C6137" t="s">
        <v>79</v>
      </c>
      <c r="D6137" t="s">
        <v>1629</v>
      </c>
      <c r="E6137">
        <v>167.28</v>
      </c>
      <c r="F6137" t="s">
        <v>1578</v>
      </c>
      <c r="G6137" t="s">
        <v>1562</v>
      </c>
    </row>
    <row r="6138" spans="1:7">
      <c r="A6138" t="s">
        <v>7741</v>
      </c>
      <c r="B6138" s="2">
        <v>46018</v>
      </c>
      <c r="C6138" t="s">
        <v>81</v>
      </c>
      <c r="D6138" t="s">
        <v>1629</v>
      </c>
      <c r="E6138">
        <v>331.28</v>
      </c>
      <c r="F6138" t="s">
        <v>1578</v>
      </c>
      <c r="G6138" t="s">
        <v>1562</v>
      </c>
    </row>
    <row r="6139" spans="1:7">
      <c r="A6139" t="s">
        <v>7742</v>
      </c>
      <c r="B6139" s="2">
        <v>46018</v>
      </c>
      <c r="C6139" t="s">
        <v>84</v>
      </c>
      <c r="D6139" t="s">
        <v>1629</v>
      </c>
      <c r="E6139">
        <v>59.12</v>
      </c>
      <c r="F6139" t="s">
        <v>1578</v>
      </c>
      <c r="G6139" t="s">
        <v>1562</v>
      </c>
    </row>
    <row r="6140" spans="1:7">
      <c r="A6140" t="s">
        <v>7743</v>
      </c>
      <c r="B6140" s="2">
        <v>46018</v>
      </c>
      <c r="C6140" t="s">
        <v>89</v>
      </c>
      <c r="D6140" t="s">
        <v>1629</v>
      </c>
      <c r="E6140">
        <v>252.15</v>
      </c>
      <c r="F6140" t="s">
        <v>1578</v>
      </c>
      <c r="G6140" t="s">
        <v>1562</v>
      </c>
    </row>
    <row r="6141" spans="1:7">
      <c r="A6141" t="s">
        <v>7744</v>
      </c>
      <c r="B6141" s="2">
        <v>46018</v>
      </c>
      <c r="C6141" t="s">
        <v>110</v>
      </c>
      <c r="D6141" t="s">
        <v>1629</v>
      </c>
      <c r="E6141">
        <v>167.28</v>
      </c>
      <c r="F6141" t="s">
        <v>1578</v>
      </c>
      <c r="G6141" t="s">
        <v>1562</v>
      </c>
    </row>
    <row r="6142" spans="1:7">
      <c r="A6142" t="s">
        <v>7745</v>
      </c>
      <c r="B6142" s="2">
        <v>46018</v>
      </c>
      <c r="C6142" t="s">
        <v>114</v>
      </c>
      <c r="D6142" t="s">
        <v>1629</v>
      </c>
      <c r="E6142">
        <v>165.64</v>
      </c>
      <c r="F6142" t="s">
        <v>1578</v>
      </c>
      <c r="G6142" t="s">
        <v>1562</v>
      </c>
    </row>
    <row r="6143" spans="1:7">
      <c r="A6143" t="s">
        <v>7746</v>
      </c>
      <c r="B6143" s="2">
        <v>46018</v>
      </c>
      <c r="C6143" t="s">
        <v>117</v>
      </c>
      <c r="D6143" t="s">
        <v>1629</v>
      </c>
      <c r="E6143">
        <v>164.82</v>
      </c>
      <c r="F6143" t="s">
        <v>1578</v>
      </c>
      <c r="G6143" t="s">
        <v>1562</v>
      </c>
    </row>
    <row r="6144" spans="1:7">
      <c r="A6144" t="s">
        <v>7747</v>
      </c>
      <c r="B6144" s="2">
        <v>46018</v>
      </c>
      <c r="C6144" t="s">
        <v>119</v>
      </c>
      <c r="D6144" t="s">
        <v>1629</v>
      </c>
      <c r="E6144">
        <v>165.64</v>
      </c>
      <c r="F6144" t="s">
        <v>1578</v>
      </c>
      <c r="G6144" t="s">
        <v>1562</v>
      </c>
    </row>
    <row r="6145" spans="1:7">
      <c r="A6145" t="s">
        <v>7748</v>
      </c>
      <c r="B6145" s="2">
        <v>46018</v>
      </c>
      <c r="C6145" t="s">
        <v>61</v>
      </c>
      <c r="D6145" t="s">
        <v>1629</v>
      </c>
      <c r="E6145">
        <v>284.58</v>
      </c>
      <c r="F6145" t="s">
        <v>1578</v>
      </c>
      <c r="G6145" t="s">
        <v>1563</v>
      </c>
    </row>
    <row r="6146" spans="1:7">
      <c r="A6146" t="s">
        <v>7749</v>
      </c>
      <c r="B6146" s="2">
        <v>46018</v>
      </c>
      <c r="C6146" t="s">
        <v>65</v>
      </c>
      <c r="D6146" t="s">
        <v>1629</v>
      </c>
      <c r="E6146">
        <v>283.18</v>
      </c>
      <c r="F6146" t="s">
        <v>1578</v>
      </c>
      <c r="G6146" t="s">
        <v>1563</v>
      </c>
    </row>
    <row r="6147" spans="1:7">
      <c r="A6147" t="s">
        <v>7750</v>
      </c>
      <c r="B6147" s="2">
        <v>46018</v>
      </c>
      <c r="C6147" t="s">
        <v>68</v>
      </c>
      <c r="D6147" t="s">
        <v>1629</v>
      </c>
      <c r="E6147">
        <v>284.58</v>
      </c>
      <c r="F6147" t="s">
        <v>1578</v>
      </c>
      <c r="G6147" t="s">
        <v>1563</v>
      </c>
    </row>
    <row r="6148" spans="1:7">
      <c r="A6148" t="s">
        <v>7751</v>
      </c>
      <c r="B6148" s="2">
        <v>46018</v>
      </c>
      <c r="C6148" t="s">
        <v>70</v>
      </c>
      <c r="D6148" t="s">
        <v>1629</v>
      </c>
      <c r="E6148">
        <v>281.79000000000002</v>
      </c>
      <c r="F6148" t="s">
        <v>1578</v>
      </c>
      <c r="G6148" t="s">
        <v>1563</v>
      </c>
    </row>
    <row r="6149" spans="1:7">
      <c r="A6149" t="s">
        <v>7752</v>
      </c>
      <c r="B6149" s="2">
        <v>46018</v>
      </c>
      <c r="C6149" t="s">
        <v>75</v>
      </c>
      <c r="D6149" t="s">
        <v>1629</v>
      </c>
      <c r="E6149">
        <v>281.79000000000002</v>
      </c>
      <c r="F6149" t="s">
        <v>1578</v>
      </c>
      <c r="G6149" t="s">
        <v>1563</v>
      </c>
    </row>
    <row r="6150" spans="1:7">
      <c r="A6150" t="s">
        <v>7753</v>
      </c>
      <c r="B6150" s="2">
        <v>46018</v>
      </c>
      <c r="C6150" t="s">
        <v>77</v>
      </c>
      <c r="D6150" t="s">
        <v>1629</v>
      </c>
      <c r="E6150">
        <v>281.79000000000002</v>
      </c>
      <c r="F6150" t="s">
        <v>1578</v>
      </c>
      <c r="G6150" t="s">
        <v>1563</v>
      </c>
    </row>
    <row r="6151" spans="1:7">
      <c r="A6151" t="s">
        <v>7754</v>
      </c>
      <c r="B6151" s="2">
        <v>46018</v>
      </c>
      <c r="C6151" t="s">
        <v>79</v>
      </c>
      <c r="D6151" t="s">
        <v>1629</v>
      </c>
      <c r="E6151">
        <v>284.58</v>
      </c>
      <c r="F6151" t="s">
        <v>1578</v>
      </c>
      <c r="G6151" t="s">
        <v>1563</v>
      </c>
    </row>
    <row r="6152" spans="1:7">
      <c r="A6152" t="s">
        <v>7755</v>
      </c>
      <c r="B6152" s="2">
        <v>46018</v>
      </c>
      <c r="C6152" t="s">
        <v>81</v>
      </c>
      <c r="D6152" t="s">
        <v>1629</v>
      </c>
      <c r="E6152">
        <v>563.58000000000004</v>
      </c>
      <c r="F6152" t="s">
        <v>1578</v>
      </c>
      <c r="G6152" t="s">
        <v>1563</v>
      </c>
    </row>
    <row r="6153" spans="1:7">
      <c r="A6153" t="s">
        <v>7756</v>
      </c>
      <c r="B6153" s="2">
        <v>46018</v>
      </c>
      <c r="C6153" t="s">
        <v>110</v>
      </c>
      <c r="D6153" t="s">
        <v>1629</v>
      </c>
      <c r="E6153">
        <v>284.58</v>
      </c>
      <c r="F6153" t="s">
        <v>1578</v>
      </c>
      <c r="G6153" t="s">
        <v>1563</v>
      </c>
    </row>
    <row r="6154" spans="1:7">
      <c r="A6154" t="s">
        <v>7757</v>
      </c>
      <c r="B6154" s="2">
        <v>46018</v>
      </c>
      <c r="C6154" t="s">
        <v>114</v>
      </c>
      <c r="D6154" t="s">
        <v>1629</v>
      </c>
      <c r="E6154">
        <v>281.79000000000002</v>
      </c>
      <c r="F6154" t="s">
        <v>1578</v>
      </c>
      <c r="G6154" t="s">
        <v>1563</v>
      </c>
    </row>
    <row r="6155" spans="1:7">
      <c r="A6155" t="s">
        <v>7758</v>
      </c>
      <c r="B6155" s="2">
        <v>46018</v>
      </c>
      <c r="C6155" t="s">
        <v>117</v>
      </c>
      <c r="D6155" t="s">
        <v>1629</v>
      </c>
      <c r="E6155">
        <v>280.39999999999998</v>
      </c>
      <c r="F6155" t="s">
        <v>1578</v>
      </c>
      <c r="G6155" t="s">
        <v>1563</v>
      </c>
    </row>
    <row r="6156" spans="1:7">
      <c r="A6156" t="s">
        <v>7759</v>
      </c>
      <c r="B6156" s="2">
        <v>46018</v>
      </c>
      <c r="C6156" t="s">
        <v>119</v>
      </c>
      <c r="D6156" t="s">
        <v>1629</v>
      </c>
      <c r="E6156">
        <v>281.79000000000002</v>
      </c>
      <c r="F6156" t="s">
        <v>1578</v>
      </c>
      <c r="G6156" t="s">
        <v>1563</v>
      </c>
    </row>
    <row r="6157" spans="1:7">
      <c r="A6157" t="s">
        <v>7760</v>
      </c>
      <c r="B6157" s="2">
        <v>46018</v>
      </c>
      <c r="C6157" t="s">
        <v>61</v>
      </c>
      <c r="D6157" t="s">
        <v>1629</v>
      </c>
      <c r="E6157">
        <v>273.36</v>
      </c>
      <c r="F6157" t="s">
        <v>1578</v>
      </c>
      <c r="G6157" t="s">
        <v>1564</v>
      </c>
    </row>
    <row r="6158" spans="1:7">
      <c r="A6158" t="s">
        <v>7761</v>
      </c>
      <c r="B6158" s="2">
        <v>46018</v>
      </c>
      <c r="C6158" t="s">
        <v>65</v>
      </c>
      <c r="D6158" t="s">
        <v>1629</v>
      </c>
      <c r="E6158">
        <v>272.02</v>
      </c>
      <c r="F6158" t="s">
        <v>1578</v>
      </c>
      <c r="G6158" t="s">
        <v>1564</v>
      </c>
    </row>
    <row r="6159" spans="1:7">
      <c r="A6159" t="s">
        <v>7762</v>
      </c>
      <c r="B6159" s="2">
        <v>46018</v>
      </c>
      <c r="C6159" t="s">
        <v>68</v>
      </c>
      <c r="D6159" t="s">
        <v>1629</v>
      </c>
      <c r="E6159">
        <v>273.36</v>
      </c>
      <c r="F6159" t="s">
        <v>1578</v>
      </c>
      <c r="G6159" t="s">
        <v>1564</v>
      </c>
    </row>
    <row r="6160" spans="1:7">
      <c r="A6160" t="s">
        <v>7763</v>
      </c>
      <c r="B6160" s="2">
        <v>46018</v>
      </c>
      <c r="C6160" t="s">
        <v>70</v>
      </c>
      <c r="D6160" t="s">
        <v>1629</v>
      </c>
      <c r="E6160">
        <v>270.68</v>
      </c>
      <c r="F6160" t="s">
        <v>1578</v>
      </c>
      <c r="G6160" t="s">
        <v>1564</v>
      </c>
    </row>
    <row r="6161" spans="1:7">
      <c r="A6161" t="s">
        <v>7764</v>
      </c>
      <c r="B6161" s="2">
        <v>46018</v>
      </c>
      <c r="C6161" t="s">
        <v>75</v>
      </c>
      <c r="D6161" t="s">
        <v>1629</v>
      </c>
      <c r="E6161">
        <v>270.68</v>
      </c>
      <c r="F6161" t="s">
        <v>1578</v>
      </c>
      <c r="G6161" t="s">
        <v>1564</v>
      </c>
    </row>
    <row r="6162" spans="1:7">
      <c r="A6162" t="s">
        <v>7765</v>
      </c>
      <c r="B6162" s="2">
        <v>46018</v>
      </c>
      <c r="C6162" t="s">
        <v>77</v>
      </c>
      <c r="D6162" t="s">
        <v>1629</v>
      </c>
      <c r="E6162">
        <v>270.68</v>
      </c>
      <c r="F6162" t="s">
        <v>1578</v>
      </c>
      <c r="G6162" t="s">
        <v>1564</v>
      </c>
    </row>
    <row r="6163" spans="1:7">
      <c r="A6163" t="s">
        <v>7766</v>
      </c>
      <c r="B6163" s="2">
        <v>46018</v>
      </c>
      <c r="C6163" t="s">
        <v>79</v>
      </c>
      <c r="D6163" t="s">
        <v>1629</v>
      </c>
      <c r="E6163">
        <v>273.36</v>
      </c>
      <c r="F6163" t="s">
        <v>1578</v>
      </c>
      <c r="G6163" t="s">
        <v>1564</v>
      </c>
    </row>
    <row r="6164" spans="1:7">
      <c r="A6164" t="s">
        <v>7767</v>
      </c>
      <c r="B6164" s="2">
        <v>46018</v>
      </c>
      <c r="C6164" t="s">
        <v>81</v>
      </c>
      <c r="D6164" t="s">
        <v>1629</v>
      </c>
      <c r="E6164">
        <v>541.36</v>
      </c>
      <c r="F6164" t="s">
        <v>1578</v>
      </c>
      <c r="G6164" t="s">
        <v>1564</v>
      </c>
    </row>
    <row r="6165" spans="1:7">
      <c r="A6165" t="s">
        <v>7768</v>
      </c>
      <c r="B6165" s="2">
        <v>46018</v>
      </c>
      <c r="C6165" t="s">
        <v>110</v>
      </c>
      <c r="D6165" t="s">
        <v>1629</v>
      </c>
      <c r="E6165">
        <v>273.36</v>
      </c>
      <c r="F6165" t="s">
        <v>1578</v>
      </c>
      <c r="G6165" t="s">
        <v>1564</v>
      </c>
    </row>
    <row r="6166" spans="1:7">
      <c r="A6166" t="s">
        <v>7769</v>
      </c>
      <c r="B6166" s="2">
        <v>46018</v>
      </c>
      <c r="C6166" t="s">
        <v>114</v>
      </c>
      <c r="D6166" t="s">
        <v>1629</v>
      </c>
      <c r="E6166">
        <v>270.68</v>
      </c>
      <c r="F6166" t="s">
        <v>1578</v>
      </c>
      <c r="G6166" t="s">
        <v>1564</v>
      </c>
    </row>
    <row r="6167" spans="1:7">
      <c r="A6167" t="s">
        <v>7770</v>
      </c>
      <c r="B6167" s="2">
        <v>46018</v>
      </c>
      <c r="C6167" t="s">
        <v>117</v>
      </c>
      <c r="D6167" t="s">
        <v>1629</v>
      </c>
      <c r="E6167">
        <v>269.33999999999997</v>
      </c>
      <c r="F6167" t="s">
        <v>1578</v>
      </c>
      <c r="G6167" t="s">
        <v>1564</v>
      </c>
    </row>
    <row r="6168" spans="1:7">
      <c r="A6168" t="s">
        <v>7771</v>
      </c>
      <c r="B6168" s="2">
        <v>46018</v>
      </c>
      <c r="C6168" t="s">
        <v>119</v>
      </c>
      <c r="D6168" t="s">
        <v>1629</v>
      </c>
      <c r="E6168">
        <v>270.68</v>
      </c>
      <c r="F6168" t="s">
        <v>1578</v>
      </c>
      <c r="G6168" t="s">
        <v>1564</v>
      </c>
    </row>
    <row r="6169" spans="1:7">
      <c r="A6169" t="s">
        <v>7772</v>
      </c>
      <c r="B6169" s="2">
        <v>46018</v>
      </c>
      <c r="C6169" t="s">
        <v>102</v>
      </c>
      <c r="D6169" t="s">
        <v>1683</v>
      </c>
      <c r="E6169">
        <v>33</v>
      </c>
      <c r="F6169" t="s">
        <v>1578</v>
      </c>
      <c r="G6169" t="s">
        <v>1047</v>
      </c>
    </row>
    <row r="6170" spans="1:7">
      <c r="A6170" t="s">
        <v>7773</v>
      </c>
      <c r="B6170" s="2">
        <v>46019</v>
      </c>
      <c r="C6170" t="s">
        <v>61</v>
      </c>
      <c r="D6170" t="s">
        <v>1629</v>
      </c>
      <c r="E6170">
        <v>424.32</v>
      </c>
      <c r="F6170" t="s">
        <v>1578</v>
      </c>
      <c r="G6170" t="s">
        <v>1565</v>
      </c>
    </row>
    <row r="6171" spans="1:7">
      <c r="A6171" t="s">
        <v>7774</v>
      </c>
      <c r="B6171" s="2">
        <v>46019</v>
      </c>
      <c r="C6171" t="s">
        <v>65</v>
      </c>
      <c r="D6171" t="s">
        <v>1629</v>
      </c>
      <c r="E6171">
        <v>422.24</v>
      </c>
      <c r="F6171" t="s">
        <v>1578</v>
      </c>
      <c r="G6171" t="s">
        <v>1565</v>
      </c>
    </row>
    <row r="6172" spans="1:7">
      <c r="A6172" t="s">
        <v>7775</v>
      </c>
      <c r="B6172" s="2">
        <v>46019</v>
      </c>
      <c r="C6172" t="s">
        <v>68</v>
      </c>
      <c r="D6172" t="s">
        <v>1629</v>
      </c>
      <c r="E6172">
        <v>424.32</v>
      </c>
      <c r="F6172" t="s">
        <v>1578</v>
      </c>
      <c r="G6172" t="s">
        <v>1565</v>
      </c>
    </row>
    <row r="6173" spans="1:7">
      <c r="A6173" t="s">
        <v>7776</v>
      </c>
      <c r="B6173" s="2">
        <v>46019</v>
      </c>
      <c r="C6173" t="s">
        <v>70</v>
      </c>
      <c r="D6173" t="s">
        <v>1629</v>
      </c>
      <c r="E6173">
        <v>420.16</v>
      </c>
      <c r="F6173" t="s">
        <v>1578</v>
      </c>
      <c r="G6173" t="s">
        <v>1565</v>
      </c>
    </row>
    <row r="6174" spans="1:7">
      <c r="A6174" t="s">
        <v>7777</v>
      </c>
      <c r="B6174" s="2">
        <v>46019</v>
      </c>
      <c r="C6174" t="s">
        <v>75</v>
      </c>
      <c r="D6174" t="s">
        <v>1629</v>
      </c>
      <c r="E6174">
        <v>420.16</v>
      </c>
      <c r="F6174" t="s">
        <v>1578</v>
      </c>
      <c r="G6174" t="s">
        <v>1565</v>
      </c>
    </row>
    <row r="6175" spans="1:7">
      <c r="A6175" t="s">
        <v>7778</v>
      </c>
      <c r="B6175" s="2">
        <v>46019</v>
      </c>
      <c r="C6175" t="s">
        <v>77</v>
      </c>
      <c r="D6175" t="s">
        <v>1629</v>
      </c>
      <c r="E6175">
        <v>420.16</v>
      </c>
      <c r="F6175" t="s">
        <v>1578</v>
      </c>
      <c r="G6175" t="s">
        <v>1565</v>
      </c>
    </row>
    <row r="6176" spans="1:7">
      <c r="A6176" t="s">
        <v>7779</v>
      </c>
      <c r="B6176" s="2">
        <v>46019</v>
      </c>
      <c r="C6176" t="s">
        <v>79</v>
      </c>
      <c r="D6176" t="s">
        <v>1629</v>
      </c>
      <c r="E6176">
        <v>424.32</v>
      </c>
      <c r="F6176" t="s">
        <v>1578</v>
      </c>
      <c r="G6176" t="s">
        <v>1565</v>
      </c>
    </row>
    <row r="6177" spans="1:7">
      <c r="A6177" t="s">
        <v>7780</v>
      </c>
      <c r="B6177" s="2">
        <v>46019</v>
      </c>
      <c r="C6177" t="s">
        <v>81</v>
      </c>
      <c r="D6177" t="s">
        <v>1629</v>
      </c>
      <c r="E6177">
        <v>840.32</v>
      </c>
      <c r="F6177" t="s">
        <v>1578</v>
      </c>
      <c r="G6177" t="s">
        <v>1565</v>
      </c>
    </row>
    <row r="6178" spans="1:7">
      <c r="A6178" t="s">
        <v>7781</v>
      </c>
      <c r="B6178" s="2">
        <v>46019</v>
      </c>
      <c r="C6178" t="s">
        <v>110</v>
      </c>
      <c r="D6178" t="s">
        <v>1629</v>
      </c>
      <c r="E6178">
        <v>424.32</v>
      </c>
      <c r="F6178" t="s">
        <v>1578</v>
      </c>
      <c r="G6178" t="s">
        <v>1565</v>
      </c>
    </row>
    <row r="6179" spans="1:7">
      <c r="A6179" t="s">
        <v>7782</v>
      </c>
      <c r="B6179" s="2">
        <v>46019</v>
      </c>
      <c r="C6179" t="s">
        <v>114</v>
      </c>
      <c r="D6179" t="s">
        <v>1629</v>
      </c>
      <c r="E6179">
        <v>420.16</v>
      </c>
      <c r="F6179" t="s">
        <v>1578</v>
      </c>
      <c r="G6179" t="s">
        <v>1565</v>
      </c>
    </row>
    <row r="6180" spans="1:7">
      <c r="A6180" t="s">
        <v>7783</v>
      </c>
      <c r="B6180" s="2">
        <v>46019</v>
      </c>
      <c r="C6180" t="s">
        <v>117</v>
      </c>
      <c r="D6180" t="s">
        <v>1629</v>
      </c>
      <c r="E6180">
        <v>418.08</v>
      </c>
      <c r="F6180" t="s">
        <v>1578</v>
      </c>
      <c r="G6180" t="s">
        <v>1565</v>
      </c>
    </row>
    <row r="6181" spans="1:7">
      <c r="A6181" t="s">
        <v>7784</v>
      </c>
      <c r="B6181" s="2">
        <v>46019</v>
      </c>
      <c r="C6181" t="s">
        <v>119</v>
      </c>
      <c r="D6181" t="s">
        <v>1629</v>
      </c>
      <c r="E6181">
        <v>420.16</v>
      </c>
      <c r="F6181" t="s">
        <v>1578</v>
      </c>
      <c r="G6181" t="s">
        <v>1565</v>
      </c>
    </row>
    <row r="6182" spans="1:7">
      <c r="A6182" t="s">
        <v>7785</v>
      </c>
      <c r="B6182" s="2">
        <v>46019</v>
      </c>
      <c r="C6182" t="s">
        <v>89</v>
      </c>
      <c r="D6182" t="s">
        <v>1683</v>
      </c>
      <c r="E6182">
        <v>680</v>
      </c>
      <c r="F6182" t="s">
        <v>1578</v>
      </c>
      <c r="G6182" t="s">
        <v>1049</v>
      </c>
    </row>
    <row r="6183" spans="1:7">
      <c r="A6183" t="s">
        <v>7786</v>
      </c>
      <c r="B6183" s="2">
        <v>46020</v>
      </c>
      <c r="C6183" t="s">
        <v>75</v>
      </c>
      <c r="D6183" t="s">
        <v>1629</v>
      </c>
      <c r="E6183">
        <v>296.94</v>
      </c>
      <c r="F6183" t="s">
        <v>1578</v>
      </c>
      <c r="G6183" t="s">
        <v>1566</v>
      </c>
    </row>
    <row r="6184" spans="1:7">
      <c r="A6184" t="s">
        <v>7787</v>
      </c>
      <c r="B6184" s="2">
        <v>46020</v>
      </c>
      <c r="C6184" t="s">
        <v>91</v>
      </c>
      <c r="D6184" t="s">
        <v>1629</v>
      </c>
      <c r="E6184">
        <v>301.35000000000002</v>
      </c>
      <c r="F6184" t="s">
        <v>1578</v>
      </c>
      <c r="G6184" t="s">
        <v>1566</v>
      </c>
    </row>
    <row r="6185" spans="1:7">
      <c r="A6185" t="s">
        <v>7788</v>
      </c>
      <c r="B6185" s="2">
        <v>46020</v>
      </c>
      <c r="C6185" t="s">
        <v>93</v>
      </c>
      <c r="D6185" t="s">
        <v>1629</v>
      </c>
      <c r="E6185">
        <v>299.88</v>
      </c>
      <c r="F6185" t="s">
        <v>1578</v>
      </c>
      <c r="G6185" t="s">
        <v>1566</v>
      </c>
    </row>
    <row r="6186" spans="1:7">
      <c r="A6186" t="s">
        <v>7789</v>
      </c>
      <c r="B6186" s="2">
        <v>46020</v>
      </c>
      <c r="C6186" t="s">
        <v>95</v>
      </c>
      <c r="D6186" t="s">
        <v>1629</v>
      </c>
      <c r="E6186">
        <v>298.41000000000003</v>
      </c>
      <c r="F6186" t="s">
        <v>1578</v>
      </c>
      <c r="G6186" t="s">
        <v>1566</v>
      </c>
    </row>
    <row r="6187" spans="1:7">
      <c r="A6187" t="s">
        <v>7790</v>
      </c>
      <c r="B6187" s="2">
        <v>46020</v>
      </c>
      <c r="C6187" t="s">
        <v>97</v>
      </c>
      <c r="D6187" t="s">
        <v>1629</v>
      </c>
      <c r="E6187">
        <v>296.94</v>
      </c>
      <c r="F6187" t="s">
        <v>1578</v>
      </c>
      <c r="G6187" t="s">
        <v>1566</v>
      </c>
    </row>
    <row r="6188" spans="1:7">
      <c r="A6188" t="s">
        <v>7791</v>
      </c>
      <c r="B6188" s="2">
        <v>46020</v>
      </c>
      <c r="C6188" t="s">
        <v>99</v>
      </c>
      <c r="D6188" t="s">
        <v>1629</v>
      </c>
      <c r="E6188">
        <v>363.38</v>
      </c>
      <c r="F6188" t="s">
        <v>1578</v>
      </c>
      <c r="G6188" t="s">
        <v>1566</v>
      </c>
    </row>
    <row r="6189" spans="1:7">
      <c r="A6189" t="s">
        <v>7792</v>
      </c>
      <c r="B6189" s="2">
        <v>46020</v>
      </c>
      <c r="C6189" t="s">
        <v>102</v>
      </c>
      <c r="D6189" t="s">
        <v>1629</v>
      </c>
      <c r="E6189">
        <v>299.88</v>
      </c>
      <c r="F6189" t="s">
        <v>1578</v>
      </c>
      <c r="G6189" t="s">
        <v>1566</v>
      </c>
    </row>
    <row r="6190" spans="1:7">
      <c r="A6190" t="s">
        <v>7793</v>
      </c>
      <c r="B6190" s="2">
        <v>46020</v>
      </c>
      <c r="C6190" t="s">
        <v>108</v>
      </c>
      <c r="D6190" t="s">
        <v>1629</v>
      </c>
      <c r="E6190">
        <v>596.82000000000005</v>
      </c>
      <c r="F6190" t="s">
        <v>1578</v>
      </c>
      <c r="G6190" t="s">
        <v>1566</v>
      </c>
    </row>
    <row r="6191" spans="1:7">
      <c r="A6191" t="s">
        <v>7794</v>
      </c>
      <c r="B6191" s="2">
        <v>46020</v>
      </c>
      <c r="C6191" t="s">
        <v>110</v>
      </c>
      <c r="D6191" t="s">
        <v>1629</v>
      </c>
      <c r="E6191">
        <v>299.88</v>
      </c>
      <c r="F6191" t="s">
        <v>1578</v>
      </c>
      <c r="G6191" t="s">
        <v>1566</v>
      </c>
    </row>
    <row r="6192" spans="1:7">
      <c r="A6192" t="s">
        <v>7795</v>
      </c>
      <c r="B6192" s="2">
        <v>46020</v>
      </c>
      <c r="C6192" t="s">
        <v>114</v>
      </c>
      <c r="D6192" t="s">
        <v>1629</v>
      </c>
      <c r="E6192">
        <v>296.94</v>
      </c>
      <c r="F6192" t="s">
        <v>1578</v>
      </c>
      <c r="G6192" t="s">
        <v>1566</v>
      </c>
    </row>
    <row r="6193" spans="1:7">
      <c r="A6193" t="s">
        <v>7796</v>
      </c>
      <c r="B6193" s="2">
        <v>46020</v>
      </c>
      <c r="C6193" t="s">
        <v>117</v>
      </c>
      <c r="D6193" t="s">
        <v>1629</v>
      </c>
      <c r="E6193">
        <v>295.47000000000003</v>
      </c>
      <c r="F6193" t="s">
        <v>1578</v>
      </c>
      <c r="G6193" t="s">
        <v>1566</v>
      </c>
    </row>
    <row r="6194" spans="1:7">
      <c r="A6194" t="s">
        <v>7797</v>
      </c>
      <c r="B6194" s="2">
        <v>46020</v>
      </c>
      <c r="C6194" t="s">
        <v>119</v>
      </c>
      <c r="D6194" t="s">
        <v>1629</v>
      </c>
      <c r="E6194">
        <v>296.94</v>
      </c>
      <c r="F6194" t="s">
        <v>1578</v>
      </c>
      <c r="G6194" t="s">
        <v>1566</v>
      </c>
    </row>
    <row r="6195" spans="1:7">
      <c r="A6195" t="s">
        <v>7798</v>
      </c>
      <c r="B6195" s="2">
        <v>46020</v>
      </c>
      <c r="C6195" t="s">
        <v>75</v>
      </c>
      <c r="D6195" t="s">
        <v>1629</v>
      </c>
      <c r="E6195">
        <v>172.71</v>
      </c>
      <c r="F6195" t="s">
        <v>1578</v>
      </c>
      <c r="G6195" t="s">
        <v>1567</v>
      </c>
    </row>
    <row r="6196" spans="1:7">
      <c r="A6196" t="s">
        <v>7799</v>
      </c>
      <c r="B6196" s="2">
        <v>46020</v>
      </c>
      <c r="C6196" t="s">
        <v>91</v>
      </c>
      <c r="D6196" t="s">
        <v>1629</v>
      </c>
      <c r="E6196">
        <v>175.27</v>
      </c>
      <c r="F6196" t="s">
        <v>1578</v>
      </c>
      <c r="G6196" t="s">
        <v>1567</v>
      </c>
    </row>
    <row r="6197" spans="1:7">
      <c r="A6197" t="s">
        <v>7800</v>
      </c>
      <c r="B6197" s="2">
        <v>46020</v>
      </c>
      <c r="C6197" t="s">
        <v>93</v>
      </c>
      <c r="D6197" t="s">
        <v>1629</v>
      </c>
      <c r="E6197">
        <v>174.42</v>
      </c>
      <c r="F6197" t="s">
        <v>1578</v>
      </c>
      <c r="G6197" t="s">
        <v>1567</v>
      </c>
    </row>
    <row r="6198" spans="1:7">
      <c r="A6198" t="s">
        <v>7801</v>
      </c>
      <c r="B6198" s="2">
        <v>46020</v>
      </c>
      <c r="C6198" t="s">
        <v>95</v>
      </c>
      <c r="D6198" t="s">
        <v>1629</v>
      </c>
      <c r="E6198">
        <v>173.56</v>
      </c>
      <c r="F6198" t="s">
        <v>1578</v>
      </c>
      <c r="G6198" t="s">
        <v>1567</v>
      </c>
    </row>
    <row r="6199" spans="1:7">
      <c r="A6199" t="s">
        <v>7802</v>
      </c>
      <c r="B6199" s="2">
        <v>46020</v>
      </c>
      <c r="C6199" t="s">
        <v>97</v>
      </c>
      <c r="D6199" t="s">
        <v>1629</v>
      </c>
      <c r="E6199">
        <v>172.71</v>
      </c>
      <c r="F6199" t="s">
        <v>1578</v>
      </c>
      <c r="G6199" t="s">
        <v>1567</v>
      </c>
    </row>
    <row r="6200" spans="1:7">
      <c r="A6200" t="s">
        <v>7803</v>
      </c>
      <c r="B6200" s="2">
        <v>46020</v>
      </c>
      <c r="C6200" t="s">
        <v>99</v>
      </c>
      <c r="D6200" t="s">
        <v>1629</v>
      </c>
      <c r="E6200">
        <v>211.36</v>
      </c>
      <c r="F6200" t="s">
        <v>1578</v>
      </c>
      <c r="G6200" t="s">
        <v>1567</v>
      </c>
    </row>
    <row r="6201" spans="1:7">
      <c r="A6201" t="s">
        <v>7804</v>
      </c>
      <c r="B6201" s="2">
        <v>46020</v>
      </c>
      <c r="C6201" t="s">
        <v>102</v>
      </c>
      <c r="D6201" t="s">
        <v>1629</v>
      </c>
      <c r="E6201">
        <v>174.42</v>
      </c>
      <c r="F6201" t="s">
        <v>1578</v>
      </c>
      <c r="G6201" t="s">
        <v>1567</v>
      </c>
    </row>
    <row r="6202" spans="1:7">
      <c r="A6202" t="s">
        <v>7805</v>
      </c>
      <c r="B6202" s="2">
        <v>46020</v>
      </c>
      <c r="C6202" t="s">
        <v>108</v>
      </c>
      <c r="D6202" t="s">
        <v>1629</v>
      </c>
      <c r="E6202">
        <v>347.13</v>
      </c>
      <c r="F6202" t="s">
        <v>1578</v>
      </c>
      <c r="G6202" t="s">
        <v>1567</v>
      </c>
    </row>
    <row r="6203" spans="1:7">
      <c r="A6203" t="s">
        <v>7806</v>
      </c>
      <c r="B6203" s="2">
        <v>46020</v>
      </c>
      <c r="C6203" t="s">
        <v>110</v>
      </c>
      <c r="D6203" t="s">
        <v>1629</v>
      </c>
      <c r="E6203">
        <v>174.42</v>
      </c>
      <c r="F6203" t="s">
        <v>1578</v>
      </c>
      <c r="G6203" t="s">
        <v>1567</v>
      </c>
    </row>
    <row r="6204" spans="1:7">
      <c r="A6204" t="s">
        <v>7807</v>
      </c>
      <c r="B6204" s="2">
        <v>46020</v>
      </c>
      <c r="C6204" t="s">
        <v>114</v>
      </c>
      <c r="D6204" t="s">
        <v>1629</v>
      </c>
      <c r="E6204">
        <v>172.71</v>
      </c>
      <c r="F6204" t="s">
        <v>1578</v>
      </c>
      <c r="G6204" t="s">
        <v>1567</v>
      </c>
    </row>
    <row r="6205" spans="1:7">
      <c r="A6205" t="s">
        <v>7808</v>
      </c>
      <c r="B6205" s="2">
        <v>46020</v>
      </c>
      <c r="C6205" t="s">
        <v>117</v>
      </c>
      <c r="D6205" t="s">
        <v>1629</v>
      </c>
      <c r="E6205">
        <v>171.86</v>
      </c>
      <c r="F6205" t="s">
        <v>1578</v>
      </c>
      <c r="G6205" t="s">
        <v>1567</v>
      </c>
    </row>
    <row r="6206" spans="1:7">
      <c r="A6206" t="s">
        <v>7809</v>
      </c>
      <c r="B6206" s="2">
        <v>46020</v>
      </c>
      <c r="C6206" t="s">
        <v>119</v>
      </c>
      <c r="D6206" t="s">
        <v>1629</v>
      </c>
      <c r="E6206">
        <v>172.71</v>
      </c>
      <c r="F6206" t="s">
        <v>1578</v>
      </c>
      <c r="G6206" t="s">
        <v>1567</v>
      </c>
    </row>
    <row r="6207" spans="1:7">
      <c r="A6207" t="s">
        <v>7810</v>
      </c>
      <c r="B6207" s="2">
        <v>46020</v>
      </c>
      <c r="C6207" t="s">
        <v>89</v>
      </c>
      <c r="D6207" t="s">
        <v>1683</v>
      </c>
      <c r="E6207">
        <v>90</v>
      </c>
      <c r="F6207" t="s">
        <v>1578</v>
      </c>
      <c r="G6207" t="s">
        <v>1051</v>
      </c>
    </row>
    <row r="6208" spans="1:7">
      <c r="A6208" t="s">
        <v>7811</v>
      </c>
      <c r="B6208" s="2">
        <v>46020</v>
      </c>
      <c r="C6208" t="s">
        <v>91</v>
      </c>
      <c r="D6208" t="s">
        <v>1683</v>
      </c>
      <c r="E6208">
        <v>190</v>
      </c>
      <c r="F6208" t="s">
        <v>1578</v>
      </c>
      <c r="G6208" t="s">
        <v>1052</v>
      </c>
    </row>
    <row r="6209" spans="1:7">
      <c r="A6209" t="s">
        <v>7812</v>
      </c>
      <c r="B6209" s="2">
        <v>46021</v>
      </c>
      <c r="C6209" t="s">
        <v>61</v>
      </c>
      <c r="D6209" t="s">
        <v>1629</v>
      </c>
      <c r="E6209">
        <v>140.76</v>
      </c>
      <c r="F6209" t="s">
        <v>1578</v>
      </c>
      <c r="G6209" t="s">
        <v>1568</v>
      </c>
    </row>
    <row r="6210" spans="1:7">
      <c r="A6210" t="s">
        <v>7813</v>
      </c>
      <c r="B6210" s="2">
        <v>46021</v>
      </c>
      <c r="C6210" t="s">
        <v>65</v>
      </c>
      <c r="D6210" t="s">
        <v>1629</v>
      </c>
      <c r="E6210">
        <v>140.07</v>
      </c>
      <c r="F6210" t="s">
        <v>1578</v>
      </c>
      <c r="G6210" t="s">
        <v>1568</v>
      </c>
    </row>
    <row r="6211" spans="1:7">
      <c r="A6211" t="s">
        <v>7814</v>
      </c>
      <c r="B6211" s="2">
        <v>46021</v>
      </c>
      <c r="C6211" t="s">
        <v>68</v>
      </c>
      <c r="D6211" t="s">
        <v>1629</v>
      </c>
      <c r="E6211">
        <v>140.76</v>
      </c>
      <c r="F6211" t="s">
        <v>1578</v>
      </c>
      <c r="G6211" t="s">
        <v>1568</v>
      </c>
    </row>
    <row r="6212" spans="1:7">
      <c r="A6212" t="s">
        <v>7815</v>
      </c>
      <c r="B6212" s="2">
        <v>46021</v>
      </c>
      <c r="C6212" t="s">
        <v>70</v>
      </c>
      <c r="D6212" t="s">
        <v>1629</v>
      </c>
      <c r="E6212">
        <v>139.38</v>
      </c>
      <c r="F6212" t="s">
        <v>1578</v>
      </c>
      <c r="G6212" t="s">
        <v>1568</v>
      </c>
    </row>
    <row r="6213" spans="1:7">
      <c r="A6213" t="s">
        <v>7816</v>
      </c>
      <c r="B6213" s="2">
        <v>46021</v>
      </c>
      <c r="C6213" t="s">
        <v>75</v>
      </c>
      <c r="D6213" t="s">
        <v>1629</v>
      </c>
      <c r="E6213">
        <v>139.38</v>
      </c>
      <c r="F6213" t="s">
        <v>1578</v>
      </c>
      <c r="G6213" t="s">
        <v>1568</v>
      </c>
    </row>
    <row r="6214" spans="1:7">
      <c r="A6214" t="s">
        <v>7817</v>
      </c>
      <c r="B6214" s="2">
        <v>46021</v>
      </c>
      <c r="C6214" t="s">
        <v>77</v>
      </c>
      <c r="D6214" t="s">
        <v>1629</v>
      </c>
      <c r="E6214">
        <v>139.38</v>
      </c>
      <c r="F6214" t="s">
        <v>1578</v>
      </c>
      <c r="G6214" t="s">
        <v>1568</v>
      </c>
    </row>
    <row r="6215" spans="1:7">
      <c r="A6215" t="s">
        <v>7818</v>
      </c>
      <c r="B6215" s="2">
        <v>46021</v>
      </c>
      <c r="C6215" t="s">
        <v>79</v>
      </c>
      <c r="D6215" t="s">
        <v>1629</v>
      </c>
      <c r="E6215">
        <v>140.76</v>
      </c>
      <c r="F6215" t="s">
        <v>1578</v>
      </c>
      <c r="G6215" t="s">
        <v>1568</v>
      </c>
    </row>
    <row r="6216" spans="1:7">
      <c r="A6216" t="s">
        <v>7819</v>
      </c>
      <c r="B6216" s="2">
        <v>46021</v>
      </c>
      <c r="C6216" t="s">
        <v>81</v>
      </c>
      <c r="D6216" t="s">
        <v>1629</v>
      </c>
      <c r="E6216">
        <v>278.76</v>
      </c>
      <c r="F6216" t="s">
        <v>1578</v>
      </c>
      <c r="G6216" t="s">
        <v>1568</v>
      </c>
    </row>
    <row r="6217" spans="1:7">
      <c r="A6217" t="s">
        <v>7820</v>
      </c>
      <c r="B6217" s="2">
        <v>46021</v>
      </c>
      <c r="C6217" t="s">
        <v>110</v>
      </c>
      <c r="D6217" t="s">
        <v>1629</v>
      </c>
      <c r="E6217">
        <v>140.76</v>
      </c>
      <c r="F6217" t="s">
        <v>1578</v>
      </c>
      <c r="G6217" t="s">
        <v>1568</v>
      </c>
    </row>
    <row r="6218" spans="1:7">
      <c r="A6218" t="s">
        <v>7821</v>
      </c>
      <c r="B6218" s="2">
        <v>46021</v>
      </c>
      <c r="C6218" t="s">
        <v>114</v>
      </c>
      <c r="D6218" t="s">
        <v>1629</v>
      </c>
      <c r="E6218">
        <v>139.38</v>
      </c>
      <c r="F6218" t="s">
        <v>1578</v>
      </c>
      <c r="G6218" t="s">
        <v>1568</v>
      </c>
    </row>
    <row r="6219" spans="1:7">
      <c r="A6219" t="s">
        <v>7822</v>
      </c>
      <c r="B6219" s="2">
        <v>46021</v>
      </c>
      <c r="C6219" t="s">
        <v>117</v>
      </c>
      <c r="D6219" t="s">
        <v>1629</v>
      </c>
      <c r="E6219">
        <v>138.69</v>
      </c>
      <c r="F6219" t="s">
        <v>1578</v>
      </c>
      <c r="G6219" t="s">
        <v>1568</v>
      </c>
    </row>
    <row r="6220" spans="1:7">
      <c r="A6220" t="s">
        <v>7823</v>
      </c>
      <c r="B6220" s="2">
        <v>46021</v>
      </c>
      <c r="C6220" t="s">
        <v>119</v>
      </c>
      <c r="D6220" t="s">
        <v>1629</v>
      </c>
      <c r="E6220">
        <v>139.38</v>
      </c>
      <c r="F6220" t="s">
        <v>1578</v>
      </c>
      <c r="G6220" t="s">
        <v>1568</v>
      </c>
    </row>
    <row r="6221" spans="1:7">
      <c r="A6221" t="s">
        <v>7824</v>
      </c>
      <c r="B6221" s="2">
        <v>46021</v>
      </c>
      <c r="C6221" t="s">
        <v>93</v>
      </c>
      <c r="D6221" t="s">
        <v>1683</v>
      </c>
      <c r="E6221">
        <v>225</v>
      </c>
      <c r="F6221" t="s">
        <v>1578</v>
      </c>
      <c r="G6221" t="s">
        <v>1053</v>
      </c>
    </row>
    <row r="6222" spans="1:7">
      <c r="A6222" t="s">
        <v>7825</v>
      </c>
      <c r="B6222" s="2">
        <v>46021</v>
      </c>
      <c r="C6222" t="s">
        <v>87</v>
      </c>
      <c r="D6222" t="s">
        <v>1683</v>
      </c>
      <c r="E6222">
        <v>109</v>
      </c>
      <c r="F6222" t="s">
        <v>1578</v>
      </c>
      <c r="G6222" t="s">
        <v>1054</v>
      </c>
    </row>
    <row r="6223" spans="1:7">
      <c r="A6223" t="s">
        <v>7826</v>
      </c>
      <c r="B6223" s="2">
        <v>46022</v>
      </c>
      <c r="C6223" t="s">
        <v>75</v>
      </c>
      <c r="D6223" t="s">
        <v>1629</v>
      </c>
      <c r="E6223">
        <v>206.04</v>
      </c>
      <c r="F6223" t="s">
        <v>1578</v>
      </c>
      <c r="G6223" t="s">
        <v>1569</v>
      </c>
    </row>
    <row r="6224" spans="1:7">
      <c r="A6224" t="s">
        <v>7827</v>
      </c>
      <c r="B6224" s="2">
        <v>46022</v>
      </c>
      <c r="C6224" t="s">
        <v>106</v>
      </c>
      <c r="D6224" t="s">
        <v>1629</v>
      </c>
      <c r="E6224">
        <v>210.12</v>
      </c>
      <c r="F6224" t="s">
        <v>1578</v>
      </c>
      <c r="G6224" t="s">
        <v>1569</v>
      </c>
    </row>
    <row r="6225" spans="1:7">
      <c r="A6225" t="s">
        <v>7828</v>
      </c>
      <c r="B6225" s="2">
        <v>46022</v>
      </c>
      <c r="C6225" t="s">
        <v>108</v>
      </c>
      <c r="D6225" t="s">
        <v>1629</v>
      </c>
      <c r="E6225">
        <v>414.12</v>
      </c>
      <c r="F6225" t="s">
        <v>1578</v>
      </c>
      <c r="G6225" t="s">
        <v>1569</v>
      </c>
    </row>
    <row r="6226" spans="1:7">
      <c r="A6226" t="s">
        <v>7829</v>
      </c>
      <c r="B6226" s="2">
        <v>46022</v>
      </c>
      <c r="C6226" t="s">
        <v>110</v>
      </c>
      <c r="D6226" t="s">
        <v>1629</v>
      </c>
      <c r="E6226">
        <v>208.08</v>
      </c>
      <c r="F6226" t="s">
        <v>1578</v>
      </c>
      <c r="G6226" t="s">
        <v>1569</v>
      </c>
    </row>
    <row r="6227" spans="1:7">
      <c r="A6227" t="s">
        <v>7830</v>
      </c>
      <c r="B6227" s="2">
        <v>46022</v>
      </c>
      <c r="C6227" t="s">
        <v>114</v>
      </c>
      <c r="D6227" t="s">
        <v>1629</v>
      </c>
      <c r="E6227">
        <v>206.04</v>
      </c>
      <c r="F6227" t="s">
        <v>1578</v>
      </c>
      <c r="G6227" t="s">
        <v>1569</v>
      </c>
    </row>
    <row r="6228" spans="1:7">
      <c r="A6228" t="s">
        <v>7831</v>
      </c>
      <c r="B6228" s="2">
        <v>46022</v>
      </c>
      <c r="C6228" t="s">
        <v>117</v>
      </c>
      <c r="D6228" t="s">
        <v>1629</v>
      </c>
      <c r="E6228">
        <v>205.02</v>
      </c>
      <c r="F6228" t="s">
        <v>1578</v>
      </c>
      <c r="G6228" t="s">
        <v>1569</v>
      </c>
    </row>
    <row r="6229" spans="1:7">
      <c r="A6229" t="s">
        <v>7832</v>
      </c>
      <c r="B6229" s="2">
        <v>46022</v>
      </c>
      <c r="C6229" t="s">
        <v>119</v>
      </c>
      <c r="D6229" t="s">
        <v>1629</v>
      </c>
      <c r="E6229">
        <v>206.04</v>
      </c>
      <c r="F6229" t="s">
        <v>1578</v>
      </c>
      <c r="G6229" t="s">
        <v>1569</v>
      </c>
    </row>
    <row r="6230" spans="1:7">
      <c r="A6230" t="s">
        <v>7833</v>
      </c>
      <c r="B6230" s="2">
        <v>46022</v>
      </c>
      <c r="C6230" t="s">
        <v>97</v>
      </c>
      <c r="D6230" t="s">
        <v>1683</v>
      </c>
      <c r="E6230">
        <v>240</v>
      </c>
      <c r="F6230" t="s">
        <v>1578</v>
      </c>
      <c r="G6230" t="s">
        <v>1055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B9E40-F11C-4823-BC02-7E9C02591352}">
  <dimension ref="A1:T118"/>
  <sheetViews>
    <sheetView topLeftCell="B30" zoomScale="70" zoomScaleNormal="70" workbookViewId="0">
      <selection activeCell="Q19" sqref="Q19"/>
    </sheetView>
  </sheetViews>
  <sheetFormatPr defaultRowHeight="14.4"/>
  <cols>
    <col min="1" max="1" width="13.88671875" bestFit="1" customWidth="1"/>
    <col min="2" max="2" width="23.77734375" bestFit="1" customWidth="1"/>
    <col min="4" max="4" width="13.109375" bestFit="1" customWidth="1"/>
    <col min="5" max="5" width="16.6640625" bestFit="1" customWidth="1"/>
    <col min="15" max="15" width="10.77734375" bestFit="1" customWidth="1"/>
    <col min="16" max="16" width="23.77734375" bestFit="1" customWidth="1"/>
    <col min="19" max="19" width="13.88671875" bestFit="1" customWidth="1"/>
    <col min="20" max="20" width="21.21875" bestFit="1" customWidth="1"/>
  </cols>
  <sheetData>
    <row r="1" spans="1:16">
      <c r="A1" t="s">
        <v>7834</v>
      </c>
    </row>
    <row r="2" spans="1:16">
      <c r="O2" s="10" t="s">
        <v>7849</v>
      </c>
      <c r="P2" t="s">
        <v>7862</v>
      </c>
    </row>
    <row r="3" spans="1:16">
      <c r="A3" t="s">
        <v>7835</v>
      </c>
      <c r="B3">
        <f>COUNTA(tblPurchases[Purchase_ID])</f>
        <v>700</v>
      </c>
      <c r="D3" t="s">
        <v>7847</v>
      </c>
      <c r="E3" t="s">
        <v>7848</v>
      </c>
      <c r="O3" s="11" t="s">
        <v>302</v>
      </c>
      <c r="P3">
        <v>10186</v>
      </c>
    </row>
    <row r="4" spans="1:16">
      <c r="A4" t="s">
        <v>7836</v>
      </c>
      <c r="B4">
        <f>SUM(tblPurchases[Purchase_Quantity])</f>
        <v>196193</v>
      </c>
      <c r="D4" t="s">
        <v>354</v>
      </c>
      <c r="E4">
        <f>COUNTIF(tblPurchases[Delivery_Status],D4)</f>
        <v>579</v>
      </c>
      <c r="O4" s="11" t="s">
        <v>327</v>
      </c>
      <c r="P4">
        <v>9693</v>
      </c>
    </row>
    <row r="5" spans="1:16">
      <c r="A5" t="s">
        <v>7837</v>
      </c>
      <c r="B5" s="8">
        <f>SUM(tblPurchases[Purchase_Value])</f>
        <v>67241528.369490013</v>
      </c>
      <c r="D5" t="s">
        <v>365</v>
      </c>
      <c r="E5">
        <f>COUNTIF(tblPurchases[Delivery_Status],D5)</f>
        <v>86</v>
      </c>
      <c r="O5" s="11" t="s">
        <v>307</v>
      </c>
      <c r="P5">
        <v>9594</v>
      </c>
    </row>
    <row r="6" spans="1:16">
      <c r="A6" t="s">
        <v>7838</v>
      </c>
      <c r="B6" s="9">
        <f>AVERAGE(tblPurchases[Purchase_Quantity])</f>
        <v>280.27571428571429</v>
      </c>
      <c r="D6" t="s">
        <v>359</v>
      </c>
      <c r="E6">
        <f>COUNTIF(tblPurchases[Delivery_Status],D6)</f>
        <v>35</v>
      </c>
      <c r="O6" s="11" t="s">
        <v>287</v>
      </c>
      <c r="P6">
        <v>9198</v>
      </c>
    </row>
    <row r="7" spans="1:16">
      <c r="A7" t="s">
        <v>7839</v>
      </c>
      <c r="B7" s="8">
        <f>AVERAGE(tblPurchases[Unit_Cost])</f>
        <v>299.01117142857146</v>
      </c>
      <c r="O7" s="11" t="s">
        <v>283</v>
      </c>
      <c r="P7">
        <v>9061</v>
      </c>
    </row>
    <row r="8" spans="1:16">
      <c r="A8" t="s">
        <v>7840</v>
      </c>
      <c r="B8" s="9">
        <f>AVERAGE(tblPurchases[Discount_Percent])</f>
        <v>3.092857142857143</v>
      </c>
      <c r="O8" s="11" t="s">
        <v>271</v>
      </c>
      <c r="P8">
        <v>8267</v>
      </c>
    </row>
    <row r="9" spans="1:16">
      <c r="A9" t="s">
        <v>7841</v>
      </c>
      <c r="B9">
        <f>COUNTIF(tblPurchases[Delivery_Status],"Delivered")</f>
        <v>579</v>
      </c>
      <c r="O9" s="11" t="s">
        <v>305</v>
      </c>
      <c r="P9">
        <v>8239</v>
      </c>
    </row>
    <row r="10" spans="1:16">
      <c r="A10" t="s">
        <v>7842</v>
      </c>
      <c r="B10" s="5">
        <f>COUNTIF(tblPurchases[Delivery_Status],"Delayed")</f>
        <v>86</v>
      </c>
      <c r="O10" s="11" t="s">
        <v>332</v>
      </c>
      <c r="P10">
        <v>8007</v>
      </c>
    </row>
    <row r="11" spans="1:16">
      <c r="A11" t="s">
        <v>7843</v>
      </c>
      <c r="B11">
        <f>COUNTIF(tblPurchases[Delivery_Status],"Partial")</f>
        <v>35</v>
      </c>
      <c r="O11" s="11" t="s">
        <v>317</v>
      </c>
      <c r="P11">
        <v>7826</v>
      </c>
    </row>
    <row r="12" spans="1:16">
      <c r="A12" s="5" t="s">
        <v>7844</v>
      </c>
      <c r="B12" s="6">
        <f>B9/B3</f>
        <v>0.82714285714285718</v>
      </c>
      <c r="O12" s="11" t="s">
        <v>344</v>
      </c>
      <c r="P12">
        <v>7754</v>
      </c>
    </row>
    <row r="13" spans="1:16">
      <c r="A13" s="5" t="s">
        <v>7845</v>
      </c>
      <c r="B13" s="7">
        <f>B10/B3</f>
        <v>0.12285714285714286</v>
      </c>
      <c r="O13" s="11" t="s">
        <v>320</v>
      </c>
      <c r="P13">
        <v>7566</v>
      </c>
    </row>
    <row r="14" spans="1:16">
      <c r="A14" t="s">
        <v>7846</v>
      </c>
      <c r="B14" s="7">
        <f>B11/B3</f>
        <v>0.05</v>
      </c>
      <c r="O14" s="11" t="s">
        <v>285</v>
      </c>
      <c r="P14">
        <v>7343</v>
      </c>
    </row>
    <row r="15" spans="1:16">
      <c r="O15" s="11" t="s">
        <v>310</v>
      </c>
      <c r="P15">
        <v>7340</v>
      </c>
    </row>
    <row r="16" spans="1:16">
      <c r="O16" s="11" t="s">
        <v>280</v>
      </c>
      <c r="P16">
        <v>7313</v>
      </c>
    </row>
    <row r="17" spans="1:16">
      <c r="O17" s="11" t="s">
        <v>278</v>
      </c>
      <c r="P17">
        <v>7252</v>
      </c>
    </row>
    <row r="18" spans="1:16">
      <c r="A18" s="10" t="s">
        <v>7849</v>
      </c>
      <c r="B18" t="s">
        <v>7862</v>
      </c>
      <c r="O18" s="11" t="s">
        <v>325</v>
      </c>
      <c r="P18">
        <v>7196</v>
      </c>
    </row>
    <row r="19" spans="1:16">
      <c r="A19" s="11" t="s">
        <v>7863</v>
      </c>
      <c r="B19">
        <v>196193</v>
      </c>
      <c r="O19" s="11" t="s">
        <v>339</v>
      </c>
      <c r="P19">
        <v>6536</v>
      </c>
    </row>
    <row r="20" spans="1:16">
      <c r="A20" s="12" t="s">
        <v>7850</v>
      </c>
      <c r="B20">
        <v>13174</v>
      </c>
      <c r="O20" s="11" t="s">
        <v>342</v>
      </c>
      <c r="P20">
        <v>6328</v>
      </c>
    </row>
    <row r="21" spans="1:16">
      <c r="A21" s="12" t="s">
        <v>7851</v>
      </c>
      <c r="B21">
        <v>20315</v>
      </c>
      <c r="O21" s="11" t="s">
        <v>295</v>
      </c>
      <c r="P21">
        <v>6322</v>
      </c>
    </row>
    <row r="22" spans="1:16">
      <c r="A22" s="12" t="s">
        <v>7852</v>
      </c>
      <c r="B22">
        <v>16135</v>
      </c>
      <c r="O22" s="11" t="s">
        <v>274</v>
      </c>
      <c r="P22">
        <v>5947</v>
      </c>
    </row>
    <row r="23" spans="1:16">
      <c r="A23" s="12" t="s">
        <v>7853</v>
      </c>
      <c r="B23">
        <v>11482</v>
      </c>
      <c r="O23" s="11" t="s">
        <v>336</v>
      </c>
      <c r="P23">
        <v>5917</v>
      </c>
    </row>
    <row r="24" spans="1:16">
      <c r="A24" s="12" t="s">
        <v>7854</v>
      </c>
      <c r="B24">
        <v>16025</v>
      </c>
      <c r="O24" s="11" t="s">
        <v>314</v>
      </c>
      <c r="P24">
        <v>5614</v>
      </c>
    </row>
    <row r="25" spans="1:16">
      <c r="A25" s="12" t="s">
        <v>7855</v>
      </c>
      <c r="B25">
        <v>17445</v>
      </c>
      <c r="O25" s="11" t="s">
        <v>330</v>
      </c>
      <c r="P25">
        <v>5539</v>
      </c>
    </row>
    <row r="26" spans="1:16">
      <c r="A26" s="12" t="s">
        <v>7856</v>
      </c>
      <c r="B26">
        <v>20457</v>
      </c>
      <c r="O26" s="11" t="s">
        <v>322</v>
      </c>
      <c r="P26">
        <v>4762</v>
      </c>
    </row>
    <row r="27" spans="1:16">
      <c r="A27" s="12" t="s">
        <v>7857</v>
      </c>
      <c r="B27">
        <v>16384</v>
      </c>
      <c r="O27" s="11" t="s">
        <v>298</v>
      </c>
      <c r="P27">
        <v>4672</v>
      </c>
    </row>
    <row r="28" spans="1:16">
      <c r="A28" s="12" t="s">
        <v>7858</v>
      </c>
      <c r="B28">
        <v>17712</v>
      </c>
      <c r="O28" s="11" t="s">
        <v>291</v>
      </c>
      <c r="P28">
        <v>4646</v>
      </c>
    </row>
    <row r="29" spans="1:16">
      <c r="A29" s="12" t="s">
        <v>7859</v>
      </c>
      <c r="B29">
        <v>14406</v>
      </c>
      <c r="O29" s="11" t="s">
        <v>266</v>
      </c>
      <c r="P29">
        <v>4570</v>
      </c>
    </row>
    <row r="30" spans="1:16">
      <c r="A30" s="12" t="s">
        <v>7860</v>
      </c>
      <c r="B30">
        <v>14578</v>
      </c>
      <c r="O30" s="11" t="s">
        <v>293</v>
      </c>
      <c r="P30">
        <v>3505</v>
      </c>
    </row>
    <row r="31" spans="1:16">
      <c r="A31" s="12" t="s">
        <v>7861</v>
      </c>
      <c r="B31">
        <v>18080</v>
      </c>
    </row>
    <row r="35" spans="15:16">
      <c r="O35" s="10" t="s">
        <v>7849</v>
      </c>
      <c r="P35" t="s">
        <v>7862</v>
      </c>
    </row>
    <row r="36" spans="15:16">
      <c r="O36" s="11" t="s">
        <v>104</v>
      </c>
      <c r="P36">
        <v>15322</v>
      </c>
    </row>
    <row r="37" spans="15:16">
      <c r="O37" s="11" t="s">
        <v>114</v>
      </c>
      <c r="P37">
        <v>11998</v>
      </c>
    </row>
    <row r="38" spans="15:16">
      <c r="O38" s="11" t="s">
        <v>87</v>
      </c>
      <c r="P38">
        <v>11631</v>
      </c>
    </row>
    <row r="39" spans="15:16">
      <c r="O39" s="11" t="s">
        <v>93</v>
      </c>
      <c r="P39">
        <v>10636</v>
      </c>
    </row>
    <row r="40" spans="15:16">
      <c r="O40" s="11" t="s">
        <v>91</v>
      </c>
      <c r="P40">
        <v>10501</v>
      </c>
    </row>
    <row r="41" spans="15:16">
      <c r="O41" s="11" t="s">
        <v>89</v>
      </c>
      <c r="P41">
        <v>10465</v>
      </c>
    </row>
    <row r="42" spans="15:16">
      <c r="O42" s="11" t="s">
        <v>95</v>
      </c>
      <c r="P42">
        <v>9921</v>
      </c>
    </row>
    <row r="43" spans="15:16">
      <c r="O43" s="11" t="s">
        <v>117</v>
      </c>
      <c r="P43">
        <v>9697</v>
      </c>
    </row>
    <row r="44" spans="15:16">
      <c r="O44" s="11" t="s">
        <v>108</v>
      </c>
      <c r="P44">
        <v>9171</v>
      </c>
    </row>
    <row r="45" spans="15:16">
      <c r="O45" s="11" t="s">
        <v>84</v>
      </c>
      <c r="P45">
        <v>9139</v>
      </c>
    </row>
    <row r="46" spans="15:16">
      <c r="O46" s="11" t="s">
        <v>70</v>
      </c>
      <c r="P46">
        <v>8756</v>
      </c>
    </row>
    <row r="47" spans="15:16">
      <c r="O47" s="11" t="s">
        <v>106</v>
      </c>
      <c r="P47">
        <v>8336</v>
      </c>
    </row>
    <row r="48" spans="15:16">
      <c r="O48" s="11" t="s">
        <v>102</v>
      </c>
      <c r="P48">
        <v>8267</v>
      </c>
    </row>
    <row r="49" spans="15:16">
      <c r="O49" s="11" t="s">
        <v>110</v>
      </c>
      <c r="P49">
        <v>8007</v>
      </c>
    </row>
    <row r="50" spans="15:16">
      <c r="O50" s="11" t="s">
        <v>68</v>
      </c>
      <c r="P50">
        <v>7678</v>
      </c>
    </row>
    <row r="51" spans="15:16">
      <c r="O51" s="11" t="s">
        <v>99</v>
      </c>
      <c r="P51">
        <v>7196</v>
      </c>
    </row>
    <row r="52" spans="15:16">
      <c r="O52" s="11" t="s">
        <v>119</v>
      </c>
      <c r="P52">
        <v>6779</v>
      </c>
    </row>
    <row r="53" spans="15:16">
      <c r="O53" s="11" t="s">
        <v>73</v>
      </c>
      <c r="P53">
        <v>6038</v>
      </c>
    </row>
    <row r="54" spans="15:16">
      <c r="O54" s="11" t="s">
        <v>77</v>
      </c>
      <c r="P54">
        <v>5832</v>
      </c>
    </row>
    <row r="55" spans="15:16">
      <c r="O55" s="11" t="s">
        <v>65</v>
      </c>
      <c r="P55">
        <v>5719</v>
      </c>
    </row>
    <row r="56" spans="15:16">
      <c r="O56" s="11" t="s">
        <v>79</v>
      </c>
      <c r="P56">
        <v>4217</v>
      </c>
    </row>
    <row r="57" spans="15:16">
      <c r="O57" s="11" t="s">
        <v>75</v>
      </c>
      <c r="P57">
        <v>3780</v>
      </c>
    </row>
    <row r="58" spans="15:16">
      <c r="O58" s="11" t="s">
        <v>81</v>
      </c>
      <c r="P58">
        <v>3386</v>
      </c>
    </row>
    <row r="59" spans="15:16">
      <c r="O59" s="11" t="s">
        <v>61</v>
      </c>
      <c r="P59">
        <v>2435</v>
      </c>
    </row>
    <row r="60" spans="15:16">
      <c r="O60" s="11" t="s">
        <v>97</v>
      </c>
      <c r="P60">
        <v>1286</v>
      </c>
    </row>
    <row r="68" spans="15:16">
      <c r="O68" s="10" t="s">
        <v>7849</v>
      </c>
      <c r="P68" t="s">
        <v>7865</v>
      </c>
    </row>
    <row r="69" spans="15:16">
      <c r="O69" s="11" t="s">
        <v>7863</v>
      </c>
      <c r="P69">
        <v>67241528.369489983</v>
      </c>
    </row>
    <row r="70" spans="15:16">
      <c r="O70" s="12" t="s">
        <v>7850</v>
      </c>
      <c r="P70">
        <v>5893030.2145579988</v>
      </c>
    </row>
    <row r="71" spans="15:16">
      <c r="O71" s="12" t="s">
        <v>7851</v>
      </c>
      <c r="P71">
        <v>8224079.2811399987</v>
      </c>
    </row>
    <row r="72" spans="15:16">
      <c r="O72" s="12" t="s">
        <v>7852</v>
      </c>
      <c r="P72">
        <v>6571160.5684419991</v>
      </c>
    </row>
    <row r="73" spans="15:16">
      <c r="O73" s="12" t="s">
        <v>7853</v>
      </c>
      <c r="P73">
        <v>2109384.1652479996</v>
      </c>
    </row>
    <row r="74" spans="15:16">
      <c r="O74" s="12" t="s">
        <v>7854</v>
      </c>
      <c r="P74">
        <v>5273440.981362001</v>
      </c>
    </row>
    <row r="75" spans="15:16">
      <c r="O75" s="12" t="s">
        <v>7855</v>
      </c>
      <c r="P75">
        <v>5693182.4306659987</v>
      </c>
    </row>
    <row r="76" spans="15:16">
      <c r="O76" s="12" t="s">
        <v>7856</v>
      </c>
      <c r="P76">
        <v>6860179.2647579983</v>
      </c>
    </row>
    <row r="77" spans="15:16">
      <c r="O77" s="12" t="s">
        <v>7857</v>
      </c>
      <c r="P77">
        <v>5281923.0738979997</v>
      </c>
    </row>
    <row r="78" spans="15:16">
      <c r="O78" s="12" t="s">
        <v>7858</v>
      </c>
      <c r="P78">
        <v>5893215.5105460007</v>
      </c>
    </row>
    <row r="79" spans="15:16">
      <c r="O79" s="12" t="s">
        <v>7859</v>
      </c>
      <c r="P79">
        <v>4435147.1438479973</v>
      </c>
    </row>
    <row r="80" spans="15:16">
      <c r="O80" s="12" t="s">
        <v>7860</v>
      </c>
      <c r="P80">
        <v>3484222.8206919995</v>
      </c>
    </row>
    <row r="81" spans="15:20">
      <c r="O81" s="12" t="s">
        <v>7861</v>
      </c>
      <c r="P81">
        <v>7522562.9143320005</v>
      </c>
    </row>
    <row r="90" spans="15:20">
      <c r="O90" s="10" t="s">
        <v>7849</v>
      </c>
      <c r="P90" t="s">
        <v>7865</v>
      </c>
      <c r="S90" s="10" t="s">
        <v>7849</v>
      </c>
      <c r="T90" t="s">
        <v>7865</v>
      </c>
    </row>
    <row r="91" spans="15:20">
      <c r="O91" s="11" t="s">
        <v>287</v>
      </c>
      <c r="P91">
        <v>6412950.846731999</v>
      </c>
      <c r="S91" s="11" t="s">
        <v>93</v>
      </c>
      <c r="T91">
        <v>17844738.467829995</v>
      </c>
    </row>
    <row r="92" spans="15:20">
      <c r="O92" s="11" t="s">
        <v>283</v>
      </c>
      <c r="P92">
        <v>4740788.6980259996</v>
      </c>
      <c r="S92" s="11" t="s">
        <v>84</v>
      </c>
      <c r="T92">
        <v>8193024.1713760002</v>
      </c>
    </row>
    <row r="93" spans="15:20">
      <c r="O93" s="11" t="s">
        <v>280</v>
      </c>
      <c r="P93">
        <v>4736339.8869239995</v>
      </c>
      <c r="S93" s="11" t="s">
        <v>102</v>
      </c>
      <c r="T93">
        <v>5935094.4690899998</v>
      </c>
    </row>
    <row r="94" spans="15:20">
      <c r="O94" s="11" t="s">
        <v>320</v>
      </c>
      <c r="P94">
        <v>4684998.5009860005</v>
      </c>
      <c r="S94" s="11" t="s">
        <v>91</v>
      </c>
      <c r="T94">
        <v>5799410.6509019984</v>
      </c>
    </row>
    <row r="95" spans="15:20">
      <c r="O95" s="11" t="s">
        <v>317</v>
      </c>
      <c r="P95">
        <v>4190815.9804700003</v>
      </c>
      <c r="S95" s="11" t="s">
        <v>106</v>
      </c>
      <c r="T95">
        <v>3349156.7655719998</v>
      </c>
    </row>
    <row r="96" spans="15:20">
      <c r="O96" s="11" t="s">
        <v>310</v>
      </c>
      <c r="P96">
        <v>4182495.9574099998</v>
      </c>
      <c r="S96" s="11" t="s">
        <v>104</v>
      </c>
      <c r="T96">
        <v>3313938.8838219997</v>
      </c>
    </row>
    <row r="97" spans="15:20">
      <c r="O97" s="11" t="s">
        <v>344</v>
      </c>
      <c r="P97">
        <v>3992968.037122</v>
      </c>
      <c r="S97" s="11" t="s">
        <v>95</v>
      </c>
      <c r="T97">
        <v>3002915.6955639999</v>
      </c>
    </row>
    <row r="98" spans="15:20">
      <c r="O98" s="11" t="s">
        <v>285</v>
      </c>
      <c r="P98">
        <v>3652782.3511660001</v>
      </c>
      <c r="S98" s="11" t="s">
        <v>73</v>
      </c>
      <c r="T98">
        <v>2925982.7580179996</v>
      </c>
    </row>
    <row r="99" spans="15:20">
      <c r="O99" s="11" t="s">
        <v>322</v>
      </c>
      <c r="P99">
        <v>3330119.1342100007</v>
      </c>
      <c r="S99" s="11" t="s">
        <v>68</v>
      </c>
      <c r="T99">
        <v>2863044.816352</v>
      </c>
    </row>
    <row r="100" spans="15:20">
      <c r="O100" s="11" t="s">
        <v>302</v>
      </c>
      <c r="P100">
        <v>3195534.2528539998</v>
      </c>
      <c r="S100" s="11" t="s">
        <v>70</v>
      </c>
      <c r="T100">
        <v>2439473.2190079996</v>
      </c>
    </row>
    <row r="101" spans="15:20">
      <c r="O101" s="11" t="s">
        <v>305</v>
      </c>
      <c r="P101">
        <v>2937040.9509000001</v>
      </c>
      <c r="S101" s="11" t="s">
        <v>61</v>
      </c>
      <c r="T101">
        <v>1798800.4078539999</v>
      </c>
    </row>
    <row r="102" spans="15:20">
      <c r="O102" s="11" t="s">
        <v>314</v>
      </c>
      <c r="P102">
        <v>2618229.3623859994</v>
      </c>
      <c r="S102" s="11" t="s">
        <v>99</v>
      </c>
      <c r="T102">
        <v>1770280.1792000001</v>
      </c>
    </row>
    <row r="103" spans="15:20">
      <c r="O103" s="11" t="s">
        <v>330</v>
      </c>
      <c r="P103">
        <v>2462253.1113379993</v>
      </c>
      <c r="S103" s="11" t="s">
        <v>87</v>
      </c>
      <c r="T103">
        <v>1660176.083356</v>
      </c>
    </row>
    <row r="104" spans="15:20">
      <c r="O104" s="11" t="s">
        <v>295</v>
      </c>
      <c r="P104">
        <v>2165830.0831400002</v>
      </c>
      <c r="S104" s="11" t="s">
        <v>65</v>
      </c>
      <c r="T104">
        <v>1193980.5618839995</v>
      </c>
    </row>
    <row r="105" spans="15:20">
      <c r="O105" s="11" t="s">
        <v>307</v>
      </c>
      <c r="P105">
        <v>1840352.9416599995</v>
      </c>
      <c r="S105" s="11" t="s">
        <v>89</v>
      </c>
      <c r="T105">
        <v>1135610.0341820002</v>
      </c>
    </row>
    <row r="106" spans="15:20">
      <c r="O106" s="11" t="s">
        <v>266</v>
      </c>
      <c r="P106">
        <v>1827398.2126579999</v>
      </c>
      <c r="S106" s="11" t="s">
        <v>114</v>
      </c>
      <c r="T106">
        <v>855573.1843679999</v>
      </c>
    </row>
    <row r="107" spans="15:20">
      <c r="O107" s="11" t="s">
        <v>325</v>
      </c>
      <c r="P107">
        <v>1770280.1792000001</v>
      </c>
      <c r="S107" s="11" t="s">
        <v>77</v>
      </c>
      <c r="T107">
        <v>723968.64086999989</v>
      </c>
    </row>
    <row r="108" spans="15:20">
      <c r="O108" s="11" t="s">
        <v>271</v>
      </c>
      <c r="P108">
        <v>1559926.8376340002</v>
      </c>
      <c r="S108" s="11" t="s">
        <v>110</v>
      </c>
      <c r="T108">
        <v>512876.27910999994</v>
      </c>
    </row>
    <row r="109" spans="15:20">
      <c r="O109" s="11" t="s">
        <v>291</v>
      </c>
      <c r="P109">
        <v>1352067.5784059998</v>
      </c>
      <c r="S109" s="11" t="s">
        <v>75</v>
      </c>
      <c r="T109">
        <v>372906.02289400005</v>
      </c>
    </row>
    <row r="110" spans="15:20">
      <c r="O110" s="11" t="s">
        <v>278</v>
      </c>
      <c r="P110">
        <v>1334595.5650260001</v>
      </c>
      <c r="S110" s="11" t="s">
        <v>108</v>
      </c>
      <c r="T110">
        <v>365277.23392200004</v>
      </c>
    </row>
    <row r="111" spans="15:20">
      <c r="O111" s="11" t="s">
        <v>293</v>
      </c>
      <c r="P111">
        <v>1051985.2227079999</v>
      </c>
      <c r="S111" s="11" t="s">
        <v>81</v>
      </c>
      <c r="T111">
        <v>270412.12441400002</v>
      </c>
    </row>
    <row r="112" spans="15:20">
      <c r="O112" s="11" t="s">
        <v>274</v>
      </c>
      <c r="P112">
        <v>864022.09652599995</v>
      </c>
      <c r="S112" s="11" t="s">
        <v>97</v>
      </c>
      <c r="T112">
        <v>269904.79910799995</v>
      </c>
    </row>
    <row r="113" spans="15:20">
      <c r="O113" s="11" t="s">
        <v>298</v>
      </c>
      <c r="P113">
        <v>540316.92352199997</v>
      </c>
      <c r="S113" s="11" t="s">
        <v>119</v>
      </c>
      <c r="T113">
        <v>236311.44409599996</v>
      </c>
    </row>
    <row r="114" spans="15:20">
      <c r="O114" s="11" t="s">
        <v>332</v>
      </c>
      <c r="P114">
        <v>512876.27910999994</v>
      </c>
      <c r="S114" s="11" t="s">
        <v>79</v>
      </c>
      <c r="T114">
        <v>215996.72578599997</v>
      </c>
    </row>
    <row r="115" spans="15:20">
      <c r="O115" s="11" t="s">
        <v>327</v>
      </c>
      <c r="P115">
        <v>493537.43577600009</v>
      </c>
      <c r="S115" s="11" t="s">
        <v>117</v>
      </c>
      <c r="T115">
        <v>192674.75091200008</v>
      </c>
    </row>
    <row r="116" spans="15:20">
      <c r="O116" s="11" t="s">
        <v>342</v>
      </c>
      <c r="P116">
        <v>279891.62196800002</v>
      </c>
    </row>
    <row r="117" spans="15:20">
      <c r="O117" s="11" t="s">
        <v>336</v>
      </c>
      <c r="P117">
        <v>271358.76756800001</v>
      </c>
    </row>
    <row r="118" spans="15:20">
      <c r="O118" s="11" t="s">
        <v>339</v>
      </c>
      <c r="P118">
        <v>239771.554064</v>
      </c>
    </row>
  </sheetData>
  <pageMargins left="0.7" right="0.7" top="0.75" bottom="0.75" header="0.3" footer="0.3"/>
  <pageSetup orientation="portrait" r:id="rId7"/>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4EAE4-E8E6-469F-8055-1EFB44FC2267}">
  <dimension ref="A1:L45"/>
  <sheetViews>
    <sheetView tabSelected="1" zoomScaleNormal="100" workbookViewId="0">
      <selection activeCell="B3" sqref="B3"/>
    </sheetView>
  </sheetViews>
  <sheetFormatPr defaultRowHeight="14.4"/>
  <cols>
    <col min="1" max="1" width="21.77734375" customWidth="1"/>
    <col min="2" max="3" width="24.109375" bestFit="1" customWidth="1"/>
    <col min="4" max="4" width="17.44140625" bestFit="1" customWidth="1"/>
    <col min="6" max="6" width="16.77734375" bestFit="1" customWidth="1"/>
    <col min="7" max="7" width="10.77734375" bestFit="1" customWidth="1"/>
    <col min="8" max="8" width="22.77734375" bestFit="1" customWidth="1"/>
    <col min="9" max="9" width="24.109375" bestFit="1" customWidth="1"/>
    <col min="10" max="10" width="21.5546875" bestFit="1" customWidth="1"/>
    <col min="11" max="11" width="24.77734375" bestFit="1" customWidth="1"/>
    <col min="12" max="12" width="20.109375" bestFit="1" customWidth="1"/>
    <col min="18" max="18" width="12.5546875" bestFit="1" customWidth="1"/>
    <col min="19" max="19" width="23.44140625" bestFit="1" customWidth="1"/>
    <col min="27" max="27" width="12.5546875" bestFit="1" customWidth="1"/>
  </cols>
  <sheetData>
    <row r="1" spans="1:12" ht="23.4">
      <c r="A1" s="16" t="s">
        <v>7866</v>
      </c>
      <c r="B1" s="16"/>
      <c r="C1" s="16"/>
      <c r="D1" s="16"/>
      <c r="E1" s="16"/>
      <c r="F1" s="16"/>
      <c r="G1" s="16"/>
      <c r="H1" s="16"/>
      <c r="I1" s="16"/>
      <c r="J1" s="16"/>
      <c r="K1" s="16"/>
      <c r="L1" s="16"/>
    </row>
    <row r="3" spans="1:12">
      <c r="B3" s="15" t="s">
        <v>7867</v>
      </c>
      <c r="D3" s="19" t="s">
        <v>7868</v>
      </c>
      <c r="F3" s="19" t="s">
        <v>7869</v>
      </c>
      <c r="H3" s="19" t="s">
        <v>7870</v>
      </c>
      <c r="J3" s="19" t="s">
        <v>7871</v>
      </c>
      <c r="L3" s="19" t="s">
        <v>7872</v>
      </c>
    </row>
    <row r="4" spans="1:12" ht="21">
      <c r="B4" s="14">
        <f>SUM(Production!D:D)</f>
        <v>145921</v>
      </c>
      <c r="D4" s="20">
        <f>SUM(Production!E:E)</f>
        <v>138937</v>
      </c>
      <c r="F4" s="20">
        <f>SUM(Production!F:F)</f>
        <v>2800</v>
      </c>
      <c r="H4" s="21">
        <f>F4/D4</f>
        <v>2.0153018994220402E-2</v>
      </c>
      <c r="J4" s="20">
        <f>COUNTA(Production!A:A)-1</f>
        <v>500</v>
      </c>
      <c r="L4" s="22">
        <f>AVERAGE(Production!E:E)</f>
        <v>277.87400000000002</v>
      </c>
    </row>
    <row r="6" spans="1:12">
      <c r="G6" s="18"/>
    </row>
    <row r="9" spans="1:12">
      <c r="B9" s="10" t="s">
        <v>7849</v>
      </c>
      <c r="C9" t="s">
        <v>7874</v>
      </c>
      <c r="H9" s="10" t="s">
        <v>7849</v>
      </c>
      <c r="I9" t="s">
        <v>7874</v>
      </c>
    </row>
    <row r="10" spans="1:12">
      <c r="B10" s="11" t="s">
        <v>7850</v>
      </c>
      <c r="C10" s="17">
        <v>3353</v>
      </c>
      <c r="H10" s="11" t="s">
        <v>8</v>
      </c>
      <c r="I10" s="17">
        <v>9461</v>
      </c>
    </row>
    <row r="11" spans="1:12">
      <c r="B11" s="11" t="s">
        <v>7851</v>
      </c>
      <c r="C11" s="17">
        <v>1671</v>
      </c>
      <c r="H11" s="11" t="s">
        <v>13</v>
      </c>
      <c r="I11" s="17">
        <v>13715</v>
      </c>
    </row>
    <row r="12" spans="1:12">
      <c r="B12" s="11" t="s">
        <v>7852</v>
      </c>
      <c r="C12" s="17">
        <v>2295</v>
      </c>
      <c r="H12" s="11" t="s">
        <v>17</v>
      </c>
      <c r="I12" s="17">
        <v>14629</v>
      </c>
    </row>
    <row r="13" spans="1:12">
      <c r="B13" s="11" t="s">
        <v>7853</v>
      </c>
      <c r="C13" s="17">
        <v>4767</v>
      </c>
      <c r="H13" s="11" t="s">
        <v>7873</v>
      </c>
      <c r="I13" s="17">
        <v>37805</v>
      </c>
    </row>
    <row r="14" spans="1:12">
      <c r="B14" s="11" t="s">
        <v>7854</v>
      </c>
      <c r="C14" s="17">
        <v>2151</v>
      </c>
    </row>
    <row r="15" spans="1:12">
      <c r="B15" s="11" t="s">
        <v>7855</v>
      </c>
      <c r="C15" s="17">
        <v>5476</v>
      </c>
    </row>
    <row r="16" spans="1:12">
      <c r="B16" s="11" t="s">
        <v>7856</v>
      </c>
      <c r="C16" s="17">
        <v>3463</v>
      </c>
    </row>
    <row r="17" spans="1:9">
      <c r="B17" s="11" t="s">
        <v>7857</v>
      </c>
      <c r="C17" s="17">
        <v>3174</v>
      </c>
    </row>
    <row r="18" spans="1:9">
      <c r="B18" s="11" t="s">
        <v>7858</v>
      </c>
      <c r="C18" s="17">
        <v>2191</v>
      </c>
    </row>
    <row r="19" spans="1:9">
      <c r="B19" s="11" t="s">
        <v>7859</v>
      </c>
      <c r="C19" s="17">
        <v>2914</v>
      </c>
    </row>
    <row r="20" spans="1:9">
      <c r="B20" s="11" t="s">
        <v>7860</v>
      </c>
      <c r="C20" s="17">
        <v>2829</v>
      </c>
    </row>
    <row r="21" spans="1:9">
      <c r="B21" s="11" t="s">
        <v>7861</v>
      </c>
      <c r="C21" s="17">
        <v>3521</v>
      </c>
    </row>
    <row r="22" spans="1:9">
      <c r="B22" s="11" t="s">
        <v>7873</v>
      </c>
      <c r="C22" s="17">
        <v>37805</v>
      </c>
    </row>
    <row r="25" spans="1:9">
      <c r="A25" s="10" t="s">
        <v>7849</v>
      </c>
      <c r="B25" t="s">
        <v>7874</v>
      </c>
      <c r="H25" s="10" t="s">
        <v>7849</v>
      </c>
      <c r="I25" t="s">
        <v>7874</v>
      </c>
    </row>
    <row r="26" spans="1:9">
      <c r="A26" s="11" t="s">
        <v>1064</v>
      </c>
      <c r="B26" s="17">
        <v>14123</v>
      </c>
      <c r="H26" s="11" t="s">
        <v>1070</v>
      </c>
      <c r="I26" s="17">
        <v>23176</v>
      </c>
    </row>
    <row r="27" spans="1:9">
      <c r="A27" s="11" t="s">
        <v>1073</v>
      </c>
      <c r="B27" s="17">
        <v>16303</v>
      </c>
      <c r="H27" s="11" t="s">
        <v>1065</v>
      </c>
      <c r="I27" s="17">
        <v>14629</v>
      </c>
    </row>
    <row r="28" spans="1:9">
      <c r="A28" s="11" t="s">
        <v>1067</v>
      </c>
      <c r="B28" s="17">
        <v>7379</v>
      </c>
      <c r="H28" s="11" t="s">
        <v>7873</v>
      </c>
      <c r="I28" s="17">
        <v>37805</v>
      </c>
    </row>
    <row r="29" spans="1:9">
      <c r="A29" s="11" t="s">
        <v>7873</v>
      </c>
      <c r="B29" s="17">
        <v>37805</v>
      </c>
    </row>
    <row r="41" spans="1:9">
      <c r="A41" s="10" t="s">
        <v>7849</v>
      </c>
      <c r="B41" t="s">
        <v>7875</v>
      </c>
      <c r="G41" s="10" t="s">
        <v>7849</v>
      </c>
      <c r="H41" t="s">
        <v>7876</v>
      </c>
      <c r="I41" t="s">
        <v>7874</v>
      </c>
    </row>
    <row r="42" spans="1:9">
      <c r="A42" s="11" t="s">
        <v>8</v>
      </c>
      <c r="B42" s="17">
        <v>198</v>
      </c>
      <c r="G42" s="11" t="s">
        <v>8</v>
      </c>
      <c r="H42" s="17">
        <v>9966</v>
      </c>
      <c r="I42" s="17">
        <v>9461</v>
      </c>
    </row>
    <row r="43" spans="1:9">
      <c r="A43" s="11" t="s">
        <v>13</v>
      </c>
      <c r="B43" s="17">
        <v>258</v>
      </c>
      <c r="G43" s="11" t="s">
        <v>13</v>
      </c>
      <c r="H43" s="17">
        <v>14425</v>
      </c>
      <c r="I43" s="17">
        <v>13715</v>
      </c>
    </row>
    <row r="44" spans="1:9">
      <c r="A44" s="11" t="s">
        <v>17</v>
      </c>
      <c r="B44" s="17">
        <v>297</v>
      </c>
      <c r="G44" s="11" t="s">
        <v>17</v>
      </c>
      <c r="H44" s="17">
        <v>15347</v>
      </c>
      <c r="I44" s="17">
        <v>14629</v>
      </c>
    </row>
    <row r="45" spans="1:9">
      <c r="A45" s="11" t="s">
        <v>7873</v>
      </c>
      <c r="B45" s="17">
        <v>753</v>
      </c>
      <c r="G45" s="11" t="s">
        <v>7873</v>
      </c>
      <c r="H45" s="17">
        <v>39738</v>
      </c>
      <c r="I45" s="17">
        <v>37805</v>
      </c>
    </row>
  </sheetData>
  <mergeCells count="1">
    <mergeCell ref="A1:L1"/>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6979-D05C-4CD2-94D5-876740ABBC94}">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Products</vt:lpstr>
      <vt:lpstr>Raw_Materials</vt:lpstr>
      <vt:lpstr>Suppliers</vt:lpstr>
      <vt:lpstr>BOM</vt:lpstr>
      <vt:lpstr>Purchases</vt:lpstr>
      <vt:lpstr>Production</vt:lpstr>
      <vt:lpstr>Inventory</vt:lpstr>
      <vt:lpstr>Purchase_Analysis</vt:lpstr>
      <vt:lpstr>Production_Analysis</vt:lpstr>
      <vt:lpstr>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AFTAB ALAM</dc:creator>
  <cp:lastModifiedBy>AFTAB ALAM</cp:lastModifiedBy>
  <dcterms:created xsi:type="dcterms:W3CDTF">2026-07-05T08:59:33Z</dcterms:created>
  <dcterms:modified xsi:type="dcterms:W3CDTF">2026-07-09T09:17:42Z</dcterms:modified>
</cp:coreProperties>
</file>